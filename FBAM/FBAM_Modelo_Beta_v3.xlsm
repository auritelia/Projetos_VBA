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uario\Desktop\RepCodaurelis\zanettiniarqueologia\FBAM\"/>
    </mc:Choice>
  </mc:AlternateContent>
  <xr:revisionPtr revIDLastSave="0" documentId="13_ncr:1_{F2AB0CA9-2E3D-4A21-99B5-F7D0C05AF1F0}" xr6:coauthVersionLast="47" xr6:coauthVersionMax="47" xr10:uidLastSave="{00000000-0000-0000-0000-000000000000}"/>
  <bookViews>
    <workbookView xWindow="-120" yWindow="-120" windowWidth="20730" windowHeight="11160" tabRatio="917" firstSheet="1" activeTab="1" xr2:uid="{00000000-000D-0000-FFFF-FFFF00000000}"/>
  </bookViews>
  <sheets>
    <sheet name="VALIDACOES" sheetId="52" state="hidden" r:id="rId1"/>
    <sheet name="Sitio" sheetId="18" r:id="rId2"/>
    <sheet name="Preenchimento" sheetId="16" r:id="rId3"/>
    <sheet name="ETIQUETA" sheetId="137" state="hidden" r:id="rId4"/>
    <sheet name="Planilha5" sheetId="141" state="hidden" r:id="rId5"/>
    <sheet name="Inventário" sheetId="136" state="hidden" r:id="rId6"/>
    <sheet name="FICHA" sheetId="62" state="hidden" r:id="rId7"/>
    <sheet name="1" sheetId="142" r:id="rId8"/>
    <sheet name="2" sheetId="143" r:id="rId9"/>
    <sheet name="3" sheetId="144" r:id="rId10"/>
    <sheet name="4" sheetId="145" r:id="rId11"/>
    <sheet name="5" sheetId="146" r:id="rId12"/>
    <sheet name="6" sheetId="147" r:id="rId13"/>
    <sheet name="7" sheetId="148" r:id="rId14"/>
    <sheet name="8" sheetId="149" r:id="rId15"/>
    <sheet name="9" sheetId="150" r:id="rId16"/>
    <sheet name="10" sheetId="151" r:id="rId17"/>
    <sheet name="11" sheetId="152" r:id="rId18"/>
    <sheet name="12" sheetId="153" r:id="rId19"/>
    <sheet name="13" sheetId="154" r:id="rId20"/>
    <sheet name="14" sheetId="155" r:id="rId21"/>
    <sheet name="15" sheetId="156" r:id="rId22"/>
    <sheet name="16" sheetId="157" r:id="rId23"/>
    <sheet name="17" sheetId="158" r:id="rId24"/>
    <sheet name="Etq 1" sheetId="159" r:id="rId25"/>
  </sheets>
  <definedNames>
    <definedName name="_xlnm._FilterDatabase" localSheetId="2" hidden="1">Preenchimento!#REF!</definedName>
    <definedName name="_xlnm.Print_Area" localSheetId="7">'1'!$B$2:$I$79</definedName>
    <definedName name="_xlnm.Print_Area" localSheetId="16">'10'!$B$2:$I$79</definedName>
    <definedName name="_xlnm.Print_Area" localSheetId="17">'11'!$B$2:$I$79</definedName>
    <definedName name="_xlnm.Print_Area" localSheetId="18">'12'!$B$2:$I$79</definedName>
    <definedName name="_xlnm.Print_Area" localSheetId="19">'13'!$B$2:$I$79</definedName>
    <definedName name="_xlnm.Print_Area" localSheetId="20">'14'!$B$2:$I$79</definedName>
    <definedName name="_xlnm.Print_Area" localSheetId="21">'15'!$B$2:$I$79</definedName>
    <definedName name="_xlnm.Print_Area" localSheetId="22">'16'!$B$2:$I$79</definedName>
    <definedName name="_xlnm.Print_Area" localSheetId="23">'17'!$B$2:$I$79</definedName>
    <definedName name="_xlnm.Print_Area" localSheetId="8">'2'!$B$2:$I$79</definedName>
    <definedName name="_xlnm.Print_Area" localSheetId="9">'3'!$B$2:$I$79</definedName>
    <definedName name="_xlnm.Print_Area" localSheetId="10">'4'!$B$2:$I$79</definedName>
    <definedName name="_xlnm.Print_Area" localSheetId="11">'5'!$B$2:$I$79</definedName>
    <definedName name="_xlnm.Print_Area" localSheetId="12">'6'!$B$2:$I$79</definedName>
    <definedName name="_xlnm.Print_Area" localSheetId="13">'7'!$B$2:$I$79</definedName>
    <definedName name="_xlnm.Print_Area" localSheetId="14">'8'!$B$2:$I$79</definedName>
    <definedName name="_xlnm.Print_Area" localSheetId="15">'9'!$B$2:$I$79</definedName>
    <definedName name="_xlnm.Print_Area" localSheetId="6">FICHA!$B$2:$I$79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420" i="159" l="1"/>
  <c r="N420" i="159"/>
  <c r="H420" i="159"/>
  <c r="B420" i="159"/>
  <c r="X419" i="159"/>
  <c r="W419" i="159"/>
  <c r="V419" i="159"/>
  <c r="U419" i="159"/>
  <c r="R419" i="159"/>
  <c r="Q419" i="159"/>
  <c r="P419" i="159"/>
  <c r="O419" i="159"/>
  <c r="L419" i="159"/>
  <c r="K419" i="159"/>
  <c r="J419" i="159"/>
  <c r="I419" i="159"/>
  <c r="F419" i="159"/>
  <c r="E419" i="159"/>
  <c r="D419" i="159"/>
  <c r="C419" i="159"/>
  <c r="X418" i="159"/>
  <c r="R418" i="159"/>
  <c r="L418" i="159"/>
  <c r="F418" i="159"/>
  <c r="X417" i="159"/>
  <c r="W417" i="159"/>
  <c r="U417" i="159"/>
  <c r="T417" i="159"/>
  <c r="R417" i="159"/>
  <c r="Q417" i="159"/>
  <c r="O417" i="159"/>
  <c r="N417" i="159"/>
  <c r="L417" i="159"/>
  <c r="K417" i="159"/>
  <c r="I417" i="159"/>
  <c r="H417" i="159"/>
  <c r="F417" i="159"/>
  <c r="E417" i="159"/>
  <c r="C417" i="159"/>
  <c r="B417" i="159"/>
  <c r="X416" i="159"/>
  <c r="W416" i="159"/>
  <c r="V416" i="159"/>
  <c r="U416" i="159"/>
  <c r="R416" i="159"/>
  <c r="Q416" i="159"/>
  <c r="P416" i="159"/>
  <c r="O416" i="159"/>
  <c r="L416" i="159"/>
  <c r="K416" i="159"/>
  <c r="J416" i="159"/>
  <c r="I416" i="159"/>
  <c r="F416" i="159"/>
  <c r="E416" i="159"/>
  <c r="D416" i="159"/>
  <c r="C416" i="159"/>
  <c r="T415" i="159"/>
  <c r="N415" i="159"/>
  <c r="H415" i="159"/>
  <c r="B415" i="159"/>
  <c r="S414" i="159"/>
  <c r="M414" i="159"/>
  <c r="G414" i="159"/>
  <c r="A414" i="159"/>
  <c r="T413" i="159"/>
  <c r="N413" i="159"/>
  <c r="H413" i="159"/>
  <c r="B413" i="159"/>
  <c r="X412" i="159"/>
  <c r="W412" i="159"/>
  <c r="V412" i="159"/>
  <c r="U412" i="159"/>
  <c r="R412" i="159"/>
  <c r="Q412" i="159"/>
  <c r="P412" i="159"/>
  <c r="O412" i="159"/>
  <c r="L412" i="159"/>
  <c r="K412" i="159"/>
  <c r="J412" i="159"/>
  <c r="I412" i="159"/>
  <c r="F412" i="159"/>
  <c r="E412" i="159"/>
  <c r="D412" i="159"/>
  <c r="C412" i="159"/>
  <c r="X411" i="159"/>
  <c r="R411" i="159"/>
  <c r="L411" i="159"/>
  <c r="F411" i="159"/>
  <c r="X410" i="159"/>
  <c r="W410" i="159"/>
  <c r="U410" i="159"/>
  <c r="T410" i="159"/>
  <c r="R410" i="159"/>
  <c r="Q410" i="159"/>
  <c r="O410" i="159"/>
  <c r="N410" i="159"/>
  <c r="L410" i="159"/>
  <c r="K410" i="159"/>
  <c r="I410" i="159"/>
  <c r="H410" i="159"/>
  <c r="F410" i="159"/>
  <c r="E410" i="159"/>
  <c r="C410" i="159"/>
  <c r="B410" i="159"/>
  <c r="X409" i="159"/>
  <c r="W409" i="159"/>
  <c r="V409" i="159"/>
  <c r="U409" i="159"/>
  <c r="R409" i="159"/>
  <c r="Q409" i="159"/>
  <c r="P409" i="159"/>
  <c r="O409" i="159"/>
  <c r="L409" i="159"/>
  <c r="K409" i="159"/>
  <c r="J409" i="159"/>
  <c r="I409" i="159"/>
  <c r="F409" i="159"/>
  <c r="E409" i="159"/>
  <c r="D409" i="159"/>
  <c r="C409" i="159"/>
  <c r="T408" i="159"/>
  <c r="N408" i="159"/>
  <c r="H408" i="159"/>
  <c r="B408" i="159"/>
  <c r="S407" i="159"/>
  <c r="M407" i="159"/>
  <c r="G407" i="159"/>
  <c r="A407" i="159"/>
  <c r="T406" i="159"/>
  <c r="N406" i="159"/>
  <c r="H406" i="159"/>
  <c r="B406" i="159"/>
  <c r="X405" i="159"/>
  <c r="W405" i="159"/>
  <c r="V405" i="159"/>
  <c r="U405" i="159"/>
  <c r="R405" i="159"/>
  <c r="Q405" i="159"/>
  <c r="P405" i="159"/>
  <c r="O405" i="159"/>
  <c r="L405" i="159"/>
  <c r="K405" i="159"/>
  <c r="J405" i="159"/>
  <c r="I405" i="159"/>
  <c r="F405" i="159"/>
  <c r="E405" i="159"/>
  <c r="D405" i="159"/>
  <c r="C405" i="159"/>
  <c r="X404" i="159"/>
  <c r="R404" i="159"/>
  <c r="L404" i="159"/>
  <c r="F404" i="159"/>
  <c r="X403" i="159"/>
  <c r="W403" i="159"/>
  <c r="U403" i="159"/>
  <c r="T403" i="159"/>
  <c r="R403" i="159"/>
  <c r="Q403" i="159"/>
  <c r="O403" i="159"/>
  <c r="N403" i="159"/>
  <c r="L403" i="159"/>
  <c r="K403" i="159"/>
  <c r="I403" i="159"/>
  <c r="H403" i="159"/>
  <c r="F403" i="159"/>
  <c r="E403" i="159"/>
  <c r="C403" i="159"/>
  <c r="B403" i="159"/>
  <c r="X402" i="159"/>
  <c r="W402" i="159"/>
  <c r="V402" i="159"/>
  <c r="U402" i="159"/>
  <c r="R402" i="159"/>
  <c r="Q402" i="159"/>
  <c r="P402" i="159"/>
  <c r="O402" i="159"/>
  <c r="L402" i="159"/>
  <c r="K402" i="159"/>
  <c r="J402" i="159"/>
  <c r="I402" i="159"/>
  <c r="F402" i="159"/>
  <c r="E402" i="159"/>
  <c r="D402" i="159"/>
  <c r="C402" i="159"/>
  <c r="T401" i="159"/>
  <c r="N401" i="159"/>
  <c r="H401" i="159"/>
  <c r="B401" i="159"/>
  <c r="S400" i="159"/>
  <c r="M400" i="159"/>
  <c r="G400" i="159"/>
  <c r="A400" i="159"/>
  <c r="T399" i="159"/>
  <c r="N399" i="159"/>
  <c r="H399" i="159"/>
  <c r="B399" i="159"/>
  <c r="X398" i="159"/>
  <c r="W398" i="159"/>
  <c r="V398" i="159"/>
  <c r="U398" i="159"/>
  <c r="R398" i="159"/>
  <c r="Q398" i="159"/>
  <c r="P398" i="159"/>
  <c r="O398" i="159"/>
  <c r="L398" i="159"/>
  <c r="K398" i="159"/>
  <c r="J398" i="159"/>
  <c r="I398" i="159"/>
  <c r="F398" i="159"/>
  <c r="E398" i="159"/>
  <c r="D398" i="159"/>
  <c r="C398" i="159"/>
  <c r="X397" i="159"/>
  <c r="R397" i="159"/>
  <c r="L397" i="159"/>
  <c r="F397" i="159"/>
  <c r="X396" i="159"/>
  <c r="W396" i="159"/>
  <c r="U396" i="159"/>
  <c r="T396" i="159"/>
  <c r="R396" i="159"/>
  <c r="Q396" i="159"/>
  <c r="O396" i="159"/>
  <c r="N396" i="159"/>
  <c r="L396" i="159"/>
  <c r="K396" i="159"/>
  <c r="I396" i="159"/>
  <c r="H396" i="159"/>
  <c r="F396" i="159"/>
  <c r="E396" i="159"/>
  <c r="C396" i="159"/>
  <c r="B396" i="159"/>
  <c r="X395" i="159"/>
  <c r="W395" i="159"/>
  <c r="V395" i="159"/>
  <c r="U395" i="159"/>
  <c r="R395" i="159"/>
  <c r="Q395" i="159"/>
  <c r="P395" i="159"/>
  <c r="O395" i="159"/>
  <c r="L395" i="159"/>
  <c r="K395" i="159"/>
  <c r="J395" i="159"/>
  <c r="I395" i="159"/>
  <c r="F395" i="159"/>
  <c r="E395" i="159"/>
  <c r="D395" i="159"/>
  <c r="C395" i="159"/>
  <c r="T394" i="159"/>
  <c r="N394" i="159"/>
  <c r="H394" i="159"/>
  <c r="B394" i="159"/>
  <c r="S393" i="159"/>
  <c r="M393" i="159"/>
  <c r="G393" i="159"/>
  <c r="A393" i="159"/>
  <c r="T392" i="159"/>
  <c r="N392" i="159"/>
  <c r="H392" i="159"/>
  <c r="B392" i="159"/>
  <c r="X391" i="159"/>
  <c r="W391" i="159"/>
  <c r="V391" i="159"/>
  <c r="U391" i="159"/>
  <c r="R391" i="159"/>
  <c r="Q391" i="159"/>
  <c r="P391" i="159"/>
  <c r="O391" i="159"/>
  <c r="L391" i="159"/>
  <c r="K391" i="159"/>
  <c r="J391" i="159"/>
  <c r="I391" i="159"/>
  <c r="F391" i="159"/>
  <c r="E391" i="159"/>
  <c r="D391" i="159"/>
  <c r="C391" i="159"/>
  <c r="X390" i="159"/>
  <c r="R390" i="159"/>
  <c r="L390" i="159"/>
  <c r="F390" i="159"/>
  <c r="X389" i="159"/>
  <c r="W389" i="159"/>
  <c r="U389" i="159"/>
  <c r="T389" i="159"/>
  <c r="R389" i="159"/>
  <c r="Q389" i="159"/>
  <c r="O389" i="159"/>
  <c r="N389" i="159"/>
  <c r="L389" i="159"/>
  <c r="K389" i="159"/>
  <c r="I389" i="159"/>
  <c r="H389" i="159"/>
  <c r="F389" i="159"/>
  <c r="E389" i="159"/>
  <c r="C389" i="159"/>
  <c r="B389" i="159"/>
  <c r="X388" i="159"/>
  <c r="W388" i="159"/>
  <c r="V388" i="159"/>
  <c r="U388" i="159"/>
  <c r="R388" i="159"/>
  <c r="Q388" i="159"/>
  <c r="P388" i="159"/>
  <c r="O388" i="159"/>
  <c r="L388" i="159"/>
  <c r="K388" i="159"/>
  <c r="J388" i="159"/>
  <c r="I388" i="159"/>
  <c r="F388" i="159"/>
  <c r="E388" i="159"/>
  <c r="D388" i="159"/>
  <c r="C388" i="159"/>
  <c r="T387" i="159"/>
  <c r="N387" i="159"/>
  <c r="H387" i="159"/>
  <c r="B387" i="159"/>
  <c r="S386" i="159"/>
  <c r="M386" i="159"/>
  <c r="G386" i="159"/>
  <c r="A386" i="159"/>
  <c r="T385" i="159"/>
  <c r="N385" i="159"/>
  <c r="H385" i="159"/>
  <c r="B385" i="159"/>
  <c r="X384" i="159"/>
  <c r="W384" i="159"/>
  <c r="V384" i="159"/>
  <c r="U384" i="159"/>
  <c r="R384" i="159"/>
  <c r="Q384" i="159"/>
  <c r="P384" i="159"/>
  <c r="O384" i="159"/>
  <c r="L384" i="159"/>
  <c r="K384" i="159"/>
  <c r="J384" i="159"/>
  <c r="I384" i="159"/>
  <c r="F384" i="159"/>
  <c r="E384" i="159"/>
  <c r="D384" i="159"/>
  <c r="C384" i="159"/>
  <c r="X383" i="159"/>
  <c r="R383" i="159"/>
  <c r="L383" i="159"/>
  <c r="F383" i="159"/>
  <c r="X382" i="159"/>
  <c r="W382" i="159"/>
  <c r="U382" i="159"/>
  <c r="T382" i="159"/>
  <c r="R382" i="159"/>
  <c r="Q382" i="159"/>
  <c r="O382" i="159"/>
  <c r="N382" i="159"/>
  <c r="L382" i="159"/>
  <c r="K382" i="159"/>
  <c r="I382" i="159"/>
  <c r="H382" i="159"/>
  <c r="F382" i="159"/>
  <c r="E382" i="159"/>
  <c r="C382" i="159"/>
  <c r="B382" i="159"/>
  <c r="X381" i="159"/>
  <c r="W381" i="159"/>
  <c r="V381" i="159"/>
  <c r="U381" i="159"/>
  <c r="R381" i="159"/>
  <c r="Q381" i="159"/>
  <c r="P381" i="159"/>
  <c r="O381" i="159"/>
  <c r="L381" i="159"/>
  <c r="K381" i="159"/>
  <c r="J381" i="159"/>
  <c r="I381" i="159"/>
  <c r="F381" i="159"/>
  <c r="E381" i="159"/>
  <c r="D381" i="159"/>
  <c r="C381" i="159"/>
  <c r="T380" i="159"/>
  <c r="N380" i="159"/>
  <c r="H380" i="159"/>
  <c r="B380" i="159"/>
  <c r="S379" i="159"/>
  <c r="M379" i="159"/>
  <c r="G379" i="159"/>
  <c r="A379" i="159"/>
  <c r="T378" i="159"/>
  <c r="N378" i="159"/>
  <c r="H378" i="159"/>
  <c r="B378" i="159"/>
  <c r="X377" i="159"/>
  <c r="W377" i="159"/>
  <c r="V377" i="159"/>
  <c r="U377" i="159"/>
  <c r="R377" i="159"/>
  <c r="Q377" i="159"/>
  <c r="P377" i="159"/>
  <c r="O377" i="159"/>
  <c r="L377" i="159"/>
  <c r="K377" i="159"/>
  <c r="J377" i="159"/>
  <c r="I377" i="159"/>
  <c r="F377" i="159"/>
  <c r="E377" i="159"/>
  <c r="D377" i="159"/>
  <c r="C377" i="159"/>
  <c r="X376" i="159"/>
  <c r="R376" i="159"/>
  <c r="L376" i="159"/>
  <c r="F376" i="159"/>
  <c r="X375" i="159"/>
  <c r="W375" i="159"/>
  <c r="U375" i="159"/>
  <c r="T375" i="159"/>
  <c r="R375" i="159"/>
  <c r="Q375" i="159"/>
  <c r="O375" i="159"/>
  <c r="N375" i="159"/>
  <c r="L375" i="159"/>
  <c r="K375" i="159"/>
  <c r="I375" i="159"/>
  <c r="H375" i="159"/>
  <c r="F375" i="159"/>
  <c r="E375" i="159"/>
  <c r="C375" i="159"/>
  <c r="B375" i="159"/>
  <c r="X374" i="159"/>
  <c r="W374" i="159"/>
  <c r="V374" i="159"/>
  <c r="U374" i="159"/>
  <c r="R374" i="159"/>
  <c r="Q374" i="159"/>
  <c r="P374" i="159"/>
  <c r="O374" i="159"/>
  <c r="L374" i="159"/>
  <c r="K374" i="159"/>
  <c r="J374" i="159"/>
  <c r="I374" i="159"/>
  <c r="F374" i="159"/>
  <c r="E374" i="159"/>
  <c r="D374" i="159"/>
  <c r="C374" i="159"/>
  <c r="T373" i="159"/>
  <c r="N373" i="159"/>
  <c r="H373" i="159"/>
  <c r="B373" i="159"/>
  <c r="S372" i="159"/>
  <c r="M372" i="159"/>
  <c r="G372" i="159"/>
  <c r="A372" i="159"/>
  <c r="T371" i="159"/>
  <c r="N371" i="159"/>
  <c r="H371" i="159"/>
  <c r="B371" i="159"/>
  <c r="X370" i="159"/>
  <c r="W370" i="159"/>
  <c r="V370" i="159"/>
  <c r="U370" i="159"/>
  <c r="R370" i="159"/>
  <c r="Q370" i="159"/>
  <c r="P370" i="159"/>
  <c r="O370" i="159"/>
  <c r="L370" i="159"/>
  <c r="K370" i="159"/>
  <c r="J370" i="159"/>
  <c r="I370" i="159"/>
  <c r="F370" i="159"/>
  <c r="E370" i="159"/>
  <c r="D370" i="159"/>
  <c r="C370" i="159"/>
  <c r="X369" i="159"/>
  <c r="R369" i="159"/>
  <c r="L369" i="159"/>
  <c r="F369" i="159"/>
  <c r="X368" i="159"/>
  <c r="W368" i="159"/>
  <c r="U368" i="159"/>
  <c r="T368" i="159"/>
  <c r="R368" i="159"/>
  <c r="Q368" i="159"/>
  <c r="O368" i="159"/>
  <c r="N368" i="159"/>
  <c r="L368" i="159"/>
  <c r="K368" i="159"/>
  <c r="I368" i="159"/>
  <c r="H368" i="159"/>
  <c r="F368" i="159"/>
  <c r="E368" i="159"/>
  <c r="C368" i="159"/>
  <c r="B368" i="159"/>
  <c r="X367" i="159"/>
  <c r="W367" i="159"/>
  <c r="V367" i="159"/>
  <c r="U367" i="159"/>
  <c r="R367" i="159"/>
  <c r="Q367" i="159"/>
  <c r="P367" i="159"/>
  <c r="O367" i="159"/>
  <c r="L367" i="159"/>
  <c r="K367" i="159"/>
  <c r="J367" i="159"/>
  <c r="I367" i="159"/>
  <c r="F367" i="159"/>
  <c r="E367" i="159"/>
  <c r="D367" i="159"/>
  <c r="C367" i="159"/>
  <c r="T366" i="159"/>
  <c r="N366" i="159"/>
  <c r="H366" i="159"/>
  <c r="B366" i="159"/>
  <c r="S365" i="159"/>
  <c r="M365" i="159"/>
  <c r="G365" i="159"/>
  <c r="A365" i="159"/>
  <c r="T364" i="159"/>
  <c r="N364" i="159"/>
  <c r="H364" i="159"/>
  <c r="B364" i="159"/>
  <c r="X363" i="159"/>
  <c r="W363" i="159"/>
  <c r="V363" i="159"/>
  <c r="U363" i="159"/>
  <c r="R363" i="159"/>
  <c r="Q363" i="159"/>
  <c r="P363" i="159"/>
  <c r="O363" i="159"/>
  <c r="L363" i="159"/>
  <c r="K363" i="159"/>
  <c r="J363" i="159"/>
  <c r="I363" i="159"/>
  <c r="F363" i="159"/>
  <c r="E363" i="159"/>
  <c r="D363" i="159"/>
  <c r="C363" i="159"/>
  <c r="X362" i="159"/>
  <c r="R362" i="159"/>
  <c r="L362" i="159"/>
  <c r="F362" i="159"/>
  <c r="X361" i="159"/>
  <c r="W361" i="159"/>
  <c r="U361" i="159"/>
  <c r="T361" i="159"/>
  <c r="R361" i="159"/>
  <c r="Q361" i="159"/>
  <c r="O361" i="159"/>
  <c r="N361" i="159"/>
  <c r="L361" i="159"/>
  <c r="K361" i="159"/>
  <c r="I361" i="159"/>
  <c r="H361" i="159"/>
  <c r="F361" i="159"/>
  <c r="E361" i="159"/>
  <c r="C361" i="159"/>
  <c r="B361" i="159"/>
  <c r="X360" i="159"/>
  <c r="W360" i="159"/>
  <c r="V360" i="159"/>
  <c r="U360" i="159"/>
  <c r="R360" i="159"/>
  <c r="Q360" i="159"/>
  <c r="P360" i="159"/>
  <c r="O360" i="159"/>
  <c r="L360" i="159"/>
  <c r="K360" i="159"/>
  <c r="J360" i="159"/>
  <c r="I360" i="159"/>
  <c r="F360" i="159"/>
  <c r="E360" i="159"/>
  <c r="D360" i="159"/>
  <c r="C360" i="159"/>
  <c r="T359" i="159"/>
  <c r="N359" i="159"/>
  <c r="H359" i="159"/>
  <c r="B359" i="159"/>
  <c r="S358" i="159"/>
  <c r="M358" i="159"/>
  <c r="G358" i="159"/>
  <c r="A358" i="159"/>
  <c r="T357" i="159"/>
  <c r="N357" i="159"/>
  <c r="H357" i="159"/>
  <c r="B357" i="159"/>
  <c r="X356" i="159"/>
  <c r="W356" i="159"/>
  <c r="V356" i="159"/>
  <c r="U356" i="159"/>
  <c r="R356" i="159"/>
  <c r="Q356" i="159"/>
  <c r="P356" i="159"/>
  <c r="O356" i="159"/>
  <c r="L356" i="159"/>
  <c r="K356" i="159"/>
  <c r="J356" i="159"/>
  <c r="I356" i="159"/>
  <c r="F356" i="159"/>
  <c r="E356" i="159"/>
  <c r="D356" i="159"/>
  <c r="C356" i="159"/>
  <c r="X355" i="159"/>
  <c r="R355" i="159"/>
  <c r="L355" i="159"/>
  <c r="F355" i="159"/>
  <c r="X354" i="159"/>
  <c r="W354" i="159"/>
  <c r="U354" i="159"/>
  <c r="T354" i="159"/>
  <c r="R354" i="159"/>
  <c r="Q354" i="159"/>
  <c r="O354" i="159"/>
  <c r="N354" i="159"/>
  <c r="L354" i="159"/>
  <c r="K354" i="159"/>
  <c r="I354" i="159"/>
  <c r="H354" i="159"/>
  <c r="F354" i="159"/>
  <c r="E354" i="159"/>
  <c r="C354" i="159"/>
  <c r="B354" i="159"/>
  <c r="X353" i="159"/>
  <c r="W353" i="159"/>
  <c r="V353" i="159"/>
  <c r="U353" i="159"/>
  <c r="R353" i="159"/>
  <c r="Q353" i="159"/>
  <c r="P353" i="159"/>
  <c r="O353" i="159"/>
  <c r="L353" i="159"/>
  <c r="K353" i="159"/>
  <c r="J353" i="159"/>
  <c r="I353" i="159"/>
  <c r="F353" i="159"/>
  <c r="E353" i="159"/>
  <c r="D353" i="159"/>
  <c r="C353" i="159"/>
  <c r="T352" i="159"/>
  <c r="N352" i="159"/>
  <c r="H352" i="159"/>
  <c r="B352" i="159"/>
  <c r="S351" i="159"/>
  <c r="M351" i="159"/>
  <c r="G351" i="159"/>
  <c r="A351" i="159"/>
  <c r="T350" i="159"/>
  <c r="N350" i="159"/>
  <c r="H350" i="159"/>
  <c r="B350" i="159"/>
  <c r="X349" i="159"/>
  <c r="W349" i="159"/>
  <c r="V349" i="159"/>
  <c r="U349" i="159"/>
  <c r="R349" i="159"/>
  <c r="Q349" i="159"/>
  <c r="P349" i="159"/>
  <c r="O349" i="159"/>
  <c r="L349" i="159"/>
  <c r="K349" i="159"/>
  <c r="J349" i="159"/>
  <c r="I349" i="159"/>
  <c r="F349" i="159"/>
  <c r="E349" i="159"/>
  <c r="D349" i="159"/>
  <c r="C349" i="159"/>
  <c r="X348" i="159"/>
  <c r="R348" i="159"/>
  <c r="L348" i="159"/>
  <c r="F348" i="159"/>
  <c r="X347" i="159"/>
  <c r="W347" i="159"/>
  <c r="U347" i="159"/>
  <c r="T347" i="159"/>
  <c r="R347" i="159"/>
  <c r="Q347" i="159"/>
  <c r="O347" i="159"/>
  <c r="N347" i="159"/>
  <c r="L347" i="159"/>
  <c r="K347" i="159"/>
  <c r="I347" i="159"/>
  <c r="H347" i="159"/>
  <c r="F347" i="159"/>
  <c r="E347" i="159"/>
  <c r="C347" i="159"/>
  <c r="B347" i="159"/>
  <c r="X346" i="159"/>
  <c r="W346" i="159"/>
  <c r="V346" i="159"/>
  <c r="U346" i="159"/>
  <c r="R346" i="159"/>
  <c r="Q346" i="159"/>
  <c r="P346" i="159"/>
  <c r="O346" i="159"/>
  <c r="L346" i="159"/>
  <c r="K346" i="159"/>
  <c r="J346" i="159"/>
  <c r="I346" i="159"/>
  <c r="F346" i="159"/>
  <c r="E346" i="159"/>
  <c r="D346" i="159"/>
  <c r="C346" i="159"/>
  <c r="T345" i="159"/>
  <c r="N345" i="159"/>
  <c r="H345" i="159"/>
  <c r="B345" i="159"/>
  <c r="S344" i="159"/>
  <c r="M344" i="159"/>
  <c r="G344" i="159"/>
  <c r="A344" i="159"/>
  <c r="T343" i="159"/>
  <c r="N343" i="159"/>
  <c r="H343" i="159"/>
  <c r="B343" i="159"/>
  <c r="X342" i="159"/>
  <c r="W342" i="159"/>
  <c r="V342" i="159"/>
  <c r="U342" i="159"/>
  <c r="R342" i="159"/>
  <c r="Q342" i="159"/>
  <c r="P342" i="159"/>
  <c r="O342" i="159"/>
  <c r="L342" i="159"/>
  <c r="K342" i="159"/>
  <c r="J342" i="159"/>
  <c r="I342" i="159"/>
  <c r="F342" i="159"/>
  <c r="E342" i="159"/>
  <c r="D342" i="159"/>
  <c r="C342" i="159"/>
  <c r="X341" i="159"/>
  <c r="R341" i="159"/>
  <c r="L341" i="159"/>
  <c r="F341" i="159"/>
  <c r="X340" i="159"/>
  <c r="W340" i="159"/>
  <c r="U340" i="159"/>
  <c r="T340" i="159"/>
  <c r="R340" i="159"/>
  <c r="Q340" i="159"/>
  <c r="O340" i="159"/>
  <c r="N340" i="159"/>
  <c r="L340" i="159"/>
  <c r="K340" i="159"/>
  <c r="I340" i="159"/>
  <c r="H340" i="159"/>
  <c r="F340" i="159"/>
  <c r="E340" i="159"/>
  <c r="C340" i="159"/>
  <c r="B340" i="159"/>
  <c r="X339" i="159"/>
  <c r="W339" i="159"/>
  <c r="V339" i="159"/>
  <c r="U339" i="159"/>
  <c r="R339" i="159"/>
  <c r="Q339" i="159"/>
  <c r="P339" i="159"/>
  <c r="O339" i="159"/>
  <c r="L339" i="159"/>
  <c r="K339" i="159"/>
  <c r="J339" i="159"/>
  <c r="I339" i="159"/>
  <c r="F339" i="159"/>
  <c r="E339" i="159"/>
  <c r="D339" i="159"/>
  <c r="C339" i="159"/>
  <c r="T338" i="159"/>
  <c r="N338" i="159"/>
  <c r="H338" i="159"/>
  <c r="B338" i="159"/>
  <c r="S337" i="159"/>
  <c r="M337" i="159"/>
  <c r="G337" i="159"/>
  <c r="A337" i="159"/>
  <c r="T336" i="159"/>
  <c r="N336" i="159"/>
  <c r="H336" i="159"/>
  <c r="B336" i="159"/>
  <c r="X335" i="159"/>
  <c r="W335" i="159"/>
  <c r="V335" i="159"/>
  <c r="U335" i="159"/>
  <c r="R335" i="159"/>
  <c r="Q335" i="159"/>
  <c r="P335" i="159"/>
  <c r="O335" i="159"/>
  <c r="L335" i="159"/>
  <c r="K335" i="159"/>
  <c r="J335" i="159"/>
  <c r="I335" i="159"/>
  <c r="F335" i="159"/>
  <c r="E335" i="159"/>
  <c r="D335" i="159"/>
  <c r="C335" i="159"/>
  <c r="X334" i="159"/>
  <c r="R334" i="159"/>
  <c r="L334" i="159"/>
  <c r="F334" i="159"/>
  <c r="X333" i="159"/>
  <c r="W333" i="159"/>
  <c r="U333" i="159"/>
  <c r="T333" i="159"/>
  <c r="R333" i="159"/>
  <c r="Q333" i="159"/>
  <c r="O333" i="159"/>
  <c r="N333" i="159"/>
  <c r="L333" i="159"/>
  <c r="K333" i="159"/>
  <c r="I333" i="159"/>
  <c r="H333" i="159"/>
  <c r="F333" i="159"/>
  <c r="E333" i="159"/>
  <c r="C333" i="159"/>
  <c r="B333" i="159"/>
  <c r="X332" i="159"/>
  <c r="W332" i="159"/>
  <c r="V332" i="159"/>
  <c r="U332" i="159"/>
  <c r="R332" i="159"/>
  <c r="Q332" i="159"/>
  <c r="P332" i="159"/>
  <c r="O332" i="159"/>
  <c r="L332" i="159"/>
  <c r="K332" i="159"/>
  <c r="J332" i="159"/>
  <c r="I332" i="159"/>
  <c r="F332" i="159"/>
  <c r="E332" i="159"/>
  <c r="D332" i="159"/>
  <c r="C332" i="159"/>
  <c r="T331" i="159"/>
  <c r="N331" i="159"/>
  <c r="H331" i="159"/>
  <c r="B331" i="159"/>
  <c r="S330" i="159"/>
  <c r="M330" i="159"/>
  <c r="G330" i="159"/>
  <c r="A330" i="159"/>
  <c r="T329" i="159"/>
  <c r="N329" i="159"/>
  <c r="H329" i="159"/>
  <c r="B329" i="159"/>
  <c r="X328" i="159"/>
  <c r="W328" i="159"/>
  <c r="V328" i="159"/>
  <c r="U328" i="159"/>
  <c r="R328" i="159"/>
  <c r="Q328" i="159"/>
  <c r="P328" i="159"/>
  <c r="O328" i="159"/>
  <c r="L328" i="159"/>
  <c r="K328" i="159"/>
  <c r="J328" i="159"/>
  <c r="I328" i="159"/>
  <c r="F328" i="159"/>
  <c r="E328" i="159"/>
  <c r="D328" i="159"/>
  <c r="C328" i="159"/>
  <c r="X327" i="159"/>
  <c r="R327" i="159"/>
  <c r="L327" i="159"/>
  <c r="F327" i="159"/>
  <c r="X326" i="159"/>
  <c r="W326" i="159"/>
  <c r="U326" i="159"/>
  <c r="T326" i="159"/>
  <c r="R326" i="159"/>
  <c r="Q326" i="159"/>
  <c r="O326" i="159"/>
  <c r="N326" i="159"/>
  <c r="L326" i="159"/>
  <c r="K326" i="159"/>
  <c r="I326" i="159"/>
  <c r="H326" i="159"/>
  <c r="F326" i="159"/>
  <c r="E326" i="159"/>
  <c r="C326" i="159"/>
  <c r="B326" i="159"/>
  <c r="X325" i="159"/>
  <c r="W325" i="159"/>
  <c r="V325" i="159"/>
  <c r="U325" i="159"/>
  <c r="R325" i="159"/>
  <c r="Q325" i="159"/>
  <c r="P325" i="159"/>
  <c r="O325" i="159"/>
  <c r="L325" i="159"/>
  <c r="K325" i="159"/>
  <c r="J325" i="159"/>
  <c r="I325" i="159"/>
  <c r="F325" i="159"/>
  <c r="E325" i="159"/>
  <c r="D325" i="159"/>
  <c r="C325" i="159"/>
  <c r="T324" i="159"/>
  <c r="N324" i="159"/>
  <c r="H324" i="159"/>
  <c r="B324" i="159"/>
  <c r="S323" i="159"/>
  <c r="M323" i="159"/>
  <c r="G323" i="159"/>
  <c r="A323" i="159"/>
  <c r="T322" i="159"/>
  <c r="N322" i="159"/>
  <c r="H322" i="159"/>
  <c r="B322" i="159"/>
  <c r="X321" i="159"/>
  <c r="W321" i="159"/>
  <c r="V321" i="159"/>
  <c r="U321" i="159"/>
  <c r="R321" i="159"/>
  <c r="Q321" i="159"/>
  <c r="P321" i="159"/>
  <c r="O321" i="159"/>
  <c r="L321" i="159"/>
  <c r="K321" i="159"/>
  <c r="J321" i="159"/>
  <c r="I321" i="159"/>
  <c r="F321" i="159"/>
  <c r="E321" i="159"/>
  <c r="D321" i="159"/>
  <c r="C321" i="159"/>
  <c r="X320" i="159"/>
  <c r="R320" i="159"/>
  <c r="L320" i="159"/>
  <c r="F320" i="159"/>
  <c r="X319" i="159"/>
  <c r="W319" i="159"/>
  <c r="U319" i="159"/>
  <c r="T319" i="159"/>
  <c r="R319" i="159"/>
  <c r="Q319" i="159"/>
  <c r="O319" i="159"/>
  <c r="N319" i="159"/>
  <c r="L319" i="159"/>
  <c r="K319" i="159"/>
  <c r="I319" i="159"/>
  <c r="H319" i="159"/>
  <c r="F319" i="159"/>
  <c r="E319" i="159"/>
  <c r="C319" i="159"/>
  <c r="B319" i="159"/>
  <c r="X318" i="159"/>
  <c r="W318" i="159"/>
  <c r="V318" i="159"/>
  <c r="U318" i="159"/>
  <c r="R318" i="159"/>
  <c r="Q318" i="159"/>
  <c r="P318" i="159"/>
  <c r="O318" i="159"/>
  <c r="L318" i="159"/>
  <c r="K318" i="159"/>
  <c r="J318" i="159"/>
  <c r="I318" i="159"/>
  <c r="F318" i="159"/>
  <c r="E318" i="159"/>
  <c r="D318" i="159"/>
  <c r="C318" i="159"/>
  <c r="T317" i="159"/>
  <c r="N317" i="159"/>
  <c r="H317" i="159"/>
  <c r="B317" i="159"/>
  <c r="S316" i="159"/>
  <c r="M316" i="159"/>
  <c r="G316" i="159"/>
  <c r="A316" i="159"/>
  <c r="T315" i="159"/>
  <c r="N315" i="159"/>
  <c r="H315" i="159"/>
  <c r="B315" i="159"/>
  <c r="X314" i="159"/>
  <c r="W314" i="159"/>
  <c r="V314" i="159"/>
  <c r="U314" i="159"/>
  <c r="R314" i="159"/>
  <c r="Q314" i="159"/>
  <c r="P314" i="159"/>
  <c r="O314" i="159"/>
  <c r="L314" i="159"/>
  <c r="K314" i="159"/>
  <c r="J314" i="159"/>
  <c r="I314" i="159"/>
  <c r="F314" i="159"/>
  <c r="E314" i="159"/>
  <c r="D314" i="159"/>
  <c r="C314" i="159"/>
  <c r="X313" i="159"/>
  <c r="R313" i="159"/>
  <c r="L313" i="159"/>
  <c r="F313" i="159"/>
  <c r="X312" i="159"/>
  <c r="W312" i="159"/>
  <c r="U312" i="159"/>
  <c r="T312" i="159"/>
  <c r="R312" i="159"/>
  <c r="Q312" i="159"/>
  <c r="O312" i="159"/>
  <c r="N312" i="159"/>
  <c r="L312" i="159"/>
  <c r="K312" i="159"/>
  <c r="I312" i="159"/>
  <c r="H312" i="159"/>
  <c r="F312" i="159"/>
  <c r="E312" i="159"/>
  <c r="C312" i="159"/>
  <c r="B312" i="159"/>
  <c r="X311" i="159"/>
  <c r="W311" i="159"/>
  <c r="V311" i="159"/>
  <c r="U311" i="159"/>
  <c r="R311" i="159"/>
  <c r="Q311" i="159"/>
  <c r="P311" i="159"/>
  <c r="O311" i="159"/>
  <c r="L311" i="159"/>
  <c r="K311" i="159"/>
  <c r="J311" i="159"/>
  <c r="I311" i="159"/>
  <c r="F311" i="159"/>
  <c r="E311" i="159"/>
  <c r="D311" i="159"/>
  <c r="C311" i="159"/>
  <c r="T310" i="159"/>
  <c r="N310" i="159"/>
  <c r="H310" i="159"/>
  <c r="B310" i="159"/>
  <c r="S309" i="159"/>
  <c r="M309" i="159"/>
  <c r="G309" i="159"/>
  <c r="A309" i="159"/>
  <c r="T308" i="159"/>
  <c r="N308" i="159"/>
  <c r="H308" i="159"/>
  <c r="B308" i="159"/>
  <c r="X307" i="159"/>
  <c r="W307" i="159"/>
  <c r="V307" i="159"/>
  <c r="U307" i="159"/>
  <c r="R307" i="159"/>
  <c r="Q307" i="159"/>
  <c r="P307" i="159"/>
  <c r="O307" i="159"/>
  <c r="L307" i="159"/>
  <c r="K307" i="159"/>
  <c r="J307" i="159"/>
  <c r="I307" i="159"/>
  <c r="F307" i="159"/>
  <c r="E307" i="159"/>
  <c r="D307" i="159"/>
  <c r="C307" i="159"/>
  <c r="X306" i="159"/>
  <c r="R306" i="159"/>
  <c r="L306" i="159"/>
  <c r="F306" i="159"/>
  <c r="X305" i="159"/>
  <c r="W305" i="159"/>
  <c r="U305" i="159"/>
  <c r="T305" i="159"/>
  <c r="R305" i="159"/>
  <c r="Q305" i="159"/>
  <c r="O305" i="159"/>
  <c r="N305" i="159"/>
  <c r="L305" i="159"/>
  <c r="K305" i="159"/>
  <c r="I305" i="159"/>
  <c r="H305" i="159"/>
  <c r="F305" i="159"/>
  <c r="E305" i="159"/>
  <c r="C305" i="159"/>
  <c r="B305" i="159"/>
  <c r="X304" i="159"/>
  <c r="W304" i="159"/>
  <c r="V304" i="159"/>
  <c r="U304" i="159"/>
  <c r="R304" i="159"/>
  <c r="Q304" i="159"/>
  <c r="P304" i="159"/>
  <c r="O304" i="159"/>
  <c r="L304" i="159"/>
  <c r="K304" i="159"/>
  <c r="J304" i="159"/>
  <c r="I304" i="159"/>
  <c r="F304" i="159"/>
  <c r="E304" i="159"/>
  <c r="D304" i="159"/>
  <c r="C304" i="159"/>
  <c r="T303" i="159"/>
  <c r="N303" i="159"/>
  <c r="H303" i="159"/>
  <c r="B303" i="159"/>
  <c r="S302" i="159"/>
  <c r="M302" i="159"/>
  <c r="G302" i="159"/>
  <c r="A302" i="159"/>
  <c r="T301" i="159"/>
  <c r="N301" i="159"/>
  <c r="H301" i="159"/>
  <c r="B301" i="159"/>
  <c r="X300" i="159"/>
  <c r="W300" i="159"/>
  <c r="V300" i="159"/>
  <c r="U300" i="159"/>
  <c r="R300" i="159"/>
  <c r="Q300" i="159"/>
  <c r="P300" i="159"/>
  <c r="O300" i="159"/>
  <c r="L300" i="159"/>
  <c r="K300" i="159"/>
  <c r="J300" i="159"/>
  <c r="I300" i="159"/>
  <c r="F300" i="159"/>
  <c r="E300" i="159"/>
  <c r="D300" i="159"/>
  <c r="C300" i="159"/>
  <c r="X299" i="159"/>
  <c r="R299" i="159"/>
  <c r="L299" i="159"/>
  <c r="F299" i="159"/>
  <c r="X298" i="159"/>
  <c r="W298" i="159"/>
  <c r="U298" i="159"/>
  <c r="T298" i="159"/>
  <c r="R298" i="159"/>
  <c r="Q298" i="159"/>
  <c r="O298" i="159"/>
  <c r="N298" i="159"/>
  <c r="L298" i="159"/>
  <c r="K298" i="159"/>
  <c r="I298" i="159"/>
  <c r="H298" i="159"/>
  <c r="F298" i="159"/>
  <c r="E298" i="159"/>
  <c r="C298" i="159"/>
  <c r="B298" i="159"/>
  <c r="X297" i="159"/>
  <c r="W297" i="159"/>
  <c r="V297" i="159"/>
  <c r="U297" i="159"/>
  <c r="R297" i="159"/>
  <c r="Q297" i="159"/>
  <c r="P297" i="159"/>
  <c r="O297" i="159"/>
  <c r="L297" i="159"/>
  <c r="K297" i="159"/>
  <c r="J297" i="159"/>
  <c r="I297" i="159"/>
  <c r="F297" i="159"/>
  <c r="E297" i="159"/>
  <c r="D297" i="159"/>
  <c r="C297" i="159"/>
  <c r="T296" i="159"/>
  <c r="N296" i="159"/>
  <c r="H296" i="159"/>
  <c r="B296" i="159"/>
  <c r="S295" i="159"/>
  <c r="M295" i="159"/>
  <c r="G295" i="159"/>
  <c r="A295" i="159"/>
  <c r="T294" i="159"/>
  <c r="N294" i="159"/>
  <c r="H294" i="159"/>
  <c r="B294" i="159"/>
  <c r="X293" i="159"/>
  <c r="W293" i="159"/>
  <c r="V293" i="159"/>
  <c r="U293" i="159"/>
  <c r="R293" i="159"/>
  <c r="Q293" i="159"/>
  <c r="P293" i="159"/>
  <c r="O293" i="159"/>
  <c r="L293" i="159"/>
  <c r="K293" i="159"/>
  <c r="J293" i="159"/>
  <c r="I293" i="159"/>
  <c r="F293" i="159"/>
  <c r="E293" i="159"/>
  <c r="D293" i="159"/>
  <c r="C293" i="159"/>
  <c r="X292" i="159"/>
  <c r="R292" i="159"/>
  <c r="L292" i="159"/>
  <c r="F292" i="159"/>
  <c r="X291" i="159"/>
  <c r="W291" i="159"/>
  <c r="U291" i="159"/>
  <c r="T291" i="159"/>
  <c r="R291" i="159"/>
  <c r="Q291" i="159"/>
  <c r="O291" i="159"/>
  <c r="N291" i="159"/>
  <c r="L291" i="159"/>
  <c r="K291" i="159"/>
  <c r="I291" i="159"/>
  <c r="H291" i="159"/>
  <c r="F291" i="159"/>
  <c r="E291" i="159"/>
  <c r="C291" i="159"/>
  <c r="B291" i="159"/>
  <c r="X290" i="159"/>
  <c r="W290" i="159"/>
  <c r="V290" i="159"/>
  <c r="U290" i="159"/>
  <c r="R290" i="159"/>
  <c r="Q290" i="159"/>
  <c r="P290" i="159"/>
  <c r="O290" i="159"/>
  <c r="L290" i="159"/>
  <c r="K290" i="159"/>
  <c r="J290" i="159"/>
  <c r="I290" i="159"/>
  <c r="F290" i="159"/>
  <c r="E290" i="159"/>
  <c r="D290" i="159"/>
  <c r="C290" i="159"/>
  <c r="T289" i="159"/>
  <c r="N289" i="159"/>
  <c r="H289" i="159"/>
  <c r="B289" i="159"/>
  <c r="S288" i="159"/>
  <c r="M288" i="159"/>
  <c r="G288" i="159"/>
  <c r="A288" i="159"/>
  <c r="T287" i="159"/>
  <c r="N287" i="159"/>
  <c r="H287" i="159"/>
  <c r="B287" i="159"/>
  <c r="X286" i="159"/>
  <c r="W286" i="159"/>
  <c r="V286" i="159"/>
  <c r="U286" i="159"/>
  <c r="R286" i="159"/>
  <c r="Q286" i="159"/>
  <c r="P286" i="159"/>
  <c r="O286" i="159"/>
  <c r="L286" i="159"/>
  <c r="K286" i="159"/>
  <c r="J286" i="159"/>
  <c r="I286" i="159"/>
  <c r="F286" i="159"/>
  <c r="E286" i="159"/>
  <c r="D286" i="159"/>
  <c r="C286" i="159"/>
  <c r="X285" i="159"/>
  <c r="R285" i="159"/>
  <c r="L285" i="159"/>
  <c r="F285" i="159"/>
  <c r="X284" i="159"/>
  <c r="W284" i="159"/>
  <c r="U284" i="159"/>
  <c r="T284" i="159"/>
  <c r="R284" i="159"/>
  <c r="Q284" i="159"/>
  <c r="O284" i="159"/>
  <c r="N284" i="159"/>
  <c r="L284" i="159"/>
  <c r="K284" i="159"/>
  <c r="I284" i="159"/>
  <c r="H284" i="159"/>
  <c r="F284" i="159"/>
  <c r="E284" i="159"/>
  <c r="C284" i="159"/>
  <c r="B284" i="159"/>
  <c r="X283" i="159"/>
  <c r="W283" i="159"/>
  <c r="V283" i="159"/>
  <c r="U283" i="159"/>
  <c r="R283" i="159"/>
  <c r="Q283" i="159"/>
  <c r="P283" i="159"/>
  <c r="O283" i="159"/>
  <c r="L283" i="159"/>
  <c r="K283" i="159"/>
  <c r="J283" i="159"/>
  <c r="I283" i="159"/>
  <c r="F283" i="159"/>
  <c r="E283" i="159"/>
  <c r="D283" i="159"/>
  <c r="C283" i="159"/>
  <c r="T282" i="159"/>
  <c r="N282" i="159"/>
  <c r="H282" i="159"/>
  <c r="B282" i="159"/>
  <c r="S281" i="159"/>
  <c r="M281" i="159"/>
  <c r="G281" i="159"/>
  <c r="A281" i="159"/>
  <c r="T280" i="159"/>
  <c r="N280" i="159"/>
  <c r="H280" i="159"/>
  <c r="B280" i="159"/>
  <c r="X279" i="159"/>
  <c r="W279" i="159"/>
  <c r="V279" i="159"/>
  <c r="U279" i="159"/>
  <c r="R279" i="159"/>
  <c r="Q279" i="159"/>
  <c r="P279" i="159"/>
  <c r="O279" i="159"/>
  <c r="L279" i="159"/>
  <c r="K279" i="159"/>
  <c r="J279" i="159"/>
  <c r="I279" i="159"/>
  <c r="F279" i="159"/>
  <c r="E279" i="159"/>
  <c r="D279" i="159"/>
  <c r="C279" i="159"/>
  <c r="X278" i="159"/>
  <c r="R278" i="159"/>
  <c r="L278" i="159"/>
  <c r="F278" i="159"/>
  <c r="X277" i="159"/>
  <c r="W277" i="159"/>
  <c r="U277" i="159"/>
  <c r="T277" i="159"/>
  <c r="R277" i="159"/>
  <c r="Q277" i="159"/>
  <c r="O277" i="159"/>
  <c r="N277" i="159"/>
  <c r="L277" i="159"/>
  <c r="K277" i="159"/>
  <c r="I277" i="159"/>
  <c r="H277" i="159"/>
  <c r="F277" i="159"/>
  <c r="E277" i="159"/>
  <c r="C277" i="159"/>
  <c r="B277" i="159"/>
  <c r="X276" i="159"/>
  <c r="W276" i="159"/>
  <c r="V276" i="159"/>
  <c r="U276" i="159"/>
  <c r="R276" i="159"/>
  <c r="Q276" i="159"/>
  <c r="P276" i="159"/>
  <c r="O276" i="159"/>
  <c r="L276" i="159"/>
  <c r="K276" i="159"/>
  <c r="J276" i="159"/>
  <c r="I276" i="159"/>
  <c r="F276" i="159"/>
  <c r="E276" i="159"/>
  <c r="D276" i="159"/>
  <c r="C276" i="159"/>
  <c r="T275" i="159"/>
  <c r="N275" i="159"/>
  <c r="H275" i="159"/>
  <c r="B275" i="159"/>
  <c r="S274" i="159"/>
  <c r="M274" i="159"/>
  <c r="G274" i="159"/>
  <c r="A274" i="159"/>
  <c r="T273" i="159"/>
  <c r="N273" i="159"/>
  <c r="H273" i="159"/>
  <c r="B273" i="159"/>
  <c r="X272" i="159"/>
  <c r="W272" i="159"/>
  <c r="V272" i="159"/>
  <c r="U272" i="159"/>
  <c r="R272" i="159"/>
  <c r="Q272" i="159"/>
  <c r="P272" i="159"/>
  <c r="O272" i="159"/>
  <c r="L272" i="159"/>
  <c r="K272" i="159"/>
  <c r="J272" i="159"/>
  <c r="I272" i="159"/>
  <c r="F272" i="159"/>
  <c r="E272" i="159"/>
  <c r="D272" i="159"/>
  <c r="C272" i="159"/>
  <c r="X271" i="159"/>
  <c r="R271" i="159"/>
  <c r="L271" i="159"/>
  <c r="F271" i="159"/>
  <c r="X270" i="159"/>
  <c r="W270" i="159"/>
  <c r="U270" i="159"/>
  <c r="T270" i="159"/>
  <c r="R270" i="159"/>
  <c r="Q270" i="159"/>
  <c r="O270" i="159"/>
  <c r="N270" i="159"/>
  <c r="L270" i="159"/>
  <c r="K270" i="159"/>
  <c r="I270" i="159"/>
  <c r="H270" i="159"/>
  <c r="F270" i="159"/>
  <c r="E270" i="159"/>
  <c r="C270" i="159"/>
  <c r="B270" i="159"/>
  <c r="X269" i="159"/>
  <c r="W269" i="159"/>
  <c r="V269" i="159"/>
  <c r="U269" i="159"/>
  <c r="R269" i="159"/>
  <c r="Q269" i="159"/>
  <c r="P269" i="159"/>
  <c r="O269" i="159"/>
  <c r="L269" i="159"/>
  <c r="K269" i="159"/>
  <c r="J269" i="159"/>
  <c r="I269" i="159"/>
  <c r="F269" i="159"/>
  <c r="E269" i="159"/>
  <c r="D269" i="159"/>
  <c r="C269" i="159"/>
  <c r="T268" i="159"/>
  <c r="N268" i="159"/>
  <c r="H268" i="159"/>
  <c r="B268" i="159"/>
  <c r="S267" i="159"/>
  <c r="M267" i="159"/>
  <c r="G267" i="159"/>
  <c r="A267" i="159"/>
  <c r="T266" i="159"/>
  <c r="N266" i="159"/>
  <c r="H266" i="159"/>
  <c r="B266" i="159"/>
  <c r="X265" i="159"/>
  <c r="W265" i="159"/>
  <c r="V265" i="159"/>
  <c r="U265" i="159"/>
  <c r="R265" i="159"/>
  <c r="Q265" i="159"/>
  <c r="P265" i="159"/>
  <c r="O265" i="159"/>
  <c r="L265" i="159"/>
  <c r="K265" i="159"/>
  <c r="J265" i="159"/>
  <c r="I265" i="159"/>
  <c r="F265" i="159"/>
  <c r="E265" i="159"/>
  <c r="D265" i="159"/>
  <c r="C265" i="159"/>
  <c r="X264" i="159"/>
  <c r="R264" i="159"/>
  <c r="L264" i="159"/>
  <c r="F264" i="159"/>
  <c r="X263" i="159"/>
  <c r="W263" i="159"/>
  <c r="U263" i="159"/>
  <c r="T263" i="159"/>
  <c r="R263" i="159"/>
  <c r="Q263" i="159"/>
  <c r="O263" i="159"/>
  <c r="N263" i="159"/>
  <c r="L263" i="159"/>
  <c r="K263" i="159"/>
  <c r="I263" i="159"/>
  <c r="H263" i="159"/>
  <c r="F263" i="159"/>
  <c r="E263" i="159"/>
  <c r="C263" i="159"/>
  <c r="B263" i="159"/>
  <c r="X262" i="159"/>
  <c r="W262" i="159"/>
  <c r="V262" i="159"/>
  <c r="U262" i="159"/>
  <c r="R262" i="159"/>
  <c r="Q262" i="159"/>
  <c r="P262" i="159"/>
  <c r="O262" i="159"/>
  <c r="L262" i="159"/>
  <c r="K262" i="159"/>
  <c r="J262" i="159"/>
  <c r="I262" i="159"/>
  <c r="F262" i="159"/>
  <c r="E262" i="159"/>
  <c r="D262" i="159"/>
  <c r="C262" i="159"/>
  <c r="T261" i="159"/>
  <c r="N261" i="159"/>
  <c r="H261" i="159"/>
  <c r="B261" i="159"/>
  <c r="S260" i="159"/>
  <c r="M260" i="159"/>
  <c r="G260" i="159"/>
  <c r="A260" i="159"/>
  <c r="T259" i="159"/>
  <c r="N259" i="159"/>
  <c r="H259" i="159"/>
  <c r="B259" i="159"/>
  <c r="X258" i="159"/>
  <c r="W258" i="159"/>
  <c r="V258" i="159"/>
  <c r="U258" i="159"/>
  <c r="R258" i="159"/>
  <c r="Q258" i="159"/>
  <c r="P258" i="159"/>
  <c r="O258" i="159"/>
  <c r="L258" i="159"/>
  <c r="K258" i="159"/>
  <c r="J258" i="159"/>
  <c r="I258" i="159"/>
  <c r="F258" i="159"/>
  <c r="E258" i="159"/>
  <c r="D258" i="159"/>
  <c r="C258" i="159"/>
  <c r="X257" i="159"/>
  <c r="R257" i="159"/>
  <c r="L257" i="159"/>
  <c r="F257" i="159"/>
  <c r="X256" i="159"/>
  <c r="W256" i="159"/>
  <c r="U256" i="159"/>
  <c r="T256" i="159"/>
  <c r="R256" i="159"/>
  <c r="Q256" i="159"/>
  <c r="O256" i="159"/>
  <c r="N256" i="159"/>
  <c r="L256" i="159"/>
  <c r="K256" i="159"/>
  <c r="I256" i="159"/>
  <c r="H256" i="159"/>
  <c r="F256" i="159"/>
  <c r="E256" i="159"/>
  <c r="C256" i="159"/>
  <c r="B256" i="159"/>
  <c r="X255" i="159"/>
  <c r="W255" i="159"/>
  <c r="V255" i="159"/>
  <c r="U255" i="159"/>
  <c r="R255" i="159"/>
  <c r="Q255" i="159"/>
  <c r="P255" i="159"/>
  <c r="O255" i="159"/>
  <c r="L255" i="159"/>
  <c r="K255" i="159"/>
  <c r="J255" i="159"/>
  <c r="I255" i="159"/>
  <c r="F255" i="159"/>
  <c r="E255" i="159"/>
  <c r="D255" i="159"/>
  <c r="C255" i="159"/>
  <c r="T254" i="159"/>
  <c r="N254" i="159"/>
  <c r="H254" i="159"/>
  <c r="B254" i="159"/>
  <c r="S253" i="159"/>
  <c r="M253" i="159"/>
  <c r="G253" i="159"/>
  <c r="A253" i="159"/>
  <c r="T252" i="159"/>
  <c r="N252" i="159"/>
  <c r="H252" i="159"/>
  <c r="B252" i="159"/>
  <c r="X251" i="159"/>
  <c r="W251" i="159"/>
  <c r="V251" i="159"/>
  <c r="U251" i="159"/>
  <c r="R251" i="159"/>
  <c r="Q251" i="159"/>
  <c r="P251" i="159"/>
  <c r="O251" i="159"/>
  <c r="L251" i="159"/>
  <c r="K251" i="159"/>
  <c r="J251" i="159"/>
  <c r="I251" i="159"/>
  <c r="F251" i="159"/>
  <c r="E251" i="159"/>
  <c r="D251" i="159"/>
  <c r="C251" i="159"/>
  <c r="X250" i="159"/>
  <c r="R250" i="159"/>
  <c r="L250" i="159"/>
  <c r="F250" i="159"/>
  <c r="X249" i="159"/>
  <c r="W249" i="159"/>
  <c r="U249" i="159"/>
  <c r="T249" i="159"/>
  <c r="R249" i="159"/>
  <c r="Q249" i="159"/>
  <c r="O249" i="159"/>
  <c r="N249" i="159"/>
  <c r="L249" i="159"/>
  <c r="K249" i="159"/>
  <c r="I249" i="159"/>
  <c r="H249" i="159"/>
  <c r="F249" i="159"/>
  <c r="E249" i="159"/>
  <c r="C249" i="159"/>
  <c r="B249" i="159"/>
  <c r="X248" i="159"/>
  <c r="W248" i="159"/>
  <c r="V248" i="159"/>
  <c r="U248" i="159"/>
  <c r="R248" i="159"/>
  <c r="Q248" i="159"/>
  <c r="P248" i="159"/>
  <c r="O248" i="159"/>
  <c r="L248" i="159"/>
  <c r="K248" i="159"/>
  <c r="J248" i="159"/>
  <c r="I248" i="159"/>
  <c r="F248" i="159"/>
  <c r="E248" i="159"/>
  <c r="D248" i="159"/>
  <c r="C248" i="159"/>
  <c r="T247" i="159"/>
  <c r="N247" i="159"/>
  <c r="H247" i="159"/>
  <c r="B247" i="159"/>
  <c r="S246" i="159"/>
  <c r="M246" i="159"/>
  <c r="G246" i="159"/>
  <c r="A246" i="159"/>
  <c r="T245" i="159"/>
  <c r="N245" i="159"/>
  <c r="H245" i="159"/>
  <c r="B245" i="159"/>
  <c r="X244" i="159"/>
  <c r="W244" i="159"/>
  <c r="V244" i="159"/>
  <c r="U244" i="159"/>
  <c r="R244" i="159"/>
  <c r="Q244" i="159"/>
  <c r="P244" i="159"/>
  <c r="O244" i="159"/>
  <c r="L244" i="159"/>
  <c r="K244" i="159"/>
  <c r="J244" i="159"/>
  <c r="I244" i="159"/>
  <c r="F244" i="159"/>
  <c r="E244" i="159"/>
  <c r="D244" i="159"/>
  <c r="C244" i="159"/>
  <c r="X243" i="159"/>
  <c r="R243" i="159"/>
  <c r="L243" i="159"/>
  <c r="F243" i="159"/>
  <c r="X242" i="159"/>
  <c r="W242" i="159"/>
  <c r="U242" i="159"/>
  <c r="T242" i="159"/>
  <c r="R242" i="159"/>
  <c r="Q242" i="159"/>
  <c r="O242" i="159"/>
  <c r="N242" i="159"/>
  <c r="L242" i="159"/>
  <c r="K242" i="159"/>
  <c r="I242" i="159"/>
  <c r="H242" i="159"/>
  <c r="F242" i="159"/>
  <c r="E242" i="159"/>
  <c r="C242" i="159"/>
  <c r="B242" i="159"/>
  <c r="X241" i="159"/>
  <c r="W241" i="159"/>
  <c r="V241" i="159"/>
  <c r="U241" i="159"/>
  <c r="R241" i="159"/>
  <c r="Q241" i="159"/>
  <c r="P241" i="159"/>
  <c r="O241" i="159"/>
  <c r="L241" i="159"/>
  <c r="K241" i="159"/>
  <c r="J241" i="159"/>
  <c r="I241" i="159"/>
  <c r="F241" i="159"/>
  <c r="E241" i="159"/>
  <c r="D241" i="159"/>
  <c r="C241" i="159"/>
  <c r="T240" i="159"/>
  <c r="N240" i="159"/>
  <c r="H240" i="159"/>
  <c r="B240" i="159"/>
  <c r="S239" i="159"/>
  <c r="M239" i="159"/>
  <c r="G239" i="159"/>
  <c r="A239" i="159"/>
  <c r="T238" i="159"/>
  <c r="N238" i="159"/>
  <c r="H238" i="159"/>
  <c r="B238" i="159"/>
  <c r="X237" i="159"/>
  <c r="W237" i="159"/>
  <c r="V237" i="159"/>
  <c r="U237" i="159"/>
  <c r="R237" i="159"/>
  <c r="Q237" i="159"/>
  <c r="P237" i="159"/>
  <c r="O237" i="159"/>
  <c r="L237" i="159"/>
  <c r="K237" i="159"/>
  <c r="J237" i="159"/>
  <c r="I237" i="159"/>
  <c r="F237" i="159"/>
  <c r="E237" i="159"/>
  <c r="D237" i="159"/>
  <c r="C237" i="159"/>
  <c r="X236" i="159"/>
  <c r="R236" i="159"/>
  <c r="L236" i="159"/>
  <c r="F236" i="159"/>
  <c r="X235" i="159"/>
  <c r="W235" i="159"/>
  <c r="U235" i="159"/>
  <c r="T235" i="159"/>
  <c r="R235" i="159"/>
  <c r="Q235" i="159"/>
  <c r="O235" i="159"/>
  <c r="N235" i="159"/>
  <c r="L235" i="159"/>
  <c r="K235" i="159"/>
  <c r="I235" i="159"/>
  <c r="H235" i="159"/>
  <c r="F235" i="159"/>
  <c r="E235" i="159"/>
  <c r="C235" i="159"/>
  <c r="B235" i="159"/>
  <c r="X234" i="159"/>
  <c r="W234" i="159"/>
  <c r="V234" i="159"/>
  <c r="U234" i="159"/>
  <c r="R234" i="159"/>
  <c r="Q234" i="159"/>
  <c r="P234" i="159"/>
  <c r="O234" i="159"/>
  <c r="L234" i="159"/>
  <c r="K234" i="159"/>
  <c r="J234" i="159"/>
  <c r="I234" i="159"/>
  <c r="F234" i="159"/>
  <c r="E234" i="159"/>
  <c r="D234" i="159"/>
  <c r="C234" i="159"/>
  <c r="T233" i="159"/>
  <c r="N233" i="159"/>
  <c r="H233" i="159"/>
  <c r="B233" i="159"/>
  <c r="S232" i="159"/>
  <c r="M232" i="159"/>
  <c r="G232" i="159"/>
  <c r="A232" i="159"/>
  <c r="T231" i="159"/>
  <c r="N231" i="159"/>
  <c r="H231" i="159"/>
  <c r="B231" i="159"/>
  <c r="X230" i="159"/>
  <c r="W230" i="159"/>
  <c r="V230" i="159"/>
  <c r="U230" i="159"/>
  <c r="R230" i="159"/>
  <c r="Q230" i="159"/>
  <c r="P230" i="159"/>
  <c r="O230" i="159"/>
  <c r="L230" i="159"/>
  <c r="K230" i="159"/>
  <c r="J230" i="159"/>
  <c r="I230" i="159"/>
  <c r="F230" i="159"/>
  <c r="E230" i="159"/>
  <c r="D230" i="159"/>
  <c r="C230" i="159"/>
  <c r="X229" i="159"/>
  <c r="R229" i="159"/>
  <c r="L229" i="159"/>
  <c r="F229" i="159"/>
  <c r="X228" i="159"/>
  <c r="W228" i="159"/>
  <c r="U228" i="159"/>
  <c r="T228" i="159"/>
  <c r="R228" i="159"/>
  <c r="Q228" i="159"/>
  <c r="O228" i="159"/>
  <c r="N228" i="159"/>
  <c r="L228" i="159"/>
  <c r="K228" i="159"/>
  <c r="I228" i="159"/>
  <c r="H228" i="159"/>
  <c r="F228" i="159"/>
  <c r="E228" i="159"/>
  <c r="C228" i="159"/>
  <c r="B228" i="159"/>
  <c r="X227" i="159"/>
  <c r="W227" i="159"/>
  <c r="V227" i="159"/>
  <c r="U227" i="159"/>
  <c r="R227" i="159"/>
  <c r="Q227" i="159"/>
  <c r="P227" i="159"/>
  <c r="O227" i="159"/>
  <c r="L227" i="159"/>
  <c r="K227" i="159"/>
  <c r="J227" i="159"/>
  <c r="I227" i="159"/>
  <c r="F227" i="159"/>
  <c r="E227" i="159"/>
  <c r="D227" i="159"/>
  <c r="C227" i="159"/>
  <c r="T226" i="159"/>
  <c r="N226" i="159"/>
  <c r="H226" i="159"/>
  <c r="B226" i="159"/>
  <c r="S225" i="159"/>
  <c r="M225" i="159"/>
  <c r="G225" i="159"/>
  <c r="A225" i="159"/>
  <c r="T224" i="159"/>
  <c r="N224" i="159"/>
  <c r="H224" i="159"/>
  <c r="B224" i="159"/>
  <c r="X223" i="159"/>
  <c r="W223" i="159"/>
  <c r="V223" i="159"/>
  <c r="U223" i="159"/>
  <c r="R223" i="159"/>
  <c r="Q223" i="159"/>
  <c r="P223" i="159"/>
  <c r="O223" i="159"/>
  <c r="L223" i="159"/>
  <c r="K223" i="159"/>
  <c r="J223" i="159"/>
  <c r="I223" i="159"/>
  <c r="F223" i="159"/>
  <c r="E223" i="159"/>
  <c r="D223" i="159"/>
  <c r="C223" i="159"/>
  <c r="X222" i="159"/>
  <c r="R222" i="159"/>
  <c r="L222" i="159"/>
  <c r="F222" i="159"/>
  <c r="X221" i="159"/>
  <c r="W221" i="159"/>
  <c r="U221" i="159"/>
  <c r="T221" i="159"/>
  <c r="R221" i="159"/>
  <c r="Q221" i="159"/>
  <c r="O221" i="159"/>
  <c r="N221" i="159"/>
  <c r="L221" i="159"/>
  <c r="K221" i="159"/>
  <c r="I221" i="159"/>
  <c r="H221" i="159"/>
  <c r="F221" i="159"/>
  <c r="E221" i="159"/>
  <c r="C221" i="159"/>
  <c r="B221" i="159"/>
  <c r="X220" i="159"/>
  <c r="W220" i="159"/>
  <c r="V220" i="159"/>
  <c r="U220" i="159"/>
  <c r="R220" i="159"/>
  <c r="Q220" i="159"/>
  <c r="P220" i="159"/>
  <c r="O220" i="159"/>
  <c r="L220" i="159"/>
  <c r="K220" i="159"/>
  <c r="J220" i="159"/>
  <c r="I220" i="159"/>
  <c r="F220" i="159"/>
  <c r="E220" i="159"/>
  <c r="D220" i="159"/>
  <c r="C220" i="159"/>
  <c r="T219" i="159"/>
  <c r="N219" i="159"/>
  <c r="H219" i="159"/>
  <c r="B219" i="159"/>
  <c r="S218" i="159"/>
  <c r="M218" i="159"/>
  <c r="G218" i="159"/>
  <c r="A218" i="159"/>
  <c r="T217" i="159"/>
  <c r="N217" i="159"/>
  <c r="H217" i="159"/>
  <c r="B217" i="159"/>
  <c r="X216" i="159"/>
  <c r="W216" i="159"/>
  <c r="V216" i="159"/>
  <c r="U216" i="159"/>
  <c r="R216" i="159"/>
  <c r="Q216" i="159"/>
  <c r="P216" i="159"/>
  <c r="O216" i="159"/>
  <c r="L216" i="159"/>
  <c r="K216" i="159"/>
  <c r="J216" i="159"/>
  <c r="I216" i="159"/>
  <c r="F216" i="159"/>
  <c r="E216" i="159"/>
  <c r="D216" i="159"/>
  <c r="C216" i="159"/>
  <c r="X215" i="159"/>
  <c r="R215" i="159"/>
  <c r="L215" i="159"/>
  <c r="F215" i="159"/>
  <c r="X214" i="159"/>
  <c r="W214" i="159"/>
  <c r="U214" i="159"/>
  <c r="T214" i="159"/>
  <c r="R214" i="159"/>
  <c r="Q214" i="159"/>
  <c r="O214" i="159"/>
  <c r="N214" i="159"/>
  <c r="L214" i="159"/>
  <c r="K214" i="159"/>
  <c r="I214" i="159"/>
  <c r="H214" i="159"/>
  <c r="F214" i="159"/>
  <c r="E214" i="159"/>
  <c r="C214" i="159"/>
  <c r="B214" i="159"/>
  <c r="X213" i="159"/>
  <c r="W213" i="159"/>
  <c r="V213" i="159"/>
  <c r="U213" i="159"/>
  <c r="R213" i="159"/>
  <c r="Q213" i="159"/>
  <c r="P213" i="159"/>
  <c r="O213" i="159"/>
  <c r="L213" i="159"/>
  <c r="K213" i="159"/>
  <c r="J213" i="159"/>
  <c r="I213" i="159"/>
  <c r="F213" i="159"/>
  <c r="E213" i="159"/>
  <c r="D213" i="159"/>
  <c r="C213" i="159"/>
  <c r="T212" i="159"/>
  <c r="N212" i="159"/>
  <c r="H212" i="159"/>
  <c r="B212" i="159"/>
  <c r="S211" i="159"/>
  <c r="M211" i="159"/>
  <c r="G211" i="159"/>
  <c r="A211" i="159"/>
  <c r="T210" i="159"/>
  <c r="N210" i="159"/>
  <c r="H210" i="159"/>
  <c r="B210" i="159"/>
  <c r="X209" i="159"/>
  <c r="W209" i="159"/>
  <c r="V209" i="159"/>
  <c r="U209" i="159"/>
  <c r="R209" i="159"/>
  <c r="Q209" i="159"/>
  <c r="P209" i="159"/>
  <c r="O209" i="159"/>
  <c r="L209" i="159"/>
  <c r="K209" i="159"/>
  <c r="J209" i="159"/>
  <c r="I209" i="159"/>
  <c r="F209" i="159"/>
  <c r="E209" i="159"/>
  <c r="D209" i="159"/>
  <c r="C209" i="159"/>
  <c r="X208" i="159"/>
  <c r="R208" i="159"/>
  <c r="L208" i="159"/>
  <c r="F208" i="159"/>
  <c r="X207" i="159"/>
  <c r="W207" i="159"/>
  <c r="U207" i="159"/>
  <c r="T207" i="159"/>
  <c r="R207" i="159"/>
  <c r="Q207" i="159"/>
  <c r="O207" i="159"/>
  <c r="N207" i="159"/>
  <c r="L207" i="159"/>
  <c r="K207" i="159"/>
  <c r="I207" i="159"/>
  <c r="H207" i="159"/>
  <c r="F207" i="159"/>
  <c r="E207" i="159"/>
  <c r="C207" i="159"/>
  <c r="B207" i="159"/>
  <c r="X206" i="159"/>
  <c r="W206" i="159"/>
  <c r="V206" i="159"/>
  <c r="U206" i="159"/>
  <c r="R206" i="159"/>
  <c r="Q206" i="159"/>
  <c r="P206" i="159"/>
  <c r="O206" i="159"/>
  <c r="L206" i="159"/>
  <c r="K206" i="159"/>
  <c r="J206" i="159"/>
  <c r="I206" i="159"/>
  <c r="F206" i="159"/>
  <c r="E206" i="159"/>
  <c r="D206" i="159"/>
  <c r="C206" i="159"/>
  <c r="T205" i="159"/>
  <c r="N205" i="159"/>
  <c r="H205" i="159"/>
  <c r="B205" i="159"/>
  <c r="S204" i="159"/>
  <c r="M204" i="159"/>
  <c r="G204" i="159"/>
  <c r="A204" i="159"/>
  <c r="T203" i="159"/>
  <c r="N203" i="159"/>
  <c r="H203" i="159"/>
  <c r="B203" i="159"/>
  <c r="X202" i="159"/>
  <c r="W202" i="159"/>
  <c r="V202" i="159"/>
  <c r="U202" i="159"/>
  <c r="R202" i="159"/>
  <c r="Q202" i="159"/>
  <c r="P202" i="159"/>
  <c r="O202" i="159"/>
  <c r="L202" i="159"/>
  <c r="K202" i="159"/>
  <c r="J202" i="159"/>
  <c r="I202" i="159"/>
  <c r="F202" i="159"/>
  <c r="E202" i="159"/>
  <c r="D202" i="159"/>
  <c r="C202" i="159"/>
  <c r="X201" i="159"/>
  <c r="R201" i="159"/>
  <c r="L201" i="159"/>
  <c r="F201" i="159"/>
  <c r="X200" i="159"/>
  <c r="W200" i="159"/>
  <c r="U200" i="159"/>
  <c r="T200" i="159"/>
  <c r="R200" i="159"/>
  <c r="Q200" i="159"/>
  <c r="O200" i="159"/>
  <c r="N200" i="159"/>
  <c r="L200" i="159"/>
  <c r="K200" i="159"/>
  <c r="I200" i="159"/>
  <c r="H200" i="159"/>
  <c r="F200" i="159"/>
  <c r="E200" i="159"/>
  <c r="C200" i="159"/>
  <c r="B200" i="159"/>
  <c r="X199" i="159"/>
  <c r="W199" i="159"/>
  <c r="V199" i="159"/>
  <c r="U199" i="159"/>
  <c r="R199" i="159"/>
  <c r="Q199" i="159"/>
  <c r="P199" i="159"/>
  <c r="O199" i="159"/>
  <c r="L199" i="159"/>
  <c r="K199" i="159"/>
  <c r="J199" i="159"/>
  <c r="I199" i="159"/>
  <c r="F199" i="159"/>
  <c r="E199" i="159"/>
  <c r="D199" i="159"/>
  <c r="C199" i="159"/>
  <c r="T198" i="159"/>
  <c r="N198" i="159"/>
  <c r="H198" i="159"/>
  <c r="B198" i="159"/>
  <c r="S197" i="159"/>
  <c r="M197" i="159"/>
  <c r="G197" i="159"/>
  <c r="A197" i="159"/>
  <c r="T196" i="159"/>
  <c r="N196" i="159"/>
  <c r="H196" i="159"/>
  <c r="B196" i="159"/>
  <c r="X195" i="159"/>
  <c r="W195" i="159"/>
  <c r="V195" i="159"/>
  <c r="U195" i="159"/>
  <c r="R195" i="159"/>
  <c r="Q195" i="159"/>
  <c r="P195" i="159"/>
  <c r="O195" i="159"/>
  <c r="L195" i="159"/>
  <c r="K195" i="159"/>
  <c r="J195" i="159"/>
  <c r="I195" i="159"/>
  <c r="F195" i="159"/>
  <c r="E195" i="159"/>
  <c r="D195" i="159"/>
  <c r="C195" i="159"/>
  <c r="X194" i="159"/>
  <c r="R194" i="159"/>
  <c r="L194" i="159"/>
  <c r="F194" i="159"/>
  <c r="X193" i="159"/>
  <c r="W193" i="159"/>
  <c r="U193" i="159"/>
  <c r="T193" i="159"/>
  <c r="R193" i="159"/>
  <c r="Q193" i="159"/>
  <c r="O193" i="159"/>
  <c r="N193" i="159"/>
  <c r="L193" i="159"/>
  <c r="K193" i="159"/>
  <c r="I193" i="159"/>
  <c r="H193" i="159"/>
  <c r="F193" i="159"/>
  <c r="E193" i="159"/>
  <c r="C193" i="159"/>
  <c r="B193" i="159"/>
  <c r="X192" i="159"/>
  <c r="W192" i="159"/>
  <c r="V192" i="159"/>
  <c r="U192" i="159"/>
  <c r="R192" i="159"/>
  <c r="Q192" i="159"/>
  <c r="P192" i="159"/>
  <c r="O192" i="159"/>
  <c r="L192" i="159"/>
  <c r="K192" i="159"/>
  <c r="J192" i="159"/>
  <c r="I192" i="159"/>
  <c r="F192" i="159"/>
  <c r="E192" i="159"/>
  <c r="D192" i="159"/>
  <c r="C192" i="159"/>
  <c r="T191" i="159"/>
  <c r="N191" i="159"/>
  <c r="H191" i="159"/>
  <c r="B191" i="159"/>
  <c r="S190" i="159"/>
  <c r="M190" i="159"/>
  <c r="G190" i="159"/>
  <c r="A190" i="159"/>
  <c r="T189" i="159"/>
  <c r="N189" i="159"/>
  <c r="H189" i="159"/>
  <c r="B189" i="159"/>
  <c r="X188" i="159"/>
  <c r="W188" i="159"/>
  <c r="V188" i="159"/>
  <c r="U188" i="159"/>
  <c r="R188" i="159"/>
  <c r="Q188" i="159"/>
  <c r="P188" i="159"/>
  <c r="O188" i="159"/>
  <c r="L188" i="159"/>
  <c r="K188" i="159"/>
  <c r="J188" i="159"/>
  <c r="I188" i="159"/>
  <c r="F188" i="159"/>
  <c r="E188" i="159"/>
  <c r="D188" i="159"/>
  <c r="C188" i="159"/>
  <c r="X187" i="159"/>
  <c r="R187" i="159"/>
  <c r="L187" i="159"/>
  <c r="F187" i="159"/>
  <c r="X186" i="159"/>
  <c r="W186" i="159"/>
  <c r="U186" i="159"/>
  <c r="T186" i="159"/>
  <c r="R186" i="159"/>
  <c r="Q186" i="159"/>
  <c r="O186" i="159"/>
  <c r="N186" i="159"/>
  <c r="L186" i="159"/>
  <c r="K186" i="159"/>
  <c r="I186" i="159"/>
  <c r="H186" i="159"/>
  <c r="F186" i="159"/>
  <c r="E186" i="159"/>
  <c r="C186" i="159"/>
  <c r="B186" i="159"/>
  <c r="X185" i="159"/>
  <c r="W185" i="159"/>
  <c r="V185" i="159"/>
  <c r="U185" i="159"/>
  <c r="R185" i="159"/>
  <c r="Q185" i="159"/>
  <c r="P185" i="159"/>
  <c r="O185" i="159"/>
  <c r="L185" i="159"/>
  <c r="K185" i="159"/>
  <c r="J185" i="159"/>
  <c r="I185" i="159"/>
  <c r="F185" i="159"/>
  <c r="E185" i="159"/>
  <c r="D185" i="159"/>
  <c r="C185" i="159"/>
  <c r="T184" i="159"/>
  <c r="N184" i="159"/>
  <c r="H184" i="159"/>
  <c r="B184" i="159"/>
  <c r="S183" i="159"/>
  <c r="M183" i="159"/>
  <c r="G183" i="159"/>
  <c r="A183" i="159"/>
  <c r="T182" i="159"/>
  <c r="N182" i="159"/>
  <c r="H182" i="159"/>
  <c r="B182" i="159"/>
  <c r="X181" i="159"/>
  <c r="W181" i="159"/>
  <c r="V181" i="159"/>
  <c r="U181" i="159"/>
  <c r="R181" i="159"/>
  <c r="Q181" i="159"/>
  <c r="P181" i="159"/>
  <c r="O181" i="159"/>
  <c r="L181" i="159"/>
  <c r="K181" i="159"/>
  <c r="J181" i="159"/>
  <c r="I181" i="159"/>
  <c r="F181" i="159"/>
  <c r="E181" i="159"/>
  <c r="D181" i="159"/>
  <c r="C181" i="159"/>
  <c r="X180" i="159"/>
  <c r="R180" i="159"/>
  <c r="L180" i="159"/>
  <c r="F180" i="159"/>
  <c r="X179" i="159"/>
  <c r="W179" i="159"/>
  <c r="U179" i="159"/>
  <c r="T179" i="159"/>
  <c r="R179" i="159"/>
  <c r="Q179" i="159"/>
  <c r="O179" i="159"/>
  <c r="N179" i="159"/>
  <c r="L179" i="159"/>
  <c r="K179" i="159"/>
  <c r="I179" i="159"/>
  <c r="H179" i="159"/>
  <c r="F179" i="159"/>
  <c r="E179" i="159"/>
  <c r="C179" i="159"/>
  <c r="B179" i="159"/>
  <c r="X178" i="159"/>
  <c r="W178" i="159"/>
  <c r="V178" i="159"/>
  <c r="U178" i="159"/>
  <c r="R178" i="159"/>
  <c r="Q178" i="159"/>
  <c r="P178" i="159"/>
  <c r="O178" i="159"/>
  <c r="L178" i="159"/>
  <c r="K178" i="159"/>
  <c r="J178" i="159"/>
  <c r="I178" i="159"/>
  <c r="F178" i="159"/>
  <c r="E178" i="159"/>
  <c r="D178" i="159"/>
  <c r="C178" i="159"/>
  <c r="T177" i="159"/>
  <c r="N177" i="159"/>
  <c r="H177" i="159"/>
  <c r="B177" i="159"/>
  <c r="S176" i="159"/>
  <c r="M176" i="159"/>
  <c r="G176" i="159"/>
  <c r="A176" i="159"/>
  <c r="T175" i="159"/>
  <c r="N175" i="159"/>
  <c r="H175" i="159"/>
  <c r="B175" i="159"/>
  <c r="X174" i="159"/>
  <c r="W174" i="159"/>
  <c r="V174" i="159"/>
  <c r="U174" i="159"/>
  <c r="R174" i="159"/>
  <c r="Q174" i="159"/>
  <c r="P174" i="159"/>
  <c r="O174" i="159"/>
  <c r="L174" i="159"/>
  <c r="K174" i="159"/>
  <c r="J174" i="159"/>
  <c r="I174" i="159"/>
  <c r="F174" i="159"/>
  <c r="E174" i="159"/>
  <c r="D174" i="159"/>
  <c r="C174" i="159"/>
  <c r="X173" i="159"/>
  <c r="R173" i="159"/>
  <c r="L173" i="159"/>
  <c r="F173" i="159"/>
  <c r="X172" i="159"/>
  <c r="W172" i="159"/>
  <c r="U172" i="159"/>
  <c r="T172" i="159"/>
  <c r="R172" i="159"/>
  <c r="Q172" i="159"/>
  <c r="O172" i="159"/>
  <c r="N172" i="159"/>
  <c r="L172" i="159"/>
  <c r="K172" i="159"/>
  <c r="I172" i="159"/>
  <c r="H172" i="159"/>
  <c r="F172" i="159"/>
  <c r="E172" i="159"/>
  <c r="C172" i="159"/>
  <c r="B172" i="159"/>
  <c r="X171" i="159"/>
  <c r="W171" i="159"/>
  <c r="V171" i="159"/>
  <c r="U171" i="159"/>
  <c r="R171" i="159"/>
  <c r="Q171" i="159"/>
  <c r="P171" i="159"/>
  <c r="O171" i="159"/>
  <c r="L171" i="159"/>
  <c r="K171" i="159"/>
  <c r="J171" i="159"/>
  <c r="I171" i="159"/>
  <c r="F171" i="159"/>
  <c r="E171" i="159"/>
  <c r="D171" i="159"/>
  <c r="C171" i="159"/>
  <c r="T170" i="159"/>
  <c r="N170" i="159"/>
  <c r="H170" i="159"/>
  <c r="B170" i="159"/>
  <c r="S169" i="159"/>
  <c r="M169" i="159"/>
  <c r="G169" i="159"/>
  <c r="A169" i="159"/>
  <c r="T168" i="159"/>
  <c r="N168" i="159"/>
  <c r="H168" i="159"/>
  <c r="B168" i="159"/>
  <c r="X167" i="159"/>
  <c r="W167" i="159"/>
  <c r="V167" i="159"/>
  <c r="U167" i="159"/>
  <c r="R167" i="159"/>
  <c r="Q167" i="159"/>
  <c r="P167" i="159"/>
  <c r="O167" i="159"/>
  <c r="L167" i="159"/>
  <c r="K167" i="159"/>
  <c r="J167" i="159"/>
  <c r="I167" i="159"/>
  <c r="F167" i="159"/>
  <c r="E167" i="159"/>
  <c r="D167" i="159"/>
  <c r="C167" i="159"/>
  <c r="X166" i="159"/>
  <c r="R166" i="159"/>
  <c r="L166" i="159"/>
  <c r="F166" i="159"/>
  <c r="X165" i="159"/>
  <c r="W165" i="159"/>
  <c r="U165" i="159"/>
  <c r="T165" i="159"/>
  <c r="R165" i="159"/>
  <c r="Q165" i="159"/>
  <c r="O165" i="159"/>
  <c r="N165" i="159"/>
  <c r="L165" i="159"/>
  <c r="K165" i="159"/>
  <c r="I165" i="159"/>
  <c r="H165" i="159"/>
  <c r="F165" i="159"/>
  <c r="E165" i="159"/>
  <c r="C165" i="159"/>
  <c r="B165" i="159"/>
  <c r="X164" i="159"/>
  <c r="W164" i="159"/>
  <c r="V164" i="159"/>
  <c r="U164" i="159"/>
  <c r="R164" i="159"/>
  <c r="Q164" i="159"/>
  <c r="P164" i="159"/>
  <c r="O164" i="159"/>
  <c r="L164" i="159"/>
  <c r="K164" i="159"/>
  <c r="J164" i="159"/>
  <c r="I164" i="159"/>
  <c r="F164" i="159"/>
  <c r="E164" i="159"/>
  <c r="D164" i="159"/>
  <c r="C164" i="159"/>
  <c r="T163" i="159"/>
  <c r="N163" i="159"/>
  <c r="H163" i="159"/>
  <c r="B163" i="159"/>
  <c r="S162" i="159"/>
  <c r="M162" i="159"/>
  <c r="G162" i="159"/>
  <c r="A162" i="159"/>
  <c r="T161" i="159"/>
  <c r="N161" i="159"/>
  <c r="H161" i="159"/>
  <c r="B161" i="159"/>
  <c r="X160" i="159"/>
  <c r="W160" i="159"/>
  <c r="V160" i="159"/>
  <c r="U160" i="159"/>
  <c r="R160" i="159"/>
  <c r="Q160" i="159"/>
  <c r="P160" i="159"/>
  <c r="O160" i="159"/>
  <c r="L160" i="159"/>
  <c r="K160" i="159"/>
  <c r="J160" i="159"/>
  <c r="I160" i="159"/>
  <c r="F160" i="159"/>
  <c r="E160" i="159"/>
  <c r="D160" i="159"/>
  <c r="C160" i="159"/>
  <c r="X159" i="159"/>
  <c r="R159" i="159"/>
  <c r="L159" i="159"/>
  <c r="F159" i="159"/>
  <c r="X158" i="159"/>
  <c r="W158" i="159"/>
  <c r="U158" i="159"/>
  <c r="T158" i="159"/>
  <c r="R158" i="159"/>
  <c r="Q158" i="159"/>
  <c r="O158" i="159"/>
  <c r="N158" i="159"/>
  <c r="L158" i="159"/>
  <c r="K158" i="159"/>
  <c r="I158" i="159"/>
  <c r="H158" i="159"/>
  <c r="F158" i="159"/>
  <c r="E158" i="159"/>
  <c r="C158" i="159"/>
  <c r="B158" i="159"/>
  <c r="X157" i="159"/>
  <c r="W157" i="159"/>
  <c r="V157" i="159"/>
  <c r="U157" i="159"/>
  <c r="R157" i="159"/>
  <c r="Q157" i="159"/>
  <c r="P157" i="159"/>
  <c r="O157" i="159"/>
  <c r="L157" i="159"/>
  <c r="K157" i="159"/>
  <c r="J157" i="159"/>
  <c r="I157" i="159"/>
  <c r="F157" i="159"/>
  <c r="E157" i="159"/>
  <c r="D157" i="159"/>
  <c r="C157" i="159"/>
  <c r="T156" i="159"/>
  <c r="N156" i="159"/>
  <c r="H156" i="159"/>
  <c r="B156" i="159"/>
  <c r="S155" i="159"/>
  <c r="M155" i="159"/>
  <c r="G155" i="159"/>
  <c r="A155" i="159"/>
  <c r="T154" i="159"/>
  <c r="N154" i="159"/>
  <c r="H154" i="159"/>
  <c r="B154" i="159"/>
  <c r="X153" i="159"/>
  <c r="W153" i="159"/>
  <c r="V153" i="159"/>
  <c r="U153" i="159"/>
  <c r="R153" i="159"/>
  <c r="Q153" i="159"/>
  <c r="P153" i="159"/>
  <c r="O153" i="159"/>
  <c r="L153" i="159"/>
  <c r="K153" i="159"/>
  <c r="J153" i="159"/>
  <c r="I153" i="159"/>
  <c r="F153" i="159"/>
  <c r="E153" i="159"/>
  <c r="D153" i="159"/>
  <c r="C153" i="159"/>
  <c r="X152" i="159"/>
  <c r="R152" i="159"/>
  <c r="L152" i="159"/>
  <c r="F152" i="159"/>
  <c r="X151" i="159"/>
  <c r="W151" i="159"/>
  <c r="U151" i="159"/>
  <c r="T151" i="159"/>
  <c r="R151" i="159"/>
  <c r="Q151" i="159"/>
  <c r="O151" i="159"/>
  <c r="N151" i="159"/>
  <c r="L151" i="159"/>
  <c r="K151" i="159"/>
  <c r="I151" i="159"/>
  <c r="H151" i="159"/>
  <c r="F151" i="159"/>
  <c r="E151" i="159"/>
  <c r="C151" i="159"/>
  <c r="B151" i="159"/>
  <c r="X150" i="159"/>
  <c r="W150" i="159"/>
  <c r="V150" i="159"/>
  <c r="U150" i="159"/>
  <c r="R150" i="159"/>
  <c r="Q150" i="159"/>
  <c r="P150" i="159"/>
  <c r="O150" i="159"/>
  <c r="L150" i="159"/>
  <c r="K150" i="159"/>
  <c r="J150" i="159"/>
  <c r="I150" i="159"/>
  <c r="F150" i="159"/>
  <c r="E150" i="159"/>
  <c r="D150" i="159"/>
  <c r="C150" i="159"/>
  <c r="T149" i="159"/>
  <c r="N149" i="159"/>
  <c r="H149" i="159"/>
  <c r="B149" i="159"/>
  <c r="S148" i="159"/>
  <c r="M148" i="159"/>
  <c r="G148" i="159"/>
  <c r="A148" i="159"/>
  <c r="T147" i="159"/>
  <c r="N147" i="159"/>
  <c r="H147" i="159"/>
  <c r="B147" i="159"/>
  <c r="X146" i="159"/>
  <c r="W146" i="159"/>
  <c r="V146" i="159"/>
  <c r="U146" i="159"/>
  <c r="R146" i="159"/>
  <c r="Q146" i="159"/>
  <c r="P146" i="159"/>
  <c r="O146" i="159"/>
  <c r="L146" i="159"/>
  <c r="K146" i="159"/>
  <c r="J146" i="159"/>
  <c r="I146" i="159"/>
  <c r="F146" i="159"/>
  <c r="E146" i="159"/>
  <c r="D146" i="159"/>
  <c r="C146" i="159"/>
  <c r="X145" i="159"/>
  <c r="R145" i="159"/>
  <c r="L145" i="159"/>
  <c r="F145" i="159"/>
  <c r="X144" i="159"/>
  <c r="W144" i="159"/>
  <c r="U144" i="159"/>
  <c r="T144" i="159"/>
  <c r="R144" i="159"/>
  <c r="Q144" i="159"/>
  <c r="O144" i="159"/>
  <c r="N144" i="159"/>
  <c r="L144" i="159"/>
  <c r="K144" i="159"/>
  <c r="I144" i="159"/>
  <c r="H144" i="159"/>
  <c r="F144" i="159"/>
  <c r="E144" i="159"/>
  <c r="C144" i="159"/>
  <c r="B144" i="159"/>
  <c r="X143" i="159"/>
  <c r="W143" i="159"/>
  <c r="V143" i="159"/>
  <c r="U143" i="159"/>
  <c r="R143" i="159"/>
  <c r="Q143" i="159"/>
  <c r="P143" i="159"/>
  <c r="O143" i="159"/>
  <c r="L143" i="159"/>
  <c r="K143" i="159"/>
  <c r="J143" i="159"/>
  <c r="I143" i="159"/>
  <c r="F143" i="159"/>
  <c r="E143" i="159"/>
  <c r="D143" i="159"/>
  <c r="C143" i="159"/>
  <c r="T142" i="159"/>
  <c r="N142" i="159"/>
  <c r="H142" i="159"/>
  <c r="B142" i="159"/>
  <c r="S141" i="159"/>
  <c r="M141" i="159"/>
  <c r="G141" i="159"/>
  <c r="A141" i="159"/>
  <c r="T140" i="159"/>
  <c r="N140" i="159"/>
  <c r="H140" i="159"/>
  <c r="B140" i="159"/>
  <c r="X139" i="159"/>
  <c r="W139" i="159"/>
  <c r="V139" i="159"/>
  <c r="U139" i="159"/>
  <c r="R139" i="159"/>
  <c r="Q139" i="159"/>
  <c r="P139" i="159"/>
  <c r="O139" i="159"/>
  <c r="L139" i="159"/>
  <c r="K139" i="159"/>
  <c r="J139" i="159"/>
  <c r="I139" i="159"/>
  <c r="F139" i="159"/>
  <c r="E139" i="159"/>
  <c r="D139" i="159"/>
  <c r="C139" i="159"/>
  <c r="X138" i="159"/>
  <c r="R138" i="159"/>
  <c r="L138" i="159"/>
  <c r="F138" i="159"/>
  <c r="X137" i="159"/>
  <c r="W137" i="159"/>
  <c r="U137" i="159"/>
  <c r="T137" i="159"/>
  <c r="R137" i="159"/>
  <c r="Q137" i="159"/>
  <c r="O137" i="159"/>
  <c r="N137" i="159"/>
  <c r="L137" i="159"/>
  <c r="K137" i="159"/>
  <c r="I137" i="159"/>
  <c r="H137" i="159"/>
  <c r="F137" i="159"/>
  <c r="E137" i="159"/>
  <c r="C137" i="159"/>
  <c r="B137" i="159"/>
  <c r="X136" i="159"/>
  <c r="W136" i="159"/>
  <c r="V136" i="159"/>
  <c r="U136" i="159"/>
  <c r="R136" i="159"/>
  <c r="Q136" i="159"/>
  <c r="P136" i="159"/>
  <c r="O136" i="159"/>
  <c r="L136" i="159"/>
  <c r="K136" i="159"/>
  <c r="J136" i="159"/>
  <c r="I136" i="159"/>
  <c r="F136" i="159"/>
  <c r="E136" i="159"/>
  <c r="D136" i="159"/>
  <c r="C136" i="159"/>
  <c r="T135" i="159"/>
  <c r="N135" i="159"/>
  <c r="H135" i="159"/>
  <c r="B135" i="159"/>
  <c r="S134" i="159"/>
  <c r="M134" i="159"/>
  <c r="G134" i="159"/>
  <c r="A134" i="159"/>
  <c r="T133" i="159"/>
  <c r="N133" i="159"/>
  <c r="H133" i="159"/>
  <c r="B133" i="159"/>
  <c r="X132" i="159"/>
  <c r="W132" i="159"/>
  <c r="V132" i="159"/>
  <c r="U132" i="159"/>
  <c r="R132" i="159"/>
  <c r="Q132" i="159"/>
  <c r="P132" i="159"/>
  <c r="O132" i="159"/>
  <c r="L132" i="159"/>
  <c r="K132" i="159"/>
  <c r="J132" i="159"/>
  <c r="I132" i="159"/>
  <c r="F132" i="159"/>
  <c r="E132" i="159"/>
  <c r="D132" i="159"/>
  <c r="C132" i="159"/>
  <c r="X131" i="159"/>
  <c r="R131" i="159"/>
  <c r="L131" i="159"/>
  <c r="F131" i="159"/>
  <c r="X130" i="159"/>
  <c r="W130" i="159"/>
  <c r="U130" i="159"/>
  <c r="T130" i="159"/>
  <c r="R130" i="159"/>
  <c r="Q130" i="159"/>
  <c r="O130" i="159"/>
  <c r="N130" i="159"/>
  <c r="L130" i="159"/>
  <c r="K130" i="159"/>
  <c r="I130" i="159"/>
  <c r="H130" i="159"/>
  <c r="F130" i="159"/>
  <c r="E130" i="159"/>
  <c r="C130" i="159"/>
  <c r="B130" i="159"/>
  <c r="X129" i="159"/>
  <c r="W129" i="159"/>
  <c r="V129" i="159"/>
  <c r="U129" i="159"/>
  <c r="R129" i="159"/>
  <c r="Q129" i="159"/>
  <c r="P129" i="159"/>
  <c r="O129" i="159"/>
  <c r="L129" i="159"/>
  <c r="K129" i="159"/>
  <c r="J129" i="159"/>
  <c r="I129" i="159"/>
  <c r="F129" i="159"/>
  <c r="E129" i="159"/>
  <c r="D129" i="159"/>
  <c r="C129" i="159"/>
  <c r="T128" i="159"/>
  <c r="N128" i="159"/>
  <c r="H128" i="159"/>
  <c r="B128" i="159"/>
  <c r="S127" i="159"/>
  <c r="M127" i="159"/>
  <c r="G127" i="159"/>
  <c r="A127" i="159"/>
  <c r="T126" i="159"/>
  <c r="N126" i="159"/>
  <c r="H126" i="159"/>
  <c r="B126" i="159"/>
  <c r="X125" i="159"/>
  <c r="W125" i="159"/>
  <c r="V125" i="159"/>
  <c r="U125" i="159"/>
  <c r="R125" i="159"/>
  <c r="Q125" i="159"/>
  <c r="P125" i="159"/>
  <c r="O125" i="159"/>
  <c r="L125" i="159"/>
  <c r="K125" i="159"/>
  <c r="J125" i="159"/>
  <c r="I125" i="159"/>
  <c r="F125" i="159"/>
  <c r="E125" i="159"/>
  <c r="D125" i="159"/>
  <c r="C125" i="159"/>
  <c r="X124" i="159"/>
  <c r="R124" i="159"/>
  <c r="L124" i="159"/>
  <c r="F124" i="159"/>
  <c r="X123" i="159"/>
  <c r="W123" i="159"/>
  <c r="U123" i="159"/>
  <c r="T123" i="159"/>
  <c r="R123" i="159"/>
  <c r="Q123" i="159"/>
  <c r="O123" i="159"/>
  <c r="N123" i="159"/>
  <c r="L123" i="159"/>
  <c r="K123" i="159"/>
  <c r="I123" i="159"/>
  <c r="H123" i="159"/>
  <c r="F123" i="159"/>
  <c r="E123" i="159"/>
  <c r="C123" i="159"/>
  <c r="B123" i="159"/>
  <c r="X122" i="159"/>
  <c r="W122" i="159"/>
  <c r="V122" i="159"/>
  <c r="U122" i="159"/>
  <c r="R122" i="159"/>
  <c r="Q122" i="159"/>
  <c r="P122" i="159"/>
  <c r="O122" i="159"/>
  <c r="L122" i="159"/>
  <c r="K122" i="159"/>
  <c r="J122" i="159"/>
  <c r="I122" i="159"/>
  <c r="F122" i="159"/>
  <c r="E122" i="159"/>
  <c r="D122" i="159"/>
  <c r="C122" i="159"/>
  <c r="T121" i="159"/>
  <c r="N121" i="159"/>
  <c r="H121" i="159"/>
  <c r="B121" i="159"/>
  <c r="S120" i="159"/>
  <c r="M120" i="159"/>
  <c r="G120" i="159"/>
  <c r="A120" i="159"/>
  <c r="T119" i="159"/>
  <c r="N119" i="159"/>
  <c r="H119" i="159"/>
  <c r="B119" i="159"/>
  <c r="X118" i="159"/>
  <c r="W118" i="159"/>
  <c r="V118" i="159"/>
  <c r="U118" i="159"/>
  <c r="R118" i="159"/>
  <c r="Q118" i="159"/>
  <c r="P118" i="159"/>
  <c r="O118" i="159"/>
  <c r="L118" i="159"/>
  <c r="K118" i="159"/>
  <c r="J118" i="159"/>
  <c r="I118" i="159"/>
  <c r="F118" i="159"/>
  <c r="E118" i="159"/>
  <c r="D118" i="159"/>
  <c r="C118" i="159"/>
  <c r="X117" i="159"/>
  <c r="R117" i="159"/>
  <c r="L117" i="159"/>
  <c r="F117" i="159"/>
  <c r="X116" i="159"/>
  <c r="W116" i="159"/>
  <c r="U116" i="159"/>
  <c r="T116" i="159"/>
  <c r="R116" i="159"/>
  <c r="Q116" i="159"/>
  <c r="O116" i="159"/>
  <c r="N116" i="159"/>
  <c r="L116" i="159"/>
  <c r="K116" i="159"/>
  <c r="I116" i="159"/>
  <c r="H116" i="159"/>
  <c r="F116" i="159"/>
  <c r="E116" i="159"/>
  <c r="C116" i="159"/>
  <c r="B116" i="159"/>
  <c r="X115" i="159"/>
  <c r="W115" i="159"/>
  <c r="V115" i="159"/>
  <c r="U115" i="159"/>
  <c r="R115" i="159"/>
  <c r="Q115" i="159"/>
  <c r="P115" i="159"/>
  <c r="O115" i="159"/>
  <c r="L115" i="159"/>
  <c r="K115" i="159"/>
  <c r="J115" i="159"/>
  <c r="I115" i="159"/>
  <c r="F115" i="159"/>
  <c r="E115" i="159"/>
  <c r="D115" i="159"/>
  <c r="C115" i="159"/>
  <c r="T114" i="159"/>
  <c r="N114" i="159"/>
  <c r="H114" i="159"/>
  <c r="B114" i="159"/>
  <c r="S113" i="159"/>
  <c r="M113" i="159"/>
  <c r="G113" i="159"/>
  <c r="A113" i="159"/>
  <c r="T112" i="159"/>
  <c r="N112" i="159"/>
  <c r="H112" i="159"/>
  <c r="B112" i="159"/>
  <c r="X111" i="159"/>
  <c r="W111" i="159"/>
  <c r="V111" i="159"/>
  <c r="U111" i="159"/>
  <c r="R111" i="159"/>
  <c r="Q111" i="159"/>
  <c r="P111" i="159"/>
  <c r="O111" i="159"/>
  <c r="L111" i="159"/>
  <c r="K111" i="159"/>
  <c r="J111" i="159"/>
  <c r="I111" i="159"/>
  <c r="F111" i="159"/>
  <c r="E111" i="159"/>
  <c r="D111" i="159"/>
  <c r="C111" i="159"/>
  <c r="X110" i="159"/>
  <c r="R110" i="159"/>
  <c r="L110" i="159"/>
  <c r="F110" i="159"/>
  <c r="X109" i="159"/>
  <c r="W109" i="159"/>
  <c r="U109" i="159"/>
  <c r="T109" i="159"/>
  <c r="R109" i="159"/>
  <c r="Q109" i="159"/>
  <c r="O109" i="159"/>
  <c r="N109" i="159"/>
  <c r="L109" i="159"/>
  <c r="K109" i="159"/>
  <c r="I109" i="159"/>
  <c r="H109" i="159"/>
  <c r="F109" i="159"/>
  <c r="E109" i="159"/>
  <c r="C109" i="159"/>
  <c r="B109" i="159"/>
  <c r="X108" i="159"/>
  <c r="W108" i="159"/>
  <c r="V108" i="159"/>
  <c r="U108" i="159"/>
  <c r="R108" i="159"/>
  <c r="Q108" i="159"/>
  <c r="P108" i="159"/>
  <c r="O108" i="159"/>
  <c r="L108" i="159"/>
  <c r="K108" i="159"/>
  <c r="J108" i="159"/>
  <c r="I108" i="159"/>
  <c r="F108" i="159"/>
  <c r="E108" i="159"/>
  <c r="D108" i="159"/>
  <c r="C108" i="159"/>
  <c r="T107" i="159"/>
  <c r="N107" i="159"/>
  <c r="H107" i="159"/>
  <c r="B107" i="159"/>
  <c r="S106" i="159"/>
  <c r="M106" i="159"/>
  <c r="G106" i="159"/>
  <c r="A106" i="159"/>
  <c r="T105" i="159"/>
  <c r="N105" i="159"/>
  <c r="H105" i="159"/>
  <c r="B105" i="159"/>
  <c r="X104" i="159"/>
  <c r="W104" i="159"/>
  <c r="V104" i="159"/>
  <c r="U104" i="159"/>
  <c r="R104" i="159"/>
  <c r="Q104" i="159"/>
  <c r="P104" i="159"/>
  <c r="O104" i="159"/>
  <c r="L104" i="159"/>
  <c r="K104" i="159"/>
  <c r="J104" i="159"/>
  <c r="I104" i="159"/>
  <c r="F104" i="159"/>
  <c r="E104" i="159"/>
  <c r="D104" i="159"/>
  <c r="C104" i="159"/>
  <c r="X103" i="159"/>
  <c r="R103" i="159"/>
  <c r="L103" i="159"/>
  <c r="F103" i="159"/>
  <c r="X102" i="159"/>
  <c r="W102" i="159"/>
  <c r="U102" i="159"/>
  <c r="T102" i="159"/>
  <c r="R102" i="159"/>
  <c r="Q102" i="159"/>
  <c r="O102" i="159"/>
  <c r="N102" i="159"/>
  <c r="L102" i="159"/>
  <c r="K102" i="159"/>
  <c r="I102" i="159"/>
  <c r="H102" i="159"/>
  <c r="F102" i="159"/>
  <c r="E102" i="159"/>
  <c r="C102" i="159"/>
  <c r="B102" i="159"/>
  <c r="X101" i="159"/>
  <c r="W101" i="159"/>
  <c r="V101" i="159"/>
  <c r="U101" i="159"/>
  <c r="R101" i="159"/>
  <c r="Q101" i="159"/>
  <c r="P101" i="159"/>
  <c r="O101" i="159"/>
  <c r="L101" i="159"/>
  <c r="K101" i="159"/>
  <c r="J101" i="159"/>
  <c r="I101" i="159"/>
  <c r="F101" i="159"/>
  <c r="E101" i="159"/>
  <c r="D101" i="159"/>
  <c r="C101" i="159"/>
  <c r="T100" i="159"/>
  <c r="N100" i="159"/>
  <c r="H100" i="159"/>
  <c r="B100" i="159"/>
  <c r="S99" i="159"/>
  <c r="M99" i="159"/>
  <c r="G99" i="159"/>
  <c r="A99" i="159"/>
  <c r="T98" i="159"/>
  <c r="N98" i="159"/>
  <c r="H98" i="159"/>
  <c r="B98" i="159"/>
  <c r="X97" i="159"/>
  <c r="W97" i="159"/>
  <c r="V97" i="159"/>
  <c r="U97" i="159"/>
  <c r="R97" i="159"/>
  <c r="Q97" i="159"/>
  <c r="P97" i="159"/>
  <c r="O97" i="159"/>
  <c r="L97" i="159"/>
  <c r="K97" i="159"/>
  <c r="J97" i="159"/>
  <c r="I97" i="159"/>
  <c r="F97" i="159"/>
  <c r="E97" i="159"/>
  <c r="D97" i="159"/>
  <c r="C97" i="159"/>
  <c r="X96" i="159"/>
  <c r="R96" i="159"/>
  <c r="L96" i="159"/>
  <c r="F96" i="159"/>
  <c r="X95" i="159"/>
  <c r="W95" i="159"/>
  <c r="U95" i="159"/>
  <c r="T95" i="159"/>
  <c r="R95" i="159"/>
  <c r="Q95" i="159"/>
  <c r="O95" i="159"/>
  <c r="N95" i="159"/>
  <c r="L95" i="159"/>
  <c r="K95" i="159"/>
  <c r="I95" i="159"/>
  <c r="H95" i="159"/>
  <c r="F95" i="159"/>
  <c r="E95" i="159"/>
  <c r="C95" i="159"/>
  <c r="B95" i="159"/>
  <c r="X94" i="159"/>
  <c r="W94" i="159"/>
  <c r="V94" i="159"/>
  <c r="U94" i="159"/>
  <c r="R94" i="159"/>
  <c r="Q94" i="159"/>
  <c r="P94" i="159"/>
  <c r="O94" i="159"/>
  <c r="L94" i="159"/>
  <c r="K94" i="159"/>
  <c r="J94" i="159"/>
  <c r="I94" i="159"/>
  <c r="F94" i="159"/>
  <c r="E94" i="159"/>
  <c r="D94" i="159"/>
  <c r="C94" i="159"/>
  <c r="T93" i="159"/>
  <c r="N93" i="159"/>
  <c r="H93" i="159"/>
  <c r="B93" i="159"/>
  <c r="S92" i="159"/>
  <c r="M92" i="159"/>
  <c r="G92" i="159"/>
  <c r="A92" i="159"/>
  <c r="T91" i="159"/>
  <c r="N91" i="159"/>
  <c r="H91" i="159"/>
  <c r="B91" i="159"/>
  <c r="X90" i="159"/>
  <c r="W90" i="159"/>
  <c r="V90" i="159"/>
  <c r="U90" i="159"/>
  <c r="R90" i="159"/>
  <c r="Q90" i="159"/>
  <c r="P90" i="159"/>
  <c r="O90" i="159"/>
  <c r="L90" i="159"/>
  <c r="K90" i="159"/>
  <c r="J90" i="159"/>
  <c r="I90" i="159"/>
  <c r="F90" i="159"/>
  <c r="E90" i="159"/>
  <c r="D90" i="159"/>
  <c r="C90" i="159"/>
  <c r="X89" i="159"/>
  <c r="R89" i="159"/>
  <c r="L89" i="159"/>
  <c r="F89" i="159"/>
  <c r="X88" i="159"/>
  <c r="W88" i="159"/>
  <c r="U88" i="159"/>
  <c r="T88" i="159"/>
  <c r="R88" i="159"/>
  <c r="Q88" i="159"/>
  <c r="O88" i="159"/>
  <c r="N88" i="159"/>
  <c r="L88" i="159"/>
  <c r="K88" i="159"/>
  <c r="I88" i="159"/>
  <c r="H88" i="159"/>
  <c r="F88" i="159"/>
  <c r="E88" i="159"/>
  <c r="C88" i="159"/>
  <c r="B88" i="159"/>
  <c r="X87" i="159"/>
  <c r="W87" i="159"/>
  <c r="V87" i="159"/>
  <c r="U87" i="159"/>
  <c r="R87" i="159"/>
  <c r="Q87" i="159"/>
  <c r="P87" i="159"/>
  <c r="O87" i="159"/>
  <c r="L87" i="159"/>
  <c r="K87" i="159"/>
  <c r="J87" i="159"/>
  <c r="I87" i="159"/>
  <c r="F87" i="159"/>
  <c r="E87" i="159"/>
  <c r="D87" i="159"/>
  <c r="C87" i="159"/>
  <c r="T86" i="159"/>
  <c r="N86" i="159"/>
  <c r="H86" i="159"/>
  <c r="B86" i="159"/>
  <c r="S85" i="159"/>
  <c r="M85" i="159"/>
  <c r="G85" i="159"/>
  <c r="A85" i="159"/>
  <c r="T84" i="159"/>
  <c r="N84" i="159"/>
  <c r="H84" i="159"/>
  <c r="B84" i="159"/>
  <c r="X83" i="159"/>
  <c r="W83" i="159"/>
  <c r="V83" i="159"/>
  <c r="U83" i="159"/>
  <c r="R83" i="159"/>
  <c r="Q83" i="159"/>
  <c r="P83" i="159"/>
  <c r="O83" i="159"/>
  <c r="L83" i="159"/>
  <c r="K83" i="159"/>
  <c r="J83" i="159"/>
  <c r="I83" i="159"/>
  <c r="F83" i="159"/>
  <c r="E83" i="159"/>
  <c r="D83" i="159"/>
  <c r="C83" i="159"/>
  <c r="X82" i="159"/>
  <c r="R82" i="159"/>
  <c r="L82" i="159"/>
  <c r="F82" i="159"/>
  <c r="X81" i="159"/>
  <c r="W81" i="159"/>
  <c r="U81" i="159"/>
  <c r="T81" i="159"/>
  <c r="R81" i="159"/>
  <c r="Q81" i="159"/>
  <c r="O81" i="159"/>
  <c r="N81" i="159"/>
  <c r="L81" i="159"/>
  <c r="K81" i="159"/>
  <c r="I81" i="159"/>
  <c r="H81" i="159"/>
  <c r="F81" i="159"/>
  <c r="E81" i="159"/>
  <c r="C81" i="159"/>
  <c r="B81" i="159"/>
  <c r="X80" i="159"/>
  <c r="W80" i="159"/>
  <c r="V80" i="159"/>
  <c r="U80" i="159"/>
  <c r="R80" i="159"/>
  <c r="Q80" i="159"/>
  <c r="P80" i="159"/>
  <c r="O80" i="159"/>
  <c r="L80" i="159"/>
  <c r="K80" i="159"/>
  <c r="J80" i="159"/>
  <c r="I80" i="159"/>
  <c r="F80" i="159"/>
  <c r="E80" i="159"/>
  <c r="D80" i="159"/>
  <c r="C80" i="159"/>
  <c r="T79" i="159"/>
  <c r="N79" i="159"/>
  <c r="H79" i="159"/>
  <c r="B79" i="159"/>
  <c r="S78" i="159"/>
  <c r="M78" i="159"/>
  <c r="G78" i="159"/>
  <c r="A78" i="159"/>
  <c r="T77" i="159"/>
  <c r="N77" i="159"/>
  <c r="H77" i="159"/>
  <c r="B77" i="159"/>
  <c r="X76" i="159"/>
  <c r="W76" i="159"/>
  <c r="V76" i="159"/>
  <c r="U76" i="159"/>
  <c r="R76" i="159"/>
  <c r="Q76" i="159"/>
  <c r="P76" i="159"/>
  <c r="O76" i="159"/>
  <c r="L76" i="159"/>
  <c r="K76" i="159"/>
  <c r="J76" i="159"/>
  <c r="I76" i="159"/>
  <c r="F76" i="159"/>
  <c r="E76" i="159"/>
  <c r="D76" i="159"/>
  <c r="C76" i="159"/>
  <c r="X75" i="159"/>
  <c r="R75" i="159"/>
  <c r="L75" i="159"/>
  <c r="F75" i="159"/>
  <c r="X74" i="159"/>
  <c r="W74" i="159"/>
  <c r="U74" i="159"/>
  <c r="T74" i="159"/>
  <c r="R74" i="159"/>
  <c r="Q74" i="159"/>
  <c r="O74" i="159"/>
  <c r="N74" i="159"/>
  <c r="L74" i="159"/>
  <c r="K74" i="159"/>
  <c r="I74" i="159"/>
  <c r="H74" i="159"/>
  <c r="F74" i="159"/>
  <c r="E74" i="159"/>
  <c r="C74" i="159"/>
  <c r="B74" i="159"/>
  <c r="X73" i="159"/>
  <c r="W73" i="159"/>
  <c r="V73" i="159"/>
  <c r="U73" i="159"/>
  <c r="R73" i="159"/>
  <c r="Q73" i="159"/>
  <c r="P73" i="159"/>
  <c r="O73" i="159"/>
  <c r="L73" i="159"/>
  <c r="K73" i="159"/>
  <c r="J73" i="159"/>
  <c r="I73" i="159"/>
  <c r="F73" i="159"/>
  <c r="E73" i="159"/>
  <c r="D73" i="159"/>
  <c r="C73" i="159"/>
  <c r="T72" i="159"/>
  <c r="N72" i="159"/>
  <c r="H72" i="159"/>
  <c r="B72" i="159"/>
  <c r="S71" i="159"/>
  <c r="M71" i="159"/>
  <c r="G71" i="159"/>
  <c r="A71" i="159"/>
  <c r="T70" i="159"/>
  <c r="N70" i="159"/>
  <c r="H70" i="159"/>
  <c r="B70" i="159"/>
  <c r="X69" i="159"/>
  <c r="W69" i="159"/>
  <c r="V69" i="159"/>
  <c r="U69" i="159"/>
  <c r="R69" i="159"/>
  <c r="Q69" i="159"/>
  <c r="P69" i="159"/>
  <c r="O69" i="159"/>
  <c r="L69" i="159"/>
  <c r="K69" i="159"/>
  <c r="J69" i="159"/>
  <c r="I69" i="159"/>
  <c r="F69" i="159"/>
  <c r="E69" i="159"/>
  <c r="D69" i="159"/>
  <c r="C69" i="159"/>
  <c r="X68" i="159"/>
  <c r="R68" i="159"/>
  <c r="L68" i="159"/>
  <c r="F68" i="159"/>
  <c r="X67" i="159"/>
  <c r="W67" i="159"/>
  <c r="U67" i="159"/>
  <c r="T67" i="159"/>
  <c r="R67" i="159"/>
  <c r="Q67" i="159"/>
  <c r="O67" i="159"/>
  <c r="N67" i="159"/>
  <c r="L67" i="159"/>
  <c r="K67" i="159"/>
  <c r="I67" i="159"/>
  <c r="H67" i="159"/>
  <c r="F67" i="159"/>
  <c r="E67" i="159"/>
  <c r="C67" i="159"/>
  <c r="B67" i="159"/>
  <c r="X66" i="159"/>
  <c r="W66" i="159"/>
  <c r="V66" i="159"/>
  <c r="U66" i="159"/>
  <c r="R66" i="159"/>
  <c r="Q66" i="159"/>
  <c r="P66" i="159"/>
  <c r="O66" i="159"/>
  <c r="L66" i="159"/>
  <c r="K66" i="159"/>
  <c r="J66" i="159"/>
  <c r="I66" i="159"/>
  <c r="F66" i="159"/>
  <c r="E66" i="159"/>
  <c r="D66" i="159"/>
  <c r="C66" i="159"/>
  <c r="T65" i="159"/>
  <c r="N65" i="159"/>
  <c r="H65" i="159"/>
  <c r="B65" i="159"/>
  <c r="S64" i="159"/>
  <c r="M64" i="159"/>
  <c r="G64" i="159"/>
  <c r="A64" i="159"/>
  <c r="T63" i="159"/>
  <c r="N63" i="159"/>
  <c r="H63" i="159"/>
  <c r="B63" i="159"/>
  <c r="X62" i="159"/>
  <c r="W62" i="159"/>
  <c r="V62" i="159"/>
  <c r="U62" i="159"/>
  <c r="R62" i="159"/>
  <c r="Q62" i="159"/>
  <c r="P62" i="159"/>
  <c r="O62" i="159"/>
  <c r="L62" i="159"/>
  <c r="K62" i="159"/>
  <c r="J62" i="159"/>
  <c r="I62" i="159"/>
  <c r="F62" i="159"/>
  <c r="E62" i="159"/>
  <c r="D62" i="159"/>
  <c r="C62" i="159"/>
  <c r="X61" i="159"/>
  <c r="R61" i="159"/>
  <c r="L61" i="159"/>
  <c r="F61" i="159"/>
  <c r="X60" i="159"/>
  <c r="W60" i="159"/>
  <c r="U60" i="159"/>
  <c r="T60" i="159"/>
  <c r="R60" i="159"/>
  <c r="Q60" i="159"/>
  <c r="O60" i="159"/>
  <c r="N60" i="159"/>
  <c r="L60" i="159"/>
  <c r="K60" i="159"/>
  <c r="I60" i="159"/>
  <c r="H60" i="159"/>
  <c r="F60" i="159"/>
  <c r="E60" i="159"/>
  <c r="C60" i="159"/>
  <c r="B60" i="159"/>
  <c r="X59" i="159"/>
  <c r="W59" i="159"/>
  <c r="V59" i="159"/>
  <c r="U59" i="159"/>
  <c r="R59" i="159"/>
  <c r="Q59" i="159"/>
  <c r="P59" i="159"/>
  <c r="O59" i="159"/>
  <c r="L59" i="159"/>
  <c r="K59" i="159"/>
  <c r="J59" i="159"/>
  <c r="I59" i="159"/>
  <c r="F59" i="159"/>
  <c r="E59" i="159"/>
  <c r="D59" i="159"/>
  <c r="C59" i="159"/>
  <c r="T58" i="159"/>
  <c r="N58" i="159"/>
  <c r="H58" i="159"/>
  <c r="B58" i="159"/>
  <c r="S57" i="159"/>
  <c r="M57" i="159"/>
  <c r="G57" i="159"/>
  <c r="A57" i="159"/>
  <c r="T56" i="159"/>
  <c r="N56" i="159"/>
  <c r="H56" i="159"/>
  <c r="B56" i="159"/>
  <c r="X55" i="159"/>
  <c r="W55" i="159"/>
  <c r="V55" i="159"/>
  <c r="U55" i="159"/>
  <c r="R55" i="159"/>
  <c r="Q55" i="159"/>
  <c r="P55" i="159"/>
  <c r="O55" i="159"/>
  <c r="L55" i="159"/>
  <c r="K55" i="159"/>
  <c r="J55" i="159"/>
  <c r="I55" i="159"/>
  <c r="F55" i="159"/>
  <c r="E55" i="159"/>
  <c r="D55" i="159"/>
  <c r="C55" i="159"/>
  <c r="X54" i="159"/>
  <c r="R54" i="159"/>
  <c r="L54" i="159"/>
  <c r="F54" i="159"/>
  <c r="X53" i="159"/>
  <c r="W53" i="159"/>
  <c r="U53" i="159"/>
  <c r="T53" i="159"/>
  <c r="R53" i="159"/>
  <c r="Q53" i="159"/>
  <c r="O53" i="159"/>
  <c r="N53" i="159"/>
  <c r="L53" i="159"/>
  <c r="K53" i="159"/>
  <c r="I53" i="159"/>
  <c r="H53" i="159"/>
  <c r="F53" i="159"/>
  <c r="E53" i="159"/>
  <c r="C53" i="159"/>
  <c r="B53" i="159"/>
  <c r="X52" i="159"/>
  <c r="W52" i="159"/>
  <c r="V52" i="159"/>
  <c r="U52" i="159"/>
  <c r="R52" i="159"/>
  <c r="Q52" i="159"/>
  <c r="P52" i="159"/>
  <c r="O52" i="159"/>
  <c r="L52" i="159"/>
  <c r="K52" i="159"/>
  <c r="J52" i="159"/>
  <c r="I52" i="159"/>
  <c r="F52" i="159"/>
  <c r="E52" i="159"/>
  <c r="D52" i="159"/>
  <c r="C52" i="159"/>
  <c r="T51" i="159"/>
  <c r="N51" i="159"/>
  <c r="H51" i="159"/>
  <c r="B51" i="159"/>
  <c r="S50" i="159"/>
  <c r="M50" i="159"/>
  <c r="G50" i="159"/>
  <c r="A50" i="159"/>
  <c r="T49" i="159"/>
  <c r="N49" i="159"/>
  <c r="H49" i="159"/>
  <c r="B49" i="159"/>
  <c r="X48" i="159"/>
  <c r="W48" i="159"/>
  <c r="V48" i="159"/>
  <c r="U48" i="159"/>
  <c r="R48" i="159"/>
  <c r="Q48" i="159"/>
  <c r="P48" i="159"/>
  <c r="O48" i="159"/>
  <c r="L48" i="159"/>
  <c r="K48" i="159"/>
  <c r="J48" i="159"/>
  <c r="I48" i="159"/>
  <c r="F48" i="159"/>
  <c r="E48" i="159"/>
  <c r="D48" i="159"/>
  <c r="C48" i="159"/>
  <c r="X47" i="159"/>
  <c r="R47" i="159"/>
  <c r="L47" i="159"/>
  <c r="F47" i="159"/>
  <c r="X46" i="159"/>
  <c r="W46" i="159"/>
  <c r="U46" i="159"/>
  <c r="T46" i="159"/>
  <c r="R46" i="159"/>
  <c r="Q46" i="159"/>
  <c r="O46" i="159"/>
  <c r="N46" i="159"/>
  <c r="L46" i="159"/>
  <c r="K46" i="159"/>
  <c r="I46" i="159"/>
  <c r="H46" i="159"/>
  <c r="F46" i="159"/>
  <c r="E46" i="159"/>
  <c r="C46" i="159"/>
  <c r="B46" i="159"/>
  <c r="X45" i="159"/>
  <c r="W45" i="159"/>
  <c r="V45" i="159"/>
  <c r="U45" i="159"/>
  <c r="R45" i="159"/>
  <c r="Q45" i="159"/>
  <c r="P45" i="159"/>
  <c r="O45" i="159"/>
  <c r="L45" i="159"/>
  <c r="K45" i="159"/>
  <c r="J45" i="159"/>
  <c r="I45" i="159"/>
  <c r="F45" i="159"/>
  <c r="E45" i="159"/>
  <c r="D45" i="159"/>
  <c r="C45" i="159"/>
  <c r="T44" i="159"/>
  <c r="N44" i="159"/>
  <c r="H44" i="159"/>
  <c r="B44" i="159"/>
  <c r="S43" i="159"/>
  <c r="M43" i="159"/>
  <c r="G43" i="159"/>
  <c r="A43" i="159"/>
  <c r="T42" i="159"/>
  <c r="N42" i="159"/>
  <c r="H42" i="159"/>
  <c r="B42" i="159"/>
  <c r="X41" i="159"/>
  <c r="W41" i="159"/>
  <c r="V41" i="159"/>
  <c r="U41" i="159"/>
  <c r="R41" i="159"/>
  <c r="Q41" i="159"/>
  <c r="P41" i="159"/>
  <c r="O41" i="159"/>
  <c r="L41" i="159"/>
  <c r="K41" i="159"/>
  <c r="J41" i="159"/>
  <c r="I41" i="159"/>
  <c r="F41" i="159"/>
  <c r="E41" i="159"/>
  <c r="D41" i="159"/>
  <c r="C41" i="159"/>
  <c r="X40" i="159"/>
  <c r="R40" i="159"/>
  <c r="L40" i="159"/>
  <c r="F40" i="159"/>
  <c r="X39" i="159"/>
  <c r="W39" i="159"/>
  <c r="U39" i="159"/>
  <c r="T39" i="159"/>
  <c r="R39" i="159"/>
  <c r="Q39" i="159"/>
  <c r="O39" i="159"/>
  <c r="N39" i="159"/>
  <c r="L39" i="159"/>
  <c r="K39" i="159"/>
  <c r="I39" i="159"/>
  <c r="H39" i="159"/>
  <c r="F39" i="159"/>
  <c r="E39" i="159"/>
  <c r="C39" i="159"/>
  <c r="B39" i="159"/>
  <c r="X38" i="159"/>
  <c r="W38" i="159"/>
  <c r="V38" i="159"/>
  <c r="U38" i="159"/>
  <c r="R38" i="159"/>
  <c r="Q38" i="159"/>
  <c r="P38" i="159"/>
  <c r="O38" i="159"/>
  <c r="L38" i="159"/>
  <c r="K38" i="159"/>
  <c r="J38" i="159"/>
  <c r="I38" i="159"/>
  <c r="F38" i="159"/>
  <c r="E38" i="159"/>
  <c r="D38" i="159"/>
  <c r="C38" i="159"/>
  <c r="T37" i="159"/>
  <c r="N37" i="159"/>
  <c r="H37" i="159"/>
  <c r="B37" i="159"/>
  <c r="S36" i="159"/>
  <c r="M36" i="159"/>
  <c r="G36" i="159"/>
  <c r="A36" i="159"/>
  <c r="T35" i="159"/>
  <c r="N35" i="159"/>
  <c r="H35" i="159"/>
  <c r="B35" i="159"/>
  <c r="X34" i="159"/>
  <c r="W34" i="159"/>
  <c r="V34" i="159"/>
  <c r="U34" i="159"/>
  <c r="R34" i="159"/>
  <c r="Q34" i="159"/>
  <c r="P34" i="159"/>
  <c r="O34" i="159"/>
  <c r="L34" i="159"/>
  <c r="K34" i="159"/>
  <c r="J34" i="159"/>
  <c r="I34" i="159"/>
  <c r="F34" i="159"/>
  <c r="E34" i="159"/>
  <c r="D34" i="159"/>
  <c r="C34" i="159"/>
  <c r="X33" i="159"/>
  <c r="R33" i="159"/>
  <c r="L33" i="159"/>
  <c r="F33" i="159"/>
  <c r="X32" i="159"/>
  <c r="W32" i="159"/>
  <c r="U32" i="159"/>
  <c r="T32" i="159"/>
  <c r="R32" i="159"/>
  <c r="Q32" i="159"/>
  <c r="O32" i="159"/>
  <c r="N32" i="159"/>
  <c r="L32" i="159"/>
  <c r="K32" i="159"/>
  <c r="I32" i="159"/>
  <c r="H32" i="159"/>
  <c r="F32" i="159"/>
  <c r="E32" i="159"/>
  <c r="C32" i="159"/>
  <c r="B32" i="159"/>
  <c r="X31" i="159"/>
  <c r="W31" i="159"/>
  <c r="V31" i="159"/>
  <c r="U31" i="159"/>
  <c r="R31" i="159"/>
  <c r="Q31" i="159"/>
  <c r="P31" i="159"/>
  <c r="O31" i="159"/>
  <c r="L31" i="159"/>
  <c r="K31" i="159"/>
  <c r="J31" i="159"/>
  <c r="I31" i="159"/>
  <c r="F31" i="159"/>
  <c r="E31" i="159"/>
  <c r="D31" i="159"/>
  <c r="C31" i="159"/>
  <c r="T30" i="159"/>
  <c r="N30" i="159"/>
  <c r="H30" i="159"/>
  <c r="B30" i="159"/>
  <c r="S29" i="159"/>
  <c r="M29" i="159"/>
  <c r="G29" i="159"/>
  <c r="A29" i="159"/>
  <c r="T28" i="159"/>
  <c r="N28" i="159"/>
  <c r="H28" i="159"/>
  <c r="B28" i="159"/>
  <c r="X27" i="159"/>
  <c r="W27" i="159"/>
  <c r="V27" i="159"/>
  <c r="U27" i="159"/>
  <c r="R27" i="159"/>
  <c r="Q27" i="159"/>
  <c r="P27" i="159"/>
  <c r="O27" i="159"/>
  <c r="L27" i="159"/>
  <c r="K27" i="159"/>
  <c r="J27" i="159"/>
  <c r="I27" i="159"/>
  <c r="F27" i="159"/>
  <c r="E27" i="159"/>
  <c r="D27" i="159"/>
  <c r="C27" i="159"/>
  <c r="X26" i="159"/>
  <c r="R26" i="159"/>
  <c r="L26" i="159"/>
  <c r="F26" i="159"/>
  <c r="X25" i="159"/>
  <c r="W25" i="159"/>
  <c r="U25" i="159"/>
  <c r="T25" i="159"/>
  <c r="R25" i="159"/>
  <c r="Q25" i="159"/>
  <c r="O25" i="159"/>
  <c r="N25" i="159"/>
  <c r="L25" i="159"/>
  <c r="K25" i="159"/>
  <c r="I25" i="159"/>
  <c r="H25" i="159"/>
  <c r="F25" i="159"/>
  <c r="E25" i="159"/>
  <c r="C25" i="159"/>
  <c r="B25" i="159"/>
  <c r="X24" i="159"/>
  <c r="W24" i="159"/>
  <c r="V24" i="159"/>
  <c r="U24" i="159"/>
  <c r="R24" i="159"/>
  <c r="Q24" i="159"/>
  <c r="P24" i="159"/>
  <c r="O24" i="159"/>
  <c r="L24" i="159"/>
  <c r="K24" i="159"/>
  <c r="J24" i="159"/>
  <c r="I24" i="159"/>
  <c r="F24" i="159"/>
  <c r="E24" i="159"/>
  <c r="D24" i="159"/>
  <c r="C24" i="159"/>
  <c r="T23" i="159"/>
  <c r="N23" i="159"/>
  <c r="H23" i="159"/>
  <c r="B23" i="159"/>
  <c r="S22" i="159"/>
  <c r="M22" i="159"/>
  <c r="G22" i="159"/>
  <c r="A22" i="159"/>
  <c r="T21" i="159"/>
  <c r="N21" i="159"/>
  <c r="H21" i="159"/>
  <c r="B21" i="159"/>
  <c r="X20" i="159"/>
  <c r="W20" i="159"/>
  <c r="V20" i="159"/>
  <c r="U20" i="159"/>
  <c r="R20" i="159"/>
  <c r="Q20" i="159"/>
  <c r="P20" i="159"/>
  <c r="O20" i="159"/>
  <c r="L20" i="159"/>
  <c r="K20" i="159"/>
  <c r="J20" i="159"/>
  <c r="I20" i="159"/>
  <c r="F20" i="159"/>
  <c r="E20" i="159"/>
  <c r="D20" i="159"/>
  <c r="C20" i="159"/>
  <c r="X19" i="159"/>
  <c r="R19" i="159"/>
  <c r="L19" i="159"/>
  <c r="F19" i="159"/>
  <c r="X18" i="159"/>
  <c r="W18" i="159"/>
  <c r="U18" i="159"/>
  <c r="T18" i="159"/>
  <c r="R18" i="159"/>
  <c r="Q18" i="159"/>
  <c r="O18" i="159"/>
  <c r="N18" i="159"/>
  <c r="L18" i="159"/>
  <c r="K18" i="159"/>
  <c r="I18" i="159"/>
  <c r="H18" i="159"/>
  <c r="F18" i="159"/>
  <c r="E18" i="159"/>
  <c r="C18" i="159"/>
  <c r="B18" i="159"/>
  <c r="X17" i="159"/>
  <c r="W17" i="159"/>
  <c r="V17" i="159"/>
  <c r="U17" i="159"/>
  <c r="R17" i="159"/>
  <c r="Q17" i="159"/>
  <c r="P17" i="159"/>
  <c r="O17" i="159"/>
  <c r="L17" i="159"/>
  <c r="K17" i="159"/>
  <c r="J17" i="159"/>
  <c r="I17" i="159"/>
  <c r="F17" i="159"/>
  <c r="E17" i="159"/>
  <c r="D17" i="159"/>
  <c r="C17" i="159"/>
  <c r="T16" i="159"/>
  <c r="N16" i="159"/>
  <c r="H16" i="159"/>
  <c r="B16" i="159"/>
  <c r="S15" i="159"/>
  <c r="M15" i="159"/>
  <c r="G15" i="159"/>
  <c r="A15" i="159"/>
  <c r="T14" i="159"/>
  <c r="N14" i="159"/>
  <c r="H14" i="159"/>
  <c r="B14" i="159"/>
  <c r="X13" i="159"/>
  <c r="W13" i="159"/>
  <c r="V13" i="159"/>
  <c r="U13" i="159"/>
  <c r="R13" i="159"/>
  <c r="Q13" i="159"/>
  <c r="P13" i="159"/>
  <c r="O13" i="159"/>
  <c r="L13" i="159"/>
  <c r="K13" i="159"/>
  <c r="J13" i="159"/>
  <c r="I13" i="159"/>
  <c r="F13" i="159"/>
  <c r="E13" i="159"/>
  <c r="D13" i="159"/>
  <c r="C13" i="159"/>
  <c r="X12" i="159"/>
  <c r="R12" i="159"/>
  <c r="L12" i="159"/>
  <c r="F12" i="159"/>
  <c r="X11" i="159"/>
  <c r="W11" i="159"/>
  <c r="U11" i="159"/>
  <c r="T11" i="159"/>
  <c r="R11" i="159"/>
  <c r="Q11" i="159"/>
  <c r="O11" i="159"/>
  <c r="N11" i="159"/>
  <c r="L11" i="159"/>
  <c r="K11" i="159"/>
  <c r="I11" i="159"/>
  <c r="H11" i="159"/>
  <c r="F11" i="159"/>
  <c r="E11" i="159"/>
  <c r="C11" i="159"/>
  <c r="B11" i="159"/>
  <c r="X10" i="159"/>
  <c r="W10" i="159"/>
  <c r="V10" i="159"/>
  <c r="U10" i="159"/>
  <c r="R10" i="159"/>
  <c r="Q10" i="159"/>
  <c r="P10" i="159"/>
  <c r="O10" i="159"/>
  <c r="L10" i="159"/>
  <c r="K10" i="159"/>
  <c r="J10" i="159"/>
  <c r="I10" i="159"/>
  <c r="F10" i="159"/>
  <c r="E10" i="159"/>
  <c r="D10" i="159"/>
  <c r="C10" i="159"/>
  <c r="T9" i="159"/>
  <c r="N9" i="159"/>
  <c r="H9" i="159"/>
  <c r="B9" i="159"/>
  <c r="S8" i="159"/>
  <c r="M8" i="159"/>
  <c r="G8" i="159"/>
  <c r="A8" i="159"/>
  <c r="T7" i="159"/>
  <c r="N7" i="159"/>
  <c r="H7" i="159"/>
  <c r="B7" i="159"/>
  <c r="U6" i="159"/>
  <c r="O6" i="159"/>
  <c r="I6" i="159"/>
  <c r="C6" i="159"/>
  <c r="X5" i="159"/>
  <c r="R5" i="159"/>
  <c r="L5" i="159"/>
  <c r="F5" i="159"/>
  <c r="W4" i="159"/>
  <c r="T4" i="159"/>
  <c r="Q4" i="159"/>
  <c r="N4" i="159"/>
  <c r="K4" i="159"/>
  <c r="H4" i="159"/>
  <c r="E4" i="159"/>
  <c r="B4" i="159"/>
  <c r="U3" i="159"/>
  <c r="O3" i="159"/>
  <c r="I3" i="159"/>
  <c r="C3" i="159"/>
  <c r="T2" i="159"/>
  <c r="N2" i="159"/>
  <c r="H2" i="159"/>
  <c r="B2" i="159"/>
  <c r="S1" i="159"/>
  <c r="M1" i="159"/>
  <c r="G1" i="159"/>
  <c r="A1" i="159"/>
  <c r="H79" i="158"/>
  <c r="F79" i="158"/>
  <c r="D79" i="158"/>
  <c r="D78" i="158"/>
  <c r="D76" i="158"/>
  <c r="H75" i="158"/>
  <c r="D75" i="158"/>
  <c r="D74" i="158"/>
  <c r="D73" i="158"/>
  <c r="D72" i="158"/>
  <c r="D69" i="158"/>
  <c r="D66" i="158"/>
  <c r="D65" i="158"/>
  <c r="D64" i="158"/>
  <c r="D63" i="158"/>
  <c r="B55" i="158"/>
  <c r="D12" i="158"/>
  <c r="D11" i="158"/>
  <c r="D10" i="158"/>
  <c r="D8" i="158"/>
  <c r="D7" i="158"/>
  <c r="D6" i="158"/>
  <c r="D5" i="158"/>
  <c r="D4" i="158"/>
  <c r="H79" i="157"/>
  <c r="F79" i="157"/>
  <c r="D79" i="157"/>
  <c r="D78" i="157"/>
  <c r="D76" i="157"/>
  <c r="H75" i="157"/>
  <c r="D75" i="157"/>
  <c r="D74" i="157"/>
  <c r="D73" i="157"/>
  <c r="D72" i="157"/>
  <c r="D69" i="157"/>
  <c r="D66" i="157"/>
  <c r="D65" i="157"/>
  <c r="D64" i="157"/>
  <c r="D63" i="157"/>
  <c r="B55" i="157"/>
  <c r="D12" i="157"/>
  <c r="D11" i="157"/>
  <c r="D10" i="157"/>
  <c r="D8" i="157"/>
  <c r="D7" i="157"/>
  <c r="D6" i="157"/>
  <c r="D5" i="157"/>
  <c r="D4" i="157"/>
  <c r="H79" i="156"/>
  <c r="F79" i="156"/>
  <c r="D79" i="156"/>
  <c r="D78" i="156"/>
  <c r="D76" i="156"/>
  <c r="H75" i="156"/>
  <c r="D75" i="156"/>
  <c r="D74" i="156"/>
  <c r="D73" i="156"/>
  <c r="D72" i="156"/>
  <c r="D69" i="156"/>
  <c r="D66" i="156"/>
  <c r="D65" i="156"/>
  <c r="D64" i="156"/>
  <c r="D63" i="156"/>
  <c r="B55" i="156"/>
  <c r="D12" i="156"/>
  <c r="D11" i="156"/>
  <c r="D10" i="156"/>
  <c r="D8" i="156"/>
  <c r="D7" i="156"/>
  <c r="D6" i="156"/>
  <c r="D5" i="156"/>
  <c r="D4" i="156"/>
  <c r="H79" i="155"/>
  <c r="F79" i="155"/>
  <c r="D79" i="155"/>
  <c r="D78" i="155"/>
  <c r="D76" i="155"/>
  <c r="H75" i="155"/>
  <c r="D75" i="155"/>
  <c r="D74" i="155"/>
  <c r="D73" i="155"/>
  <c r="D72" i="155"/>
  <c r="D69" i="155"/>
  <c r="D66" i="155"/>
  <c r="D65" i="155"/>
  <c r="D64" i="155"/>
  <c r="D63" i="155"/>
  <c r="B55" i="155"/>
  <c r="D12" i="155"/>
  <c r="D11" i="155"/>
  <c r="D10" i="155"/>
  <c r="D8" i="155"/>
  <c r="D7" i="155"/>
  <c r="D6" i="155"/>
  <c r="D5" i="155"/>
  <c r="D4" i="155"/>
  <c r="H79" i="154"/>
  <c r="F79" i="154"/>
  <c r="D79" i="154"/>
  <c r="D78" i="154"/>
  <c r="D76" i="154"/>
  <c r="H75" i="154"/>
  <c r="D75" i="154"/>
  <c r="D74" i="154"/>
  <c r="D73" i="154"/>
  <c r="D72" i="154"/>
  <c r="D69" i="154"/>
  <c r="D66" i="154"/>
  <c r="D65" i="154"/>
  <c r="D64" i="154"/>
  <c r="D63" i="154"/>
  <c r="B55" i="154"/>
  <c r="D12" i="154"/>
  <c r="D11" i="154"/>
  <c r="D10" i="154"/>
  <c r="D8" i="154"/>
  <c r="D7" i="154"/>
  <c r="D6" i="154"/>
  <c r="D5" i="154"/>
  <c r="D4" i="154"/>
  <c r="H79" i="153"/>
  <c r="F79" i="153"/>
  <c r="D79" i="153"/>
  <c r="D78" i="153"/>
  <c r="D76" i="153"/>
  <c r="H75" i="153"/>
  <c r="D75" i="153"/>
  <c r="D74" i="153"/>
  <c r="D73" i="153"/>
  <c r="D72" i="153"/>
  <c r="D69" i="153"/>
  <c r="D66" i="153"/>
  <c r="D65" i="153"/>
  <c r="D64" i="153"/>
  <c r="D63" i="153"/>
  <c r="B55" i="153"/>
  <c r="D12" i="153"/>
  <c r="D11" i="153"/>
  <c r="D10" i="153"/>
  <c r="D8" i="153"/>
  <c r="D7" i="153"/>
  <c r="D6" i="153"/>
  <c r="D5" i="153"/>
  <c r="D4" i="153"/>
  <c r="H79" i="152"/>
  <c r="F79" i="152"/>
  <c r="D79" i="152"/>
  <c r="D78" i="152"/>
  <c r="D76" i="152"/>
  <c r="H75" i="152"/>
  <c r="D75" i="152"/>
  <c r="D74" i="152"/>
  <c r="D73" i="152"/>
  <c r="D72" i="152"/>
  <c r="D69" i="152"/>
  <c r="D66" i="152"/>
  <c r="D65" i="152"/>
  <c r="D64" i="152"/>
  <c r="D63" i="152"/>
  <c r="B55" i="152"/>
  <c r="D12" i="152"/>
  <c r="D11" i="152"/>
  <c r="D10" i="152"/>
  <c r="D8" i="152"/>
  <c r="D7" i="152"/>
  <c r="D6" i="152"/>
  <c r="D5" i="152"/>
  <c r="D4" i="152"/>
  <c r="H79" i="151"/>
  <c r="F79" i="151"/>
  <c r="D79" i="151"/>
  <c r="D78" i="151"/>
  <c r="D76" i="151"/>
  <c r="H75" i="151"/>
  <c r="D75" i="151"/>
  <c r="D74" i="151"/>
  <c r="D73" i="151"/>
  <c r="D72" i="151"/>
  <c r="D69" i="151"/>
  <c r="D66" i="151"/>
  <c r="D65" i="151"/>
  <c r="D64" i="151"/>
  <c r="D63" i="151"/>
  <c r="B55" i="151"/>
  <c r="D12" i="151"/>
  <c r="D11" i="151"/>
  <c r="D10" i="151"/>
  <c r="D8" i="151"/>
  <c r="D7" i="151"/>
  <c r="D6" i="151"/>
  <c r="D5" i="151"/>
  <c r="D4" i="151"/>
  <c r="H79" i="150"/>
  <c r="F79" i="150"/>
  <c r="D79" i="150"/>
  <c r="D78" i="150"/>
  <c r="D76" i="150"/>
  <c r="H75" i="150"/>
  <c r="D75" i="150"/>
  <c r="D74" i="150"/>
  <c r="D73" i="150"/>
  <c r="D72" i="150"/>
  <c r="D69" i="150"/>
  <c r="D66" i="150"/>
  <c r="D65" i="150"/>
  <c r="D64" i="150"/>
  <c r="D63" i="150"/>
  <c r="B55" i="150"/>
  <c r="D12" i="150"/>
  <c r="D11" i="150"/>
  <c r="D10" i="150"/>
  <c r="D8" i="150"/>
  <c r="D7" i="150"/>
  <c r="D6" i="150"/>
  <c r="D5" i="150"/>
  <c r="D4" i="150"/>
  <c r="H79" i="149"/>
  <c r="F79" i="149"/>
  <c r="D79" i="149"/>
  <c r="D78" i="149"/>
  <c r="D76" i="149"/>
  <c r="H75" i="149"/>
  <c r="D75" i="149"/>
  <c r="D74" i="149"/>
  <c r="D73" i="149"/>
  <c r="D72" i="149"/>
  <c r="D69" i="149"/>
  <c r="D66" i="149"/>
  <c r="D65" i="149"/>
  <c r="D64" i="149"/>
  <c r="D63" i="149"/>
  <c r="B55" i="149"/>
  <c r="D12" i="149"/>
  <c r="D11" i="149"/>
  <c r="D10" i="149"/>
  <c r="D8" i="149"/>
  <c r="D7" i="149"/>
  <c r="D6" i="149"/>
  <c r="D5" i="149"/>
  <c r="D4" i="149"/>
  <c r="H79" i="148"/>
  <c r="F79" i="148"/>
  <c r="D79" i="148"/>
  <c r="D78" i="148"/>
  <c r="D76" i="148"/>
  <c r="H75" i="148"/>
  <c r="D75" i="148"/>
  <c r="D74" i="148"/>
  <c r="D73" i="148"/>
  <c r="D72" i="148"/>
  <c r="D69" i="148"/>
  <c r="D66" i="148"/>
  <c r="D65" i="148"/>
  <c r="D64" i="148"/>
  <c r="D63" i="148"/>
  <c r="B55" i="148"/>
  <c r="D12" i="148"/>
  <c r="D11" i="148"/>
  <c r="D10" i="148"/>
  <c r="D8" i="148"/>
  <c r="D7" i="148"/>
  <c r="D6" i="148"/>
  <c r="D5" i="148"/>
  <c r="D4" i="148"/>
  <c r="H79" i="147"/>
  <c r="F79" i="147"/>
  <c r="D79" i="147"/>
  <c r="D78" i="147"/>
  <c r="D76" i="147"/>
  <c r="H75" i="147"/>
  <c r="D75" i="147"/>
  <c r="D74" i="147"/>
  <c r="D73" i="147"/>
  <c r="D72" i="147"/>
  <c r="D69" i="147"/>
  <c r="D66" i="147"/>
  <c r="D65" i="147"/>
  <c r="D64" i="147"/>
  <c r="D63" i="147"/>
  <c r="B55" i="147"/>
  <c r="D12" i="147"/>
  <c r="D11" i="147"/>
  <c r="D10" i="147"/>
  <c r="D8" i="147"/>
  <c r="D7" i="147"/>
  <c r="D6" i="147"/>
  <c r="D5" i="147"/>
  <c r="D4" i="147"/>
  <c r="H79" i="146"/>
  <c r="F79" i="146"/>
  <c r="D79" i="146"/>
  <c r="D78" i="146"/>
  <c r="D76" i="146"/>
  <c r="H75" i="146"/>
  <c r="D75" i="146"/>
  <c r="D74" i="146"/>
  <c r="D73" i="146"/>
  <c r="D72" i="146"/>
  <c r="D69" i="146"/>
  <c r="D66" i="146"/>
  <c r="D65" i="146"/>
  <c r="D64" i="146"/>
  <c r="D63" i="146"/>
  <c r="B55" i="146"/>
  <c r="D12" i="146"/>
  <c r="D11" i="146"/>
  <c r="D10" i="146"/>
  <c r="D8" i="146"/>
  <c r="D7" i="146"/>
  <c r="D6" i="146"/>
  <c r="D5" i="146"/>
  <c r="D4" i="146"/>
  <c r="H79" i="145"/>
  <c r="F79" i="145"/>
  <c r="D79" i="145"/>
  <c r="D78" i="145"/>
  <c r="D76" i="145"/>
  <c r="H75" i="145"/>
  <c r="D75" i="145"/>
  <c r="D74" i="145"/>
  <c r="D73" i="145"/>
  <c r="D72" i="145"/>
  <c r="D69" i="145"/>
  <c r="D66" i="145"/>
  <c r="D65" i="145"/>
  <c r="D64" i="145"/>
  <c r="D63" i="145"/>
  <c r="B55" i="145"/>
  <c r="D12" i="145"/>
  <c r="D11" i="145"/>
  <c r="D10" i="145"/>
  <c r="D8" i="145"/>
  <c r="D7" i="145"/>
  <c r="D6" i="145"/>
  <c r="D5" i="145"/>
  <c r="D4" i="145"/>
  <c r="H79" i="144"/>
  <c r="F79" i="144"/>
  <c r="D79" i="144"/>
  <c r="D78" i="144"/>
  <c r="D76" i="144"/>
  <c r="H75" i="144"/>
  <c r="D75" i="144"/>
  <c r="D74" i="144"/>
  <c r="D73" i="144"/>
  <c r="D72" i="144"/>
  <c r="D69" i="144"/>
  <c r="D66" i="144"/>
  <c r="D65" i="144"/>
  <c r="D64" i="144"/>
  <c r="D63" i="144"/>
  <c r="B55" i="144"/>
  <c r="D12" i="144"/>
  <c r="D11" i="144"/>
  <c r="D10" i="144"/>
  <c r="D8" i="144"/>
  <c r="D7" i="144"/>
  <c r="D6" i="144"/>
  <c r="D5" i="144"/>
  <c r="D4" i="144"/>
  <c r="H79" i="143"/>
  <c r="F79" i="143"/>
  <c r="D79" i="143"/>
  <c r="D78" i="143"/>
  <c r="D76" i="143"/>
  <c r="H75" i="143"/>
  <c r="D75" i="143"/>
  <c r="D74" i="143"/>
  <c r="D73" i="143"/>
  <c r="D72" i="143"/>
  <c r="D69" i="143"/>
  <c r="D66" i="143"/>
  <c r="D65" i="143"/>
  <c r="D64" i="143"/>
  <c r="D63" i="143"/>
  <c r="B55" i="143"/>
  <c r="D12" i="143"/>
  <c r="D11" i="143"/>
  <c r="D10" i="143"/>
  <c r="D8" i="143"/>
  <c r="D7" i="143"/>
  <c r="D6" i="143"/>
  <c r="D5" i="143"/>
  <c r="D4" i="143"/>
  <c r="H79" i="142"/>
  <c r="F79" i="142"/>
  <c r="D79" i="142"/>
  <c r="D78" i="142"/>
  <c r="D76" i="142"/>
  <c r="H75" i="142"/>
  <c r="D75" i="142"/>
  <c r="D74" i="142"/>
  <c r="D73" i="142"/>
  <c r="D72" i="142"/>
  <c r="D69" i="142"/>
  <c r="D66" i="142"/>
  <c r="D65" i="142"/>
  <c r="D64" i="142"/>
  <c r="D63" i="142"/>
  <c r="B55" i="142"/>
  <c r="D12" i="142"/>
  <c r="D11" i="142"/>
  <c r="D10" i="142"/>
  <c r="D8" i="142"/>
  <c r="D7" i="142"/>
  <c r="D6" i="142"/>
  <c r="D5" i="142"/>
  <c r="D4" i="142"/>
  <c r="T420" i="137" l="1"/>
  <c r="N420" i="137"/>
  <c r="H420" i="137"/>
  <c r="B420" i="137"/>
  <c r="T413" i="137"/>
  <c r="N413" i="137"/>
  <c r="H413" i="137"/>
  <c r="B413" i="137"/>
  <c r="T406" i="137"/>
  <c r="N406" i="137"/>
  <c r="H406" i="137"/>
  <c r="B406" i="137"/>
  <c r="T399" i="137"/>
  <c r="N399" i="137"/>
  <c r="H399" i="137"/>
  <c r="B399" i="137"/>
  <c r="T392" i="137"/>
  <c r="N392" i="137"/>
  <c r="H392" i="137"/>
  <c r="B392" i="137"/>
  <c r="T385" i="137"/>
  <c r="N385" i="137"/>
  <c r="H385" i="137"/>
  <c r="B385" i="137"/>
  <c r="T378" i="137"/>
  <c r="N378" i="137"/>
  <c r="H378" i="137"/>
  <c r="B378" i="137"/>
  <c r="T371" i="137"/>
  <c r="N371" i="137"/>
  <c r="H371" i="137"/>
  <c r="B371" i="137"/>
  <c r="T364" i="137"/>
  <c r="N364" i="137"/>
  <c r="H364" i="137"/>
  <c r="B364" i="137"/>
  <c r="T357" i="137"/>
  <c r="N357" i="137"/>
  <c r="H357" i="137"/>
  <c r="B357" i="137"/>
  <c r="T350" i="137"/>
  <c r="N350" i="137"/>
  <c r="H350" i="137"/>
  <c r="B350" i="137"/>
  <c r="T343" i="137"/>
  <c r="N343" i="137"/>
  <c r="H343" i="137"/>
  <c r="B343" i="137"/>
  <c r="T336" i="137"/>
  <c r="N336" i="137"/>
  <c r="H336" i="137"/>
  <c r="B336" i="137"/>
  <c r="T329" i="137"/>
  <c r="N329" i="137"/>
  <c r="H329" i="137"/>
  <c r="B329" i="137"/>
  <c r="T322" i="137"/>
  <c r="N322" i="137"/>
  <c r="H322" i="137"/>
  <c r="B322" i="137"/>
  <c r="T315" i="137"/>
  <c r="N315" i="137"/>
  <c r="H315" i="137"/>
  <c r="B315" i="137"/>
  <c r="T308" i="137"/>
  <c r="N308" i="137"/>
  <c r="H308" i="137"/>
  <c r="B308" i="137"/>
  <c r="T301" i="137"/>
  <c r="N301" i="137"/>
  <c r="H301" i="137"/>
  <c r="B301" i="137"/>
  <c r="T294" i="137"/>
  <c r="N294" i="137"/>
  <c r="H294" i="137"/>
  <c r="B294" i="137"/>
  <c r="T287" i="137"/>
  <c r="N287" i="137"/>
  <c r="H287" i="137"/>
  <c r="B287" i="137"/>
  <c r="T280" i="137"/>
  <c r="N280" i="137"/>
  <c r="H280" i="137"/>
  <c r="B280" i="137"/>
  <c r="T273" i="137"/>
  <c r="N273" i="137"/>
  <c r="H273" i="137"/>
  <c r="B273" i="137"/>
  <c r="T266" i="137"/>
  <c r="N266" i="137"/>
  <c r="H266" i="137"/>
  <c r="B266" i="137"/>
  <c r="T259" i="137"/>
  <c r="N259" i="137"/>
  <c r="H259" i="137"/>
  <c r="B259" i="137"/>
  <c r="T252" i="137"/>
  <c r="N252" i="137"/>
  <c r="H252" i="137"/>
  <c r="B252" i="137"/>
  <c r="T245" i="137"/>
  <c r="N245" i="137"/>
  <c r="H245" i="137"/>
  <c r="B245" i="137"/>
  <c r="T238" i="137"/>
  <c r="N238" i="137"/>
  <c r="H238" i="137"/>
  <c r="B238" i="137"/>
  <c r="T231" i="137"/>
  <c r="N231" i="137"/>
  <c r="H231" i="137"/>
  <c r="B231" i="137"/>
  <c r="T224" i="137"/>
  <c r="N224" i="137"/>
  <c r="H224" i="137"/>
  <c r="B224" i="137"/>
  <c r="T217" i="137"/>
  <c r="N217" i="137"/>
  <c r="H217" i="137"/>
  <c r="B217" i="137"/>
  <c r="T210" i="137"/>
  <c r="N210" i="137"/>
  <c r="H210" i="137"/>
  <c r="B210" i="137"/>
  <c r="T203" i="137"/>
  <c r="N203" i="137"/>
  <c r="H203" i="137"/>
  <c r="B203" i="137"/>
  <c r="T196" i="137"/>
  <c r="N196" i="137"/>
  <c r="H196" i="137"/>
  <c r="B196" i="137"/>
  <c r="T189" i="137"/>
  <c r="N189" i="137"/>
  <c r="H189" i="137"/>
  <c r="B189" i="137"/>
  <c r="T182" i="137"/>
  <c r="N182" i="137"/>
  <c r="H182" i="137"/>
  <c r="B182" i="137"/>
  <c r="T175" i="137"/>
  <c r="N175" i="137"/>
  <c r="H175" i="137"/>
  <c r="B175" i="137"/>
  <c r="T168" i="137"/>
  <c r="N168" i="137"/>
  <c r="H168" i="137"/>
  <c r="B168" i="137"/>
  <c r="T161" i="137"/>
  <c r="N161" i="137"/>
  <c r="H161" i="137"/>
  <c r="B161" i="137"/>
  <c r="T154" i="137"/>
  <c r="N154" i="137"/>
  <c r="H154" i="137"/>
  <c r="B154" i="137"/>
  <c r="T147" i="137"/>
  <c r="N147" i="137"/>
  <c r="H147" i="137"/>
  <c r="B147" i="137"/>
  <c r="T140" i="137"/>
  <c r="N140" i="137"/>
  <c r="H140" i="137"/>
  <c r="B140" i="137"/>
  <c r="T133" i="137"/>
  <c r="N133" i="137"/>
  <c r="H133" i="137"/>
  <c r="B133" i="137"/>
  <c r="T126" i="137"/>
  <c r="N126" i="137"/>
  <c r="H126" i="137"/>
  <c r="B126" i="137"/>
  <c r="T119" i="137"/>
  <c r="N119" i="137"/>
  <c r="H119" i="137"/>
  <c r="B119" i="137"/>
  <c r="T112" i="137"/>
  <c r="N112" i="137"/>
  <c r="H112" i="137"/>
  <c r="B112" i="137"/>
  <c r="T105" i="137"/>
  <c r="N105" i="137"/>
  <c r="H105" i="137"/>
  <c r="B105" i="137"/>
  <c r="T98" i="137"/>
  <c r="N98" i="137"/>
  <c r="H98" i="137"/>
  <c r="B98" i="137"/>
  <c r="T91" i="137"/>
  <c r="N91" i="137"/>
  <c r="H91" i="137"/>
  <c r="B91" i="137"/>
  <c r="T84" i="137"/>
  <c r="N84" i="137"/>
  <c r="H84" i="137"/>
  <c r="B84" i="137"/>
  <c r="T77" i="137"/>
  <c r="N77" i="137"/>
  <c r="H77" i="137"/>
  <c r="B77" i="137"/>
  <c r="T70" i="137"/>
  <c r="N70" i="137"/>
  <c r="H70" i="137"/>
  <c r="B70" i="137"/>
  <c r="T63" i="137"/>
  <c r="N63" i="137"/>
  <c r="H63" i="137"/>
  <c r="B63" i="137"/>
  <c r="T56" i="137"/>
  <c r="N56" i="137"/>
  <c r="H56" i="137"/>
  <c r="B56" i="137"/>
  <c r="T49" i="137"/>
  <c r="N49" i="137"/>
  <c r="H49" i="137"/>
  <c r="B49" i="137"/>
  <c r="T42" i="137"/>
  <c r="N42" i="137"/>
  <c r="H42" i="137"/>
  <c r="B42" i="137"/>
  <c r="T35" i="137"/>
  <c r="N35" i="137"/>
  <c r="H35" i="137"/>
  <c r="B35" i="137"/>
  <c r="T28" i="137"/>
  <c r="N28" i="137"/>
  <c r="H28" i="137"/>
  <c r="B28" i="137"/>
  <c r="T21" i="137"/>
  <c r="N21" i="137"/>
  <c r="H21" i="137"/>
  <c r="B21" i="137"/>
  <c r="T14" i="137"/>
  <c r="N14" i="137"/>
  <c r="H14" i="137"/>
  <c r="B14" i="137"/>
  <c r="T7" i="137"/>
  <c r="N7" i="137"/>
  <c r="H7" i="137"/>
  <c r="B7" i="137"/>
  <c r="A310" i="136"/>
  <c r="A309" i="136"/>
  <c r="A308" i="136"/>
  <c r="A307" i="136"/>
  <c r="A306" i="136"/>
  <c r="A305" i="136"/>
  <c r="A304" i="136"/>
  <c r="A303" i="136"/>
  <c r="A302" i="136"/>
  <c r="A301" i="136"/>
  <c r="A300" i="136"/>
  <c r="A299" i="136"/>
  <c r="A298" i="136"/>
  <c r="A297" i="136"/>
  <c r="A296" i="136"/>
  <c r="A295" i="136"/>
  <c r="A294" i="136"/>
  <c r="A293" i="136"/>
  <c r="A292" i="136"/>
  <c r="A291" i="136"/>
  <c r="A290" i="136"/>
  <c r="A289" i="136"/>
  <c r="A288" i="136"/>
  <c r="A287" i="136"/>
  <c r="A286" i="136"/>
  <c r="A285" i="136"/>
  <c r="A284" i="136"/>
  <c r="A283" i="136"/>
  <c r="A282" i="136"/>
  <c r="A281" i="136"/>
  <c r="A280" i="136"/>
  <c r="A279" i="136"/>
  <c r="A278" i="136"/>
  <c r="A277" i="136"/>
  <c r="A276" i="136"/>
  <c r="A275" i="136"/>
  <c r="A274" i="136"/>
  <c r="A273" i="136"/>
  <c r="A272" i="136"/>
  <c r="A271" i="136"/>
  <c r="A270" i="136"/>
  <c r="A269" i="136"/>
  <c r="A268" i="136"/>
  <c r="A267" i="136"/>
  <c r="A266" i="136"/>
  <c r="A265" i="136"/>
  <c r="A264" i="136"/>
  <c r="A263" i="136"/>
  <c r="A262" i="136"/>
  <c r="A261" i="136"/>
  <c r="A260" i="136"/>
  <c r="A259" i="136"/>
  <c r="A258" i="136"/>
  <c r="A257" i="136"/>
  <c r="A256" i="136"/>
  <c r="A255" i="136"/>
  <c r="A254" i="136"/>
  <c r="A253" i="136"/>
  <c r="A252" i="136"/>
  <c r="A251" i="136"/>
  <c r="A250" i="136"/>
  <c r="A249" i="136"/>
  <c r="A248" i="136"/>
  <c r="A247" i="136"/>
  <c r="A246" i="136"/>
  <c r="A245" i="136"/>
  <c r="A244" i="136"/>
  <c r="A243" i="136"/>
  <c r="A242" i="136"/>
  <c r="A241" i="136"/>
  <c r="A240" i="136"/>
  <c r="A239" i="136"/>
  <c r="A238" i="136"/>
  <c r="A237" i="136"/>
  <c r="A236" i="136"/>
  <c r="A235" i="136"/>
  <c r="A234" i="136"/>
  <c r="A233" i="136"/>
  <c r="A232" i="136"/>
  <c r="A231" i="136"/>
  <c r="A230" i="136"/>
  <c r="A229" i="136"/>
  <c r="A228" i="136"/>
  <c r="A227" i="136"/>
  <c r="A226" i="136"/>
  <c r="A225" i="136"/>
  <c r="A224" i="136"/>
  <c r="A223" i="136"/>
  <c r="A222" i="136"/>
  <c r="A221" i="136"/>
  <c r="A220" i="136"/>
  <c r="A219" i="136"/>
  <c r="A218" i="136"/>
  <c r="A217" i="136"/>
  <c r="A216" i="136"/>
  <c r="A215" i="136"/>
  <c r="A214" i="136"/>
  <c r="A213" i="136"/>
  <c r="A212" i="136"/>
  <c r="A211" i="136"/>
  <c r="A210" i="136"/>
  <c r="A209" i="136"/>
  <c r="A208" i="136"/>
  <c r="A207" i="136"/>
  <c r="A206" i="136"/>
  <c r="A205" i="136"/>
  <c r="A204" i="136"/>
  <c r="A203" i="136"/>
  <c r="A202" i="136"/>
  <c r="A201" i="136"/>
  <c r="A200" i="136"/>
  <c r="A199" i="136"/>
  <c r="A198" i="136"/>
  <c r="A197" i="136"/>
  <c r="A196" i="136"/>
  <c r="A195" i="136"/>
  <c r="A194" i="136"/>
  <c r="A193" i="136"/>
  <c r="A192" i="136"/>
  <c r="A191" i="136"/>
  <c r="A190" i="136"/>
  <c r="A189" i="136"/>
  <c r="A188" i="136"/>
  <c r="A187" i="136"/>
  <c r="A186" i="136"/>
  <c r="A185" i="136"/>
  <c r="A184" i="136"/>
  <c r="A183" i="136"/>
  <c r="A182" i="136"/>
  <c r="A181" i="136"/>
  <c r="A180" i="136"/>
  <c r="A179" i="136"/>
  <c r="A178" i="136"/>
  <c r="A177" i="136"/>
  <c r="A176" i="136"/>
  <c r="A175" i="136"/>
  <c r="A174" i="136"/>
  <c r="A173" i="136"/>
  <c r="A172" i="136"/>
  <c r="A171" i="136"/>
  <c r="A170" i="136"/>
  <c r="A169" i="136"/>
  <c r="A168" i="136"/>
  <c r="A167" i="136"/>
  <c r="A166" i="136"/>
  <c r="A165" i="136"/>
  <c r="A164" i="136"/>
  <c r="A163" i="136"/>
  <c r="A162" i="136"/>
  <c r="A161" i="136"/>
  <c r="A160" i="136"/>
  <c r="A159" i="136"/>
  <c r="A158" i="136"/>
  <c r="A157" i="136"/>
  <c r="A156" i="136"/>
  <c r="A155" i="136"/>
  <c r="A154" i="136"/>
  <c r="A153" i="136"/>
  <c r="A152" i="136"/>
  <c r="A151" i="136"/>
  <c r="A150" i="136"/>
  <c r="A149" i="136"/>
  <c r="A148" i="136"/>
  <c r="A147" i="136"/>
  <c r="A146" i="136"/>
  <c r="A145" i="136"/>
  <c r="A144" i="136"/>
  <c r="A143" i="136"/>
  <c r="A142" i="136"/>
  <c r="A141" i="136"/>
  <c r="A140" i="136"/>
  <c r="A139" i="136"/>
  <c r="A138" i="136"/>
  <c r="A137" i="136"/>
  <c r="A136" i="136"/>
  <c r="A135" i="136"/>
  <c r="A134" i="136"/>
  <c r="A133" i="136"/>
  <c r="A132" i="136"/>
  <c r="A131" i="136"/>
  <c r="A130" i="136"/>
  <c r="A129" i="136"/>
  <c r="A128" i="136"/>
  <c r="A127" i="136"/>
  <c r="A126" i="136"/>
  <c r="A125" i="136"/>
  <c r="A124" i="136"/>
  <c r="A123" i="136"/>
  <c r="A122" i="136"/>
  <c r="A121" i="136"/>
  <c r="A120" i="136"/>
  <c r="A119" i="136"/>
  <c r="A118" i="136"/>
  <c r="A117" i="136"/>
  <c r="A116" i="136"/>
  <c r="A115" i="136"/>
  <c r="A114" i="136"/>
  <c r="A113" i="136"/>
  <c r="A112" i="136"/>
  <c r="A111" i="136"/>
  <c r="A110" i="136"/>
  <c r="A109" i="136"/>
  <c r="A108" i="136"/>
  <c r="A107" i="136"/>
  <c r="A106" i="136"/>
  <c r="A105" i="136"/>
  <c r="A104" i="136"/>
  <c r="A103" i="136"/>
  <c r="A102" i="136"/>
  <c r="A101" i="136"/>
  <c r="A100" i="136"/>
  <c r="A99" i="136"/>
  <c r="A98" i="136"/>
  <c r="A97" i="136"/>
  <c r="A96" i="136"/>
  <c r="A95" i="136"/>
  <c r="A94" i="136"/>
  <c r="A93" i="136"/>
  <c r="A92" i="136"/>
  <c r="A91" i="136"/>
  <c r="A90" i="136"/>
  <c r="A89" i="136"/>
  <c r="A88" i="136"/>
  <c r="A87" i="136"/>
  <c r="A86" i="136"/>
  <c r="A85" i="136"/>
  <c r="A84" i="136"/>
  <c r="A83" i="136"/>
  <c r="A82" i="136"/>
  <c r="A81" i="136"/>
  <c r="A80" i="136"/>
  <c r="A79" i="136"/>
  <c r="A78" i="136"/>
  <c r="A77" i="136"/>
  <c r="A76" i="136"/>
  <c r="A75" i="136"/>
  <c r="A74" i="136"/>
  <c r="A73" i="136"/>
  <c r="A72" i="136"/>
  <c r="A71" i="136"/>
  <c r="A70" i="136"/>
  <c r="A69" i="136"/>
  <c r="A68" i="136"/>
  <c r="A67" i="136"/>
  <c r="A66" i="136"/>
  <c r="A65" i="136"/>
  <c r="A64" i="136"/>
  <c r="A63" i="136"/>
  <c r="A62" i="136"/>
  <c r="A61" i="136"/>
  <c r="A60" i="136"/>
  <c r="A59" i="136"/>
  <c r="A58" i="136"/>
  <c r="A57" i="136"/>
  <c r="A56" i="136"/>
  <c r="A55" i="136"/>
  <c r="A54" i="136"/>
  <c r="A53" i="136"/>
  <c r="A52" i="136"/>
  <c r="A51" i="136"/>
  <c r="A50" i="136"/>
  <c r="A49" i="136"/>
  <c r="A48" i="136"/>
  <c r="A47" i="136"/>
  <c r="M46" i="136"/>
  <c r="L46" i="136"/>
  <c r="K46" i="136"/>
  <c r="J46" i="136"/>
  <c r="I46" i="136"/>
  <c r="H46" i="136"/>
  <c r="G46" i="136"/>
  <c r="F46" i="136"/>
  <c r="D46" i="136"/>
  <c r="C46" i="136"/>
  <c r="B46" i="136"/>
  <c r="A46" i="136"/>
  <c r="M45" i="136"/>
  <c r="L45" i="136"/>
  <c r="K45" i="136"/>
  <c r="J45" i="136"/>
  <c r="I45" i="136"/>
  <c r="H45" i="136"/>
  <c r="G45" i="136"/>
  <c r="F45" i="136"/>
  <c r="D45" i="136"/>
  <c r="C45" i="136"/>
  <c r="B45" i="136"/>
  <c r="A45" i="136"/>
  <c r="M44" i="136"/>
  <c r="L44" i="136"/>
  <c r="K44" i="136"/>
  <c r="J44" i="136"/>
  <c r="I44" i="136"/>
  <c r="H44" i="136"/>
  <c r="G44" i="136"/>
  <c r="F44" i="136"/>
  <c r="D44" i="136"/>
  <c r="C44" i="136"/>
  <c r="B44" i="136"/>
  <c r="A44" i="136"/>
  <c r="M43" i="136"/>
  <c r="L43" i="136"/>
  <c r="K43" i="136"/>
  <c r="J43" i="136"/>
  <c r="I43" i="136"/>
  <c r="H43" i="136"/>
  <c r="G43" i="136"/>
  <c r="F43" i="136"/>
  <c r="D43" i="136"/>
  <c r="C43" i="136"/>
  <c r="B43" i="136"/>
  <c r="A43" i="136"/>
  <c r="M42" i="136"/>
  <c r="L42" i="136"/>
  <c r="K42" i="136"/>
  <c r="J42" i="136"/>
  <c r="I42" i="136"/>
  <c r="H42" i="136"/>
  <c r="G42" i="136"/>
  <c r="F42" i="136"/>
  <c r="D42" i="136"/>
  <c r="C42" i="136"/>
  <c r="B42" i="136"/>
  <c r="A42" i="136"/>
  <c r="M41" i="136"/>
  <c r="L41" i="136"/>
  <c r="K41" i="136"/>
  <c r="J41" i="136"/>
  <c r="I41" i="136"/>
  <c r="H41" i="136"/>
  <c r="G41" i="136"/>
  <c r="F41" i="136"/>
  <c r="D41" i="136"/>
  <c r="C41" i="136"/>
  <c r="B41" i="136"/>
  <c r="A41" i="136"/>
  <c r="M40" i="136"/>
  <c r="L40" i="136"/>
  <c r="K40" i="136"/>
  <c r="J40" i="136"/>
  <c r="I40" i="136"/>
  <c r="H40" i="136"/>
  <c r="G40" i="136"/>
  <c r="F40" i="136"/>
  <c r="D40" i="136"/>
  <c r="C40" i="136"/>
  <c r="B40" i="136"/>
  <c r="A40" i="136"/>
  <c r="M39" i="136"/>
  <c r="L39" i="136"/>
  <c r="K39" i="136"/>
  <c r="J39" i="136"/>
  <c r="I39" i="136"/>
  <c r="H39" i="136"/>
  <c r="G39" i="136"/>
  <c r="F39" i="136"/>
  <c r="D39" i="136"/>
  <c r="C39" i="136"/>
  <c r="B39" i="136"/>
  <c r="A39" i="136"/>
  <c r="M38" i="136"/>
  <c r="L38" i="136"/>
  <c r="K38" i="136"/>
  <c r="J38" i="136"/>
  <c r="I38" i="136"/>
  <c r="H38" i="136"/>
  <c r="G38" i="136"/>
  <c r="F38" i="136"/>
  <c r="D38" i="136"/>
  <c r="C38" i="136"/>
  <c r="B38" i="136"/>
  <c r="A38" i="136"/>
  <c r="M37" i="136"/>
  <c r="L37" i="136"/>
  <c r="K37" i="136"/>
  <c r="J37" i="136"/>
  <c r="I37" i="136"/>
  <c r="H37" i="136"/>
  <c r="G37" i="136"/>
  <c r="F37" i="136"/>
  <c r="D37" i="136"/>
  <c r="C37" i="136"/>
  <c r="B37" i="136"/>
  <c r="A37" i="136"/>
  <c r="M36" i="136"/>
  <c r="L36" i="136"/>
  <c r="K36" i="136"/>
  <c r="J36" i="136"/>
  <c r="I36" i="136"/>
  <c r="H36" i="136"/>
  <c r="G36" i="136"/>
  <c r="F36" i="136"/>
  <c r="D36" i="136"/>
  <c r="C36" i="136"/>
  <c r="B36" i="136"/>
  <c r="A36" i="136"/>
  <c r="M35" i="136"/>
  <c r="L35" i="136"/>
  <c r="K35" i="136"/>
  <c r="J35" i="136"/>
  <c r="I35" i="136"/>
  <c r="H35" i="136"/>
  <c r="G35" i="136"/>
  <c r="F35" i="136"/>
  <c r="D35" i="136"/>
  <c r="C35" i="136"/>
  <c r="B35" i="136"/>
  <c r="A35" i="136"/>
  <c r="M34" i="136"/>
  <c r="L34" i="136"/>
  <c r="K34" i="136"/>
  <c r="J34" i="136"/>
  <c r="I34" i="136"/>
  <c r="H34" i="136"/>
  <c r="G34" i="136"/>
  <c r="F34" i="136"/>
  <c r="D34" i="136"/>
  <c r="C34" i="136"/>
  <c r="B34" i="136"/>
  <c r="A34" i="136"/>
  <c r="M33" i="136"/>
  <c r="L33" i="136"/>
  <c r="K33" i="136"/>
  <c r="J33" i="136"/>
  <c r="I33" i="136"/>
  <c r="H33" i="136"/>
  <c r="G33" i="136"/>
  <c r="F33" i="136"/>
  <c r="D33" i="136"/>
  <c r="C33" i="136"/>
  <c r="B33" i="136"/>
  <c r="A33" i="136"/>
  <c r="M32" i="136"/>
  <c r="L32" i="136"/>
  <c r="K32" i="136"/>
  <c r="J32" i="136"/>
  <c r="I32" i="136"/>
  <c r="H32" i="136"/>
  <c r="G32" i="136"/>
  <c r="F32" i="136"/>
  <c r="D32" i="136"/>
  <c r="C32" i="136"/>
  <c r="B32" i="136"/>
  <c r="A32" i="136"/>
  <c r="M31" i="136"/>
  <c r="L31" i="136"/>
  <c r="K31" i="136"/>
  <c r="J31" i="136"/>
  <c r="I31" i="136"/>
  <c r="H31" i="136"/>
  <c r="G31" i="136"/>
  <c r="F31" i="136"/>
  <c r="D31" i="136"/>
  <c r="C31" i="136"/>
  <c r="B31" i="136"/>
  <c r="A31" i="136"/>
  <c r="M30" i="136"/>
  <c r="L30" i="136"/>
  <c r="K30" i="136"/>
  <c r="J30" i="136"/>
  <c r="I30" i="136"/>
  <c r="H30" i="136"/>
  <c r="G30" i="136"/>
  <c r="F30" i="136"/>
  <c r="D30" i="136"/>
  <c r="C30" i="136"/>
  <c r="B30" i="136"/>
  <c r="A30" i="136"/>
  <c r="M29" i="136"/>
  <c r="L29" i="136"/>
  <c r="K29" i="136"/>
  <c r="J29" i="136"/>
  <c r="I29" i="136"/>
  <c r="H29" i="136"/>
  <c r="G29" i="136"/>
  <c r="F29" i="136"/>
  <c r="D29" i="136"/>
  <c r="C29" i="136"/>
  <c r="B29" i="136"/>
  <c r="A29" i="136"/>
  <c r="M28" i="136"/>
  <c r="L28" i="136"/>
  <c r="K28" i="136"/>
  <c r="J28" i="136"/>
  <c r="I28" i="136"/>
  <c r="H28" i="136"/>
  <c r="G28" i="136"/>
  <c r="F28" i="136"/>
  <c r="D28" i="136"/>
  <c r="C28" i="136"/>
  <c r="B28" i="136"/>
  <c r="A28" i="136"/>
  <c r="M27" i="136"/>
  <c r="L27" i="136"/>
  <c r="K27" i="136"/>
  <c r="J27" i="136"/>
  <c r="I27" i="136"/>
  <c r="H27" i="136"/>
  <c r="G27" i="136"/>
  <c r="F27" i="136"/>
  <c r="D27" i="136"/>
  <c r="C27" i="136"/>
  <c r="B27" i="136"/>
  <c r="A27" i="136"/>
  <c r="M26" i="136"/>
  <c r="L26" i="136"/>
  <c r="K26" i="136"/>
  <c r="J26" i="136"/>
  <c r="I26" i="136"/>
  <c r="H26" i="136"/>
  <c r="G26" i="136"/>
  <c r="F26" i="136"/>
  <c r="D26" i="136"/>
  <c r="C26" i="136"/>
  <c r="B26" i="136"/>
  <c r="A26" i="136"/>
  <c r="M25" i="136"/>
  <c r="L25" i="136"/>
  <c r="K25" i="136"/>
  <c r="J25" i="136"/>
  <c r="I25" i="136"/>
  <c r="H25" i="136"/>
  <c r="G25" i="136"/>
  <c r="F25" i="136"/>
  <c r="D25" i="136"/>
  <c r="C25" i="136"/>
  <c r="B25" i="136"/>
  <c r="A25" i="136"/>
  <c r="M24" i="136"/>
  <c r="L24" i="136"/>
  <c r="K24" i="136"/>
  <c r="J24" i="136"/>
  <c r="I24" i="136"/>
  <c r="H24" i="136"/>
  <c r="G24" i="136"/>
  <c r="F24" i="136"/>
  <c r="D24" i="136"/>
  <c r="C24" i="136"/>
  <c r="B24" i="136"/>
  <c r="A24" i="136"/>
  <c r="M23" i="136"/>
  <c r="L23" i="136"/>
  <c r="K23" i="136"/>
  <c r="J23" i="136"/>
  <c r="I23" i="136"/>
  <c r="H23" i="136"/>
  <c r="G23" i="136"/>
  <c r="F23" i="136"/>
  <c r="D23" i="136"/>
  <c r="C23" i="136"/>
  <c r="B23" i="136"/>
  <c r="A23" i="136"/>
  <c r="M22" i="136"/>
  <c r="L22" i="136"/>
  <c r="K22" i="136"/>
  <c r="J22" i="136"/>
  <c r="I22" i="136"/>
  <c r="H22" i="136"/>
  <c r="G22" i="136"/>
  <c r="F22" i="136"/>
  <c r="D22" i="136"/>
  <c r="C22" i="136"/>
  <c r="B22" i="136"/>
  <c r="A22" i="136"/>
  <c r="M21" i="136"/>
  <c r="L21" i="136"/>
  <c r="K21" i="136"/>
  <c r="J21" i="136"/>
  <c r="I21" i="136"/>
  <c r="H21" i="136"/>
  <c r="G21" i="136"/>
  <c r="F21" i="136"/>
  <c r="D21" i="136"/>
  <c r="C21" i="136"/>
  <c r="B21" i="136"/>
  <c r="A21" i="136"/>
  <c r="M20" i="136"/>
  <c r="L20" i="136"/>
  <c r="K20" i="136"/>
  <c r="J20" i="136"/>
  <c r="I20" i="136"/>
  <c r="H20" i="136"/>
  <c r="G20" i="136"/>
  <c r="F20" i="136"/>
  <c r="D20" i="136"/>
  <c r="C20" i="136"/>
  <c r="B20" i="136"/>
  <c r="A20" i="136"/>
  <c r="M19" i="136"/>
  <c r="L19" i="136"/>
  <c r="K19" i="136"/>
  <c r="J19" i="136"/>
  <c r="I19" i="136"/>
  <c r="H19" i="136"/>
  <c r="G19" i="136"/>
  <c r="F19" i="136"/>
  <c r="D19" i="136"/>
  <c r="C19" i="136"/>
  <c r="B19" i="136"/>
  <c r="A19" i="136"/>
  <c r="M18" i="136"/>
  <c r="L18" i="136"/>
  <c r="K18" i="136"/>
  <c r="J18" i="136"/>
  <c r="I18" i="136"/>
  <c r="H18" i="136"/>
  <c r="G18" i="136"/>
  <c r="F18" i="136"/>
  <c r="D18" i="136"/>
  <c r="C18" i="136"/>
  <c r="B18" i="136"/>
  <c r="A18" i="136"/>
  <c r="M17" i="136"/>
  <c r="L17" i="136"/>
  <c r="K17" i="136"/>
  <c r="J17" i="136"/>
  <c r="I17" i="136"/>
  <c r="H17" i="136"/>
  <c r="G17" i="136"/>
  <c r="F17" i="136"/>
  <c r="D17" i="136"/>
  <c r="C17" i="136"/>
  <c r="B17" i="136"/>
  <c r="A17" i="136"/>
  <c r="M16" i="136"/>
  <c r="L16" i="136"/>
  <c r="K16" i="136"/>
  <c r="J16" i="136"/>
  <c r="I16" i="136"/>
  <c r="H16" i="136"/>
  <c r="G16" i="136"/>
  <c r="F16" i="136"/>
  <c r="D16" i="136"/>
  <c r="C16" i="136"/>
  <c r="B16" i="136"/>
  <c r="A16" i="136"/>
  <c r="M15" i="136"/>
  <c r="L15" i="136"/>
  <c r="K15" i="136"/>
  <c r="J15" i="136"/>
  <c r="I15" i="136"/>
  <c r="H15" i="136"/>
  <c r="G15" i="136"/>
  <c r="F15" i="136"/>
  <c r="D15" i="136"/>
  <c r="C15" i="136"/>
  <c r="B15" i="136"/>
  <c r="A15" i="136"/>
  <c r="M14" i="136"/>
  <c r="L14" i="136"/>
  <c r="K14" i="136"/>
  <c r="J14" i="136"/>
  <c r="I14" i="136"/>
  <c r="H14" i="136"/>
  <c r="G14" i="136"/>
  <c r="F14" i="136"/>
  <c r="D14" i="136"/>
  <c r="C14" i="136"/>
  <c r="B14" i="136"/>
  <c r="A14" i="136"/>
  <c r="M13" i="136"/>
  <c r="L13" i="136"/>
  <c r="K13" i="136"/>
  <c r="J13" i="136"/>
  <c r="I13" i="136"/>
  <c r="H13" i="136"/>
  <c r="G13" i="136"/>
  <c r="F13" i="136"/>
  <c r="D13" i="136"/>
  <c r="C13" i="136"/>
  <c r="B13" i="136"/>
  <c r="A13" i="136"/>
  <c r="M12" i="136"/>
  <c r="L12" i="136"/>
  <c r="K12" i="136"/>
  <c r="J12" i="136"/>
  <c r="I12" i="136"/>
  <c r="H12" i="136"/>
  <c r="G12" i="136"/>
  <c r="F12" i="136"/>
  <c r="D12" i="136"/>
  <c r="C12" i="136"/>
  <c r="B12" i="136"/>
  <c r="A12" i="136"/>
  <c r="M11" i="136"/>
  <c r="L11" i="136"/>
  <c r="K11" i="136"/>
  <c r="J11" i="136"/>
  <c r="I11" i="136"/>
  <c r="H11" i="136"/>
  <c r="G11" i="136"/>
  <c r="F11" i="136"/>
  <c r="D11" i="136"/>
  <c r="C11" i="136"/>
  <c r="B11" i="136"/>
  <c r="A11" i="136"/>
  <c r="M10" i="136"/>
  <c r="L10" i="136"/>
  <c r="K10" i="136"/>
  <c r="J10" i="136"/>
  <c r="I10" i="136"/>
  <c r="H10" i="136"/>
  <c r="G10" i="136"/>
  <c r="F10" i="136"/>
  <c r="D10" i="136"/>
  <c r="C10" i="136"/>
  <c r="B10" i="136"/>
  <c r="A10" i="136"/>
  <c r="M9" i="136"/>
  <c r="L9" i="136"/>
  <c r="K9" i="136"/>
  <c r="J9" i="136"/>
  <c r="I9" i="136"/>
  <c r="H9" i="136"/>
  <c r="G9" i="136"/>
  <c r="F9" i="136"/>
  <c r="D9" i="136"/>
  <c r="C9" i="136"/>
  <c r="B9" i="136"/>
  <c r="A9" i="136"/>
  <c r="M8" i="136"/>
  <c r="L8" i="136"/>
  <c r="K8" i="136"/>
  <c r="J8" i="136"/>
  <c r="I8" i="136"/>
  <c r="H8" i="136"/>
  <c r="G8" i="136"/>
  <c r="F8" i="136"/>
  <c r="D8" i="136"/>
  <c r="C8" i="136"/>
  <c r="B8" i="136"/>
  <c r="A8" i="136"/>
  <c r="M7" i="136"/>
  <c r="L7" i="136"/>
  <c r="K7" i="136"/>
  <c r="J7" i="136"/>
  <c r="I7" i="136"/>
  <c r="H7" i="136"/>
  <c r="G7" i="136"/>
  <c r="F7" i="136"/>
  <c r="D7" i="136"/>
  <c r="C7" i="136"/>
  <c r="B7" i="136"/>
  <c r="A7" i="136"/>
  <c r="M6" i="136"/>
  <c r="L6" i="136"/>
  <c r="K6" i="136"/>
  <c r="J6" i="136"/>
  <c r="I6" i="136"/>
  <c r="H6" i="136"/>
  <c r="G6" i="136"/>
  <c r="F6" i="136"/>
  <c r="D6" i="136"/>
  <c r="C6" i="136"/>
  <c r="B6" i="136"/>
  <c r="A6" i="136"/>
  <c r="M5" i="136"/>
  <c r="L5" i="136"/>
  <c r="K5" i="136"/>
  <c r="J5" i="136"/>
  <c r="I5" i="136"/>
  <c r="H5" i="136"/>
  <c r="G5" i="136"/>
  <c r="F5" i="136"/>
  <c r="D5" i="136"/>
  <c r="C5" i="136"/>
  <c r="B5" i="136"/>
  <c r="A5" i="136"/>
  <c r="M4" i="136"/>
  <c r="L4" i="136"/>
  <c r="K4" i="136"/>
  <c r="J4" i="136"/>
  <c r="I4" i="136"/>
  <c r="H4" i="136"/>
  <c r="G4" i="136"/>
  <c r="F4" i="136"/>
  <c r="D4" i="136"/>
  <c r="C4" i="136"/>
  <c r="B4" i="136"/>
  <c r="A4" i="136"/>
  <c r="L3" i="136"/>
  <c r="G3" i="136"/>
  <c r="M3" i="136"/>
  <c r="K3" i="136"/>
  <c r="J3" i="136"/>
  <c r="I3" i="136"/>
  <c r="H3" i="136"/>
  <c r="F3" i="136"/>
  <c r="E1" i="16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Z1" i="16" s="1"/>
  <c r="AA1" i="16" s="1"/>
  <c r="AB1" i="16" s="1"/>
  <c r="AC1" i="16" s="1"/>
  <c r="AD1" i="16" s="1"/>
  <c r="AE1" i="16" s="1"/>
  <c r="AF1" i="16" s="1"/>
  <c r="AG1" i="16" s="1"/>
  <c r="AH1" i="16" s="1"/>
  <c r="AI1" i="16" s="1"/>
  <c r="AJ1" i="16" s="1"/>
  <c r="AK1" i="16" s="1"/>
  <c r="AL1" i="16" s="1"/>
  <c r="AM1" i="16" s="1"/>
  <c r="AN1" i="16" s="1"/>
  <c r="AO1" i="16" s="1"/>
  <c r="AP1" i="16" s="1"/>
  <c r="AQ1" i="16" s="1"/>
  <c r="AR1" i="16" s="1"/>
  <c r="AS1" i="16" s="1"/>
  <c r="AT1" i="16" s="1"/>
  <c r="AU1" i="16" s="1"/>
  <c r="AV1" i="16" s="1"/>
  <c r="AW1" i="16" s="1"/>
  <c r="AX1" i="16" s="1"/>
  <c r="AY1" i="16" s="1"/>
  <c r="AZ1" i="16" s="1"/>
  <c r="BA1" i="16" s="1"/>
  <c r="BB1" i="16" s="1"/>
  <c r="BC1" i="16" s="1"/>
  <c r="BD1" i="16" s="1"/>
  <c r="BE1" i="16" s="1"/>
  <c r="BF1" i="16" s="1"/>
  <c r="BG1" i="16" s="1"/>
  <c r="BH1" i="16" s="1"/>
  <c r="BI1" i="16" s="1"/>
  <c r="BJ1" i="16" s="1"/>
  <c r="BK1" i="16" s="1"/>
  <c r="BL1" i="16" s="1"/>
  <c r="BM1" i="16" s="1"/>
  <c r="BN1" i="16" s="1"/>
  <c r="BO1" i="16" s="1"/>
  <c r="BP1" i="16" s="1"/>
  <c r="BQ1" i="16" s="1"/>
  <c r="BR1" i="16" s="1"/>
  <c r="BS1" i="16" s="1"/>
  <c r="BT1" i="16" s="1"/>
  <c r="BU1" i="16" s="1"/>
  <c r="BV1" i="16" s="1"/>
  <c r="T415" i="137" l="1"/>
  <c r="T408" i="137"/>
  <c r="T401" i="137"/>
  <c r="T394" i="137"/>
  <c r="T387" i="137"/>
  <c r="T380" i="137"/>
  <c r="T373" i="137"/>
  <c r="T366" i="137"/>
  <c r="T359" i="137"/>
  <c r="T352" i="137"/>
  <c r="T345" i="137"/>
  <c r="T338" i="137"/>
  <c r="T331" i="137"/>
  <c r="T324" i="137"/>
  <c r="T317" i="137"/>
  <c r="T310" i="137"/>
  <c r="T303" i="137"/>
  <c r="T296" i="137"/>
  <c r="T289" i="137"/>
  <c r="T282" i="137"/>
  <c r="T275" i="137"/>
  <c r="T268" i="137"/>
  <c r="T261" i="137"/>
  <c r="T254" i="137"/>
  <c r="T247" i="137"/>
  <c r="T240" i="137"/>
  <c r="T233" i="137"/>
  <c r="T226" i="137"/>
  <c r="T219" i="137"/>
  <c r="T212" i="137"/>
  <c r="T205" i="137"/>
  <c r="T198" i="137"/>
  <c r="T191" i="137"/>
  <c r="T184" i="137"/>
  <c r="T177" i="137"/>
  <c r="T170" i="137"/>
  <c r="T163" i="137"/>
  <c r="T156" i="137"/>
  <c r="T149" i="137"/>
  <c r="T142" i="137"/>
  <c r="T135" i="137"/>
  <c r="T128" i="137"/>
  <c r="T121" i="137"/>
  <c r="T114" i="137"/>
  <c r="T107" i="137"/>
  <c r="T100" i="137"/>
  <c r="T93" i="137"/>
  <c r="T86" i="137"/>
  <c r="T79" i="137"/>
  <c r="T72" i="137"/>
  <c r="T65" i="137"/>
  <c r="T58" i="137"/>
  <c r="T51" i="137"/>
  <c r="T44" i="137"/>
  <c r="T37" i="137"/>
  <c r="T30" i="137"/>
  <c r="T23" i="137"/>
  <c r="T16" i="137"/>
  <c r="T9" i="137"/>
  <c r="T2" i="137"/>
  <c r="N415" i="137"/>
  <c r="N408" i="137"/>
  <c r="N401" i="137"/>
  <c r="N394" i="137"/>
  <c r="N387" i="137"/>
  <c r="N380" i="137"/>
  <c r="N373" i="137"/>
  <c r="N366" i="137"/>
  <c r="N359" i="137"/>
  <c r="N352" i="137"/>
  <c r="N345" i="137"/>
  <c r="N338" i="137"/>
  <c r="N331" i="137"/>
  <c r="N324" i="137"/>
  <c r="N317" i="137"/>
  <c r="N310" i="137"/>
  <c r="N303" i="137"/>
  <c r="N296" i="137"/>
  <c r="N289" i="137"/>
  <c r="N282" i="137"/>
  <c r="N275" i="137"/>
  <c r="N268" i="137"/>
  <c r="N261" i="137"/>
  <c r="N254" i="137"/>
  <c r="N247" i="137"/>
  <c r="N240" i="137"/>
  <c r="N233" i="137"/>
  <c r="N226" i="137"/>
  <c r="N219" i="137"/>
  <c r="N212" i="137"/>
  <c r="N205" i="137"/>
  <c r="N198" i="137"/>
  <c r="N191" i="137"/>
  <c r="N184" i="137"/>
  <c r="N177" i="137"/>
  <c r="N170" i="137"/>
  <c r="N163" i="137"/>
  <c r="N156" i="137"/>
  <c r="N149" i="137"/>
  <c r="N142" i="137"/>
  <c r="N135" i="137"/>
  <c r="N128" i="137"/>
  <c r="N121" i="137"/>
  <c r="N114" i="137"/>
  <c r="N107" i="137"/>
  <c r="N100" i="137"/>
  <c r="N93" i="137"/>
  <c r="N86" i="137"/>
  <c r="N79" i="137"/>
  <c r="N72" i="137"/>
  <c r="N65" i="137"/>
  <c r="N58" i="137"/>
  <c r="N51" i="137"/>
  <c r="N44" i="137"/>
  <c r="N37" i="137"/>
  <c r="N30" i="137"/>
  <c r="N23" i="137"/>
  <c r="N16" i="137"/>
  <c r="N9" i="137"/>
  <c r="N2" i="137"/>
  <c r="H415" i="137"/>
  <c r="H408" i="137"/>
  <c r="H401" i="137"/>
  <c r="H394" i="137"/>
  <c r="H387" i="137"/>
  <c r="H380" i="137"/>
  <c r="H373" i="137"/>
  <c r="H366" i="137"/>
  <c r="H359" i="137"/>
  <c r="H352" i="137"/>
  <c r="H345" i="137"/>
  <c r="H338" i="137"/>
  <c r="H331" i="137"/>
  <c r="H324" i="137"/>
  <c r="H317" i="137"/>
  <c r="H310" i="137"/>
  <c r="H303" i="137"/>
  <c r="H296" i="137"/>
  <c r="H289" i="137"/>
  <c r="H282" i="137"/>
  <c r="H275" i="137"/>
  <c r="H268" i="137"/>
  <c r="H261" i="137"/>
  <c r="H254" i="137"/>
  <c r="H247" i="137"/>
  <c r="H240" i="137"/>
  <c r="H233" i="137"/>
  <c r="H226" i="137"/>
  <c r="H219" i="137"/>
  <c r="H212" i="137"/>
  <c r="H205" i="137"/>
  <c r="H198" i="137"/>
  <c r="H191" i="137"/>
  <c r="H184" i="137"/>
  <c r="H177" i="137"/>
  <c r="H170" i="137"/>
  <c r="H163" i="137"/>
  <c r="H156" i="137"/>
  <c r="H149" i="137"/>
  <c r="H142" i="137"/>
  <c r="H135" i="137"/>
  <c r="H128" i="137"/>
  <c r="H121" i="137"/>
  <c r="H114" i="137"/>
  <c r="H107" i="137"/>
  <c r="H100" i="137"/>
  <c r="H93" i="137"/>
  <c r="H86" i="137"/>
  <c r="H79" i="137"/>
  <c r="H72" i="137"/>
  <c r="H65" i="137"/>
  <c r="H58" i="137"/>
  <c r="H51" i="137"/>
  <c r="H44" i="137"/>
  <c r="H37" i="137"/>
  <c r="H30" i="137"/>
  <c r="H23" i="137"/>
  <c r="H16" i="137"/>
  <c r="H9" i="137"/>
  <c r="H2" i="137"/>
  <c r="B415" i="137"/>
  <c r="B408" i="137"/>
  <c r="B401" i="137"/>
  <c r="B394" i="137"/>
  <c r="B387" i="137"/>
  <c r="B380" i="137"/>
  <c r="B373" i="137"/>
  <c r="B366" i="137"/>
  <c r="B359" i="137"/>
  <c r="B352" i="137"/>
  <c r="B345" i="137"/>
  <c r="B338" i="137"/>
  <c r="B331" i="137"/>
  <c r="B324" i="137"/>
  <c r="B317" i="137"/>
  <c r="B310" i="137"/>
  <c r="B303" i="137"/>
  <c r="B296" i="137"/>
  <c r="B289" i="137"/>
  <c r="B282" i="137"/>
  <c r="B275" i="137"/>
  <c r="B268" i="137"/>
  <c r="B261" i="137"/>
  <c r="B254" i="137"/>
  <c r="B247" i="137"/>
  <c r="B240" i="137"/>
  <c r="B233" i="137"/>
  <c r="B226" i="137"/>
  <c r="B219" i="137"/>
  <c r="B212" i="137"/>
  <c r="B205" i="137"/>
  <c r="B198" i="137"/>
  <c r="B191" i="137"/>
  <c r="B184" i="137"/>
  <c r="B177" i="137"/>
  <c r="B170" i="137"/>
  <c r="B163" i="137"/>
  <c r="B156" i="137"/>
  <c r="B149" i="137"/>
  <c r="B142" i="137"/>
  <c r="B135" i="137"/>
  <c r="B128" i="137"/>
  <c r="B121" i="137"/>
  <c r="B114" i="137"/>
  <c r="B107" i="137"/>
  <c r="B100" i="137"/>
  <c r="B93" i="137"/>
  <c r="B86" i="137"/>
  <c r="B79" i="137"/>
  <c r="B72" i="137"/>
  <c r="B65" i="137"/>
  <c r="B58" i="137"/>
  <c r="B51" i="137"/>
  <c r="B44" i="137"/>
  <c r="B37" i="137"/>
  <c r="B30" i="137"/>
  <c r="B23" i="137"/>
  <c r="B16" i="137"/>
  <c r="B9" i="137"/>
  <c r="B2" i="137"/>
  <c r="S1" i="137"/>
  <c r="M1" i="137"/>
  <c r="G1" i="137"/>
  <c r="S414" i="137"/>
  <c r="M414" i="137"/>
  <c r="G414" i="137"/>
  <c r="A414" i="137"/>
  <c r="S407" i="137"/>
  <c r="M407" i="137"/>
  <c r="G407" i="137"/>
  <c r="A407" i="137"/>
  <c r="S400" i="137"/>
  <c r="M400" i="137"/>
  <c r="G400" i="137"/>
  <c r="A400" i="137"/>
  <c r="S393" i="137"/>
  <c r="M393" i="137"/>
  <c r="G393" i="137"/>
  <c r="A393" i="137"/>
  <c r="S386" i="137"/>
  <c r="M386" i="137"/>
  <c r="G386" i="137"/>
  <c r="A386" i="137"/>
  <c r="S379" i="137"/>
  <c r="M379" i="137"/>
  <c r="G379" i="137"/>
  <c r="A379" i="137"/>
  <c r="S372" i="137"/>
  <c r="M372" i="137"/>
  <c r="G372" i="137"/>
  <c r="A372" i="137"/>
  <c r="S365" i="137"/>
  <c r="M365" i="137"/>
  <c r="G365" i="137"/>
  <c r="A365" i="137"/>
  <c r="S358" i="137"/>
  <c r="M358" i="137"/>
  <c r="G358" i="137"/>
  <c r="A358" i="137"/>
  <c r="S351" i="137"/>
  <c r="M351" i="137"/>
  <c r="G351" i="137"/>
  <c r="A351" i="137"/>
  <c r="S344" i="137"/>
  <c r="M344" i="137"/>
  <c r="G344" i="137"/>
  <c r="A344" i="137"/>
  <c r="S337" i="137"/>
  <c r="M337" i="137"/>
  <c r="G337" i="137"/>
  <c r="A337" i="137"/>
  <c r="S330" i="137"/>
  <c r="M330" i="137"/>
  <c r="G330" i="137"/>
  <c r="A330" i="137"/>
  <c r="S323" i="137"/>
  <c r="M323" i="137"/>
  <c r="G323" i="137"/>
  <c r="A323" i="137"/>
  <c r="S316" i="137"/>
  <c r="M316" i="137"/>
  <c r="G316" i="137"/>
  <c r="A316" i="137"/>
  <c r="S309" i="137"/>
  <c r="M309" i="137"/>
  <c r="G309" i="137"/>
  <c r="A309" i="137"/>
  <c r="S302" i="137"/>
  <c r="M302" i="137"/>
  <c r="G302" i="137"/>
  <c r="A302" i="137"/>
  <c r="S295" i="137"/>
  <c r="M295" i="137"/>
  <c r="G295" i="137"/>
  <c r="A295" i="137"/>
  <c r="S288" i="137"/>
  <c r="M288" i="137"/>
  <c r="G288" i="137"/>
  <c r="A288" i="137"/>
  <c r="S281" i="137"/>
  <c r="M281" i="137"/>
  <c r="G281" i="137"/>
  <c r="A281" i="137"/>
  <c r="S274" i="137"/>
  <c r="M274" i="137"/>
  <c r="G274" i="137"/>
  <c r="A274" i="137"/>
  <c r="S267" i="137"/>
  <c r="M267" i="137"/>
  <c r="G267" i="137"/>
  <c r="A267" i="137"/>
  <c r="S260" i="137"/>
  <c r="M260" i="137"/>
  <c r="G260" i="137"/>
  <c r="A260" i="137"/>
  <c r="S253" i="137"/>
  <c r="M253" i="137"/>
  <c r="G253" i="137"/>
  <c r="A253" i="137"/>
  <c r="S246" i="137"/>
  <c r="M246" i="137"/>
  <c r="G246" i="137"/>
  <c r="A246" i="137"/>
  <c r="S239" i="137"/>
  <c r="M239" i="137"/>
  <c r="G239" i="137"/>
  <c r="A239" i="137"/>
  <c r="S232" i="137"/>
  <c r="M232" i="137"/>
  <c r="G232" i="137"/>
  <c r="A232" i="137"/>
  <c r="S225" i="137"/>
  <c r="M225" i="137"/>
  <c r="G225" i="137"/>
  <c r="A225" i="137"/>
  <c r="S218" i="137"/>
  <c r="M218" i="137"/>
  <c r="G218" i="137"/>
  <c r="A218" i="137"/>
  <c r="S211" i="137"/>
  <c r="M211" i="137"/>
  <c r="G211" i="137"/>
  <c r="A211" i="137"/>
  <c r="S204" i="137"/>
  <c r="M204" i="137"/>
  <c r="G204" i="137"/>
  <c r="A204" i="137"/>
  <c r="S197" i="137"/>
  <c r="M197" i="137"/>
  <c r="G197" i="137"/>
  <c r="A197" i="137"/>
  <c r="S190" i="137"/>
  <c r="M190" i="137"/>
  <c r="G190" i="137"/>
  <c r="A190" i="137"/>
  <c r="S183" i="137"/>
  <c r="M183" i="137"/>
  <c r="G183" i="137"/>
  <c r="A183" i="137"/>
  <c r="S176" i="137"/>
  <c r="M176" i="137"/>
  <c r="G176" i="137"/>
  <c r="A176" i="137"/>
  <c r="S169" i="137"/>
  <c r="M169" i="137"/>
  <c r="G169" i="137"/>
  <c r="A169" i="137"/>
  <c r="S162" i="137"/>
  <c r="M162" i="137"/>
  <c r="G162" i="137"/>
  <c r="A162" i="137"/>
  <c r="S155" i="137"/>
  <c r="M155" i="137"/>
  <c r="G155" i="137"/>
  <c r="A155" i="137"/>
  <c r="S148" i="137"/>
  <c r="M148" i="137"/>
  <c r="G148" i="137"/>
  <c r="A148" i="137"/>
  <c r="S141" i="137"/>
  <c r="M141" i="137"/>
  <c r="G141" i="137"/>
  <c r="A141" i="137"/>
  <c r="S134" i="137"/>
  <c r="M134" i="137"/>
  <c r="G134" i="137"/>
  <c r="A134" i="137"/>
  <c r="S127" i="137"/>
  <c r="M127" i="137"/>
  <c r="G127" i="137"/>
  <c r="A127" i="137"/>
  <c r="S120" i="137"/>
  <c r="M120" i="137"/>
  <c r="G120" i="137"/>
  <c r="A120" i="137"/>
  <c r="S113" i="137"/>
  <c r="M113" i="137"/>
  <c r="G113" i="137"/>
  <c r="A113" i="137"/>
  <c r="S106" i="137"/>
  <c r="M106" i="137"/>
  <c r="G106" i="137"/>
  <c r="A106" i="137"/>
  <c r="S99" i="137"/>
  <c r="M99" i="137"/>
  <c r="G99" i="137"/>
  <c r="A99" i="137"/>
  <c r="S92" i="137"/>
  <c r="M92" i="137"/>
  <c r="G92" i="137"/>
  <c r="A92" i="137"/>
  <c r="S85" i="137"/>
  <c r="M85" i="137"/>
  <c r="G85" i="137"/>
  <c r="A85" i="137"/>
  <c r="S78" i="137"/>
  <c r="M78" i="137"/>
  <c r="G78" i="137"/>
  <c r="A78" i="137"/>
  <c r="S71" i="137"/>
  <c r="M71" i="137"/>
  <c r="G71" i="137"/>
  <c r="A71" i="137"/>
  <c r="S64" i="137"/>
  <c r="M64" i="137"/>
  <c r="G64" i="137"/>
  <c r="A64" i="137"/>
  <c r="S57" i="137"/>
  <c r="M57" i="137"/>
  <c r="G57" i="137"/>
  <c r="A57" i="137"/>
  <c r="S50" i="137"/>
  <c r="M50" i="137"/>
  <c r="G50" i="137"/>
  <c r="A50" i="137"/>
  <c r="S43" i="137"/>
  <c r="M43" i="137"/>
  <c r="G43" i="137"/>
  <c r="A43" i="137"/>
  <c r="S36" i="137"/>
  <c r="M36" i="137"/>
  <c r="G36" i="137"/>
  <c r="A36" i="137"/>
  <c r="S29" i="137"/>
  <c r="M29" i="137"/>
  <c r="G29" i="137"/>
  <c r="A29" i="137"/>
  <c r="S22" i="137"/>
  <c r="M22" i="137"/>
  <c r="G22" i="137"/>
  <c r="A22" i="137"/>
  <c r="S15" i="137"/>
  <c r="M15" i="137"/>
  <c r="G15" i="137"/>
  <c r="A15" i="137"/>
  <c r="S8" i="137"/>
  <c r="M8" i="137"/>
  <c r="G8" i="137"/>
  <c r="A8" i="137"/>
  <c r="A1" i="137"/>
  <c r="D3" i="136" l="1"/>
  <c r="C3" i="136"/>
  <c r="B3" i="136"/>
  <c r="A3" i="136"/>
  <c r="D73" i="62"/>
  <c r="H79" i="62"/>
  <c r="F79" i="62"/>
  <c r="D74" i="62"/>
  <c r="D72" i="62"/>
  <c r="D4" i="62" l="1"/>
  <c r="D8" i="62" l="1"/>
  <c r="D7" i="62"/>
  <c r="D6" i="62"/>
  <c r="D5" i="62"/>
  <c r="L47" i="136" l="1"/>
  <c r="H47" i="136"/>
  <c r="C47" i="136"/>
  <c r="K47" i="136"/>
  <c r="G47" i="136"/>
  <c r="B47" i="136"/>
  <c r="J47" i="136"/>
  <c r="F47" i="136"/>
  <c r="M47" i="136"/>
  <c r="I47" i="136"/>
  <c r="D47" i="136"/>
  <c r="F48" i="136" l="1"/>
  <c r="M48" i="136"/>
  <c r="L48" i="136"/>
  <c r="J48" i="136"/>
  <c r="B48" i="136"/>
  <c r="D48" i="136"/>
  <c r="G48" i="136"/>
  <c r="C48" i="136"/>
  <c r="I48" i="136"/>
  <c r="K48" i="136"/>
  <c r="H48" i="136"/>
  <c r="J49" i="136" l="1"/>
  <c r="I49" i="136"/>
  <c r="M49" i="136"/>
  <c r="K49" i="136"/>
  <c r="H49" i="136"/>
  <c r="F49" i="136"/>
  <c r="B49" i="136"/>
  <c r="G49" i="136"/>
  <c r="D49" i="136"/>
  <c r="C49" i="136"/>
  <c r="L49" i="136"/>
  <c r="M50" i="136" l="1"/>
  <c r="B50" i="136"/>
  <c r="D50" i="136"/>
  <c r="F50" i="136"/>
  <c r="C50" i="136"/>
  <c r="I50" i="136"/>
  <c r="J50" i="136"/>
  <c r="K50" i="136"/>
  <c r="G50" i="136"/>
  <c r="H50" i="136"/>
  <c r="L50" i="136"/>
  <c r="D51" i="136" l="1"/>
  <c r="H51" i="136"/>
  <c r="M51" i="136"/>
  <c r="B51" i="136"/>
  <c r="C51" i="136"/>
  <c r="J51" i="136"/>
  <c r="I51" i="136"/>
  <c r="K51" i="136"/>
  <c r="G51" i="136"/>
  <c r="L51" i="136"/>
  <c r="F51" i="136"/>
  <c r="L52" i="136" l="1"/>
  <c r="F52" i="136"/>
  <c r="M52" i="136"/>
  <c r="B53" i="136" l="1"/>
  <c r="P244" i="137" l="1"/>
  <c r="D202" i="137"/>
  <c r="R321" i="137"/>
  <c r="U298" i="137"/>
  <c r="C360" i="137"/>
  <c r="R108" i="137"/>
  <c r="T340" i="137"/>
  <c r="C347" i="137"/>
  <c r="W10" i="137"/>
  <c r="E300" i="137"/>
  <c r="X12" i="137"/>
  <c r="C202" i="137"/>
  <c r="V318" i="137"/>
  <c r="P192" i="137"/>
  <c r="W349" i="137"/>
  <c r="E262" i="137"/>
  <c r="F286" i="137"/>
  <c r="L256" i="137"/>
  <c r="Q207" i="137"/>
  <c r="O255" i="137"/>
  <c r="Q248" i="137"/>
  <c r="W389" i="137"/>
  <c r="C17" i="137"/>
  <c r="V416" i="137"/>
  <c r="X419" i="137"/>
  <c r="K412" i="137"/>
  <c r="R159" i="137"/>
  <c r="I101" i="137"/>
  <c r="W165" i="137"/>
  <c r="B214" i="137"/>
  <c r="J241" i="137"/>
  <c r="L200" i="137"/>
  <c r="R311" i="137"/>
  <c r="P342" i="137"/>
  <c r="J412" i="137"/>
  <c r="P269" i="137"/>
  <c r="E333" i="137"/>
  <c r="I150" i="137"/>
  <c r="Q185" i="137"/>
  <c r="K59" i="137"/>
  <c r="F164" i="137"/>
  <c r="V272" i="137"/>
  <c r="X249" i="137"/>
  <c r="V293" i="137"/>
  <c r="L299" i="137"/>
  <c r="U332" i="137"/>
  <c r="W244" i="137"/>
  <c r="K94" i="137"/>
  <c r="L375" i="137"/>
  <c r="J41" i="137"/>
  <c r="Q104" i="137"/>
  <c r="V192" i="137"/>
  <c r="L167" i="137"/>
  <c r="W290" i="137"/>
  <c r="X74" i="137"/>
  <c r="D153" i="137"/>
  <c r="K213" i="137"/>
  <c r="I221" i="137"/>
  <c r="F297" i="137"/>
  <c r="L165" i="137"/>
  <c r="K10" i="137"/>
  <c r="E59" i="137"/>
  <c r="I244" i="137"/>
  <c r="H102" i="137"/>
  <c r="F83" i="137"/>
  <c r="Q195" i="137"/>
  <c r="J10" i="137"/>
  <c r="K104" i="137"/>
  <c r="C118" i="137"/>
  <c r="L25" i="137"/>
  <c r="O87" i="137"/>
  <c r="P80" i="137"/>
  <c r="F312" i="137"/>
  <c r="X164" i="137"/>
  <c r="F192" i="137"/>
  <c r="J321" i="137"/>
  <c r="W255" i="137"/>
  <c r="U223" i="137"/>
  <c r="J262" i="137"/>
  <c r="O118" i="137"/>
  <c r="L123" i="137"/>
  <c r="X417" i="137"/>
  <c r="W347" i="137"/>
  <c r="D122" i="137"/>
  <c r="C185" i="137"/>
  <c r="X290" i="137"/>
  <c r="U202" i="137"/>
  <c r="F46" i="137"/>
  <c r="R348" i="137"/>
  <c r="C349" i="137"/>
  <c r="B249" i="137"/>
  <c r="R335" i="137"/>
  <c r="O48" i="137"/>
  <c r="F122" i="137"/>
  <c r="W234" i="137"/>
  <c r="W305" i="137"/>
  <c r="F17" i="137"/>
  <c r="T312" i="137"/>
  <c r="F159" i="137"/>
  <c r="X172" i="137"/>
  <c r="Q10" i="137"/>
  <c r="K139" i="137"/>
  <c r="E416" i="137"/>
  <c r="F321" i="137"/>
  <c r="F53" i="137"/>
  <c r="H4" i="137"/>
  <c r="W52" i="137"/>
  <c r="I39" i="137"/>
  <c r="C97" i="137"/>
  <c r="L272" i="137"/>
  <c r="R13" i="137"/>
  <c r="I153" i="137"/>
  <c r="U346" i="137"/>
  <c r="Q262" i="137"/>
  <c r="L180" i="137"/>
  <c r="V356" i="137"/>
  <c r="I318" i="137"/>
  <c r="U347" i="137"/>
  <c r="X356" i="137"/>
  <c r="W132" i="137"/>
  <c r="F41" i="137"/>
  <c r="J55" i="137"/>
  <c r="K234" i="137"/>
  <c r="L143" i="137"/>
  <c r="J409" i="137"/>
  <c r="V353" i="137"/>
  <c r="F165" i="137"/>
  <c r="J45" i="137"/>
  <c r="D139" i="137"/>
  <c r="Q242" i="137"/>
  <c r="D41" i="137"/>
  <c r="L186" i="137"/>
  <c r="T207" i="137"/>
  <c r="C391" i="137"/>
  <c r="X11" i="137"/>
  <c r="C328" i="137"/>
  <c r="F335" i="137"/>
  <c r="X255" i="137"/>
  <c r="C368" i="137"/>
  <c r="R251" i="137"/>
  <c r="I46" i="137"/>
  <c r="Q321" i="137"/>
  <c r="W279" i="137"/>
  <c r="E76" i="137"/>
  <c r="C83" i="137"/>
  <c r="K388" i="137"/>
  <c r="O360" i="137"/>
  <c r="C87" i="137"/>
  <c r="Q368" i="137"/>
  <c r="Q214" i="137"/>
  <c r="I391" i="137"/>
  <c r="I55" i="137"/>
  <c r="O158" i="137"/>
  <c r="T46" i="137"/>
  <c r="K255" i="137"/>
  <c r="D188" i="137"/>
  <c r="U395" i="137"/>
  <c r="D297" i="137"/>
  <c r="E242" i="137"/>
  <c r="O31" i="137"/>
  <c r="U221" i="137"/>
  <c r="F249" i="137"/>
  <c r="B144" i="137"/>
  <c r="R405" i="137"/>
  <c r="U403" i="137"/>
  <c r="D360" i="137"/>
  <c r="Q290" i="137"/>
  <c r="R111" i="137"/>
  <c r="H88" i="137"/>
  <c r="Q118" i="137"/>
  <c r="H18" i="137"/>
  <c r="P241" i="137"/>
  <c r="F215" i="137"/>
  <c r="T235" i="137"/>
  <c r="P265" i="137"/>
  <c r="O83" i="137"/>
  <c r="L181" i="137"/>
  <c r="L405" i="137"/>
  <c r="X41" i="137"/>
  <c r="F47" i="137"/>
  <c r="X95" i="137"/>
  <c r="I361" i="137"/>
  <c r="L75" i="137"/>
  <c r="L271" i="137"/>
  <c r="U312" i="137"/>
  <c r="K395" i="137"/>
  <c r="O202" i="137"/>
  <c r="B382" i="137"/>
  <c r="Q11" i="137"/>
  <c r="R11" i="137"/>
  <c r="C396" i="137"/>
  <c r="P108" i="137"/>
  <c r="X40" i="137"/>
  <c r="F398" i="137"/>
  <c r="N375" i="137"/>
  <c r="L255" i="137"/>
  <c r="V181" i="137"/>
  <c r="V73" i="137"/>
  <c r="J381" i="137"/>
  <c r="L117" i="137"/>
  <c r="R89" i="137"/>
  <c r="D55" i="137"/>
  <c r="P220" i="137"/>
  <c r="F362" i="137"/>
  <c r="W153" i="137"/>
  <c r="O186" i="137"/>
  <c r="L382" i="137"/>
  <c r="W293" i="137"/>
  <c r="R181" i="137"/>
  <c r="L179" i="137"/>
  <c r="D104" i="137"/>
  <c r="E230" i="137"/>
  <c r="J300" i="137"/>
  <c r="L403" i="137"/>
  <c r="N340" i="137"/>
  <c r="R34" i="137"/>
  <c r="L353" i="137"/>
  <c r="K97" i="137"/>
  <c r="J167" i="137"/>
  <c r="F370" i="137"/>
  <c r="P416" i="137"/>
  <c r="L158" i="137"/>
  <c r="C11" i="137"/>
  <c r="X340" i="137"/>
  <c r="Q25" i="137"/>
  <c r="R75" i="137"/>
  <c r="U73" i="137"/>
  <c r="U192" i="137"/>
  <c r="R242" i="137"/>
  <c r="T354" i="137"/>
  <c r="F264" i="137"/>
  <c r="I223" i="137"/>
  <c r="U76" i="137"/>
  <c r="F276" i="137"/>
  <c r="B130" i="137"/>
  <c r="D59" i="137"/>
  <c r="W178" i="137"/>
  <c r="B186" i="137"/>
  <c r="V167" i="137"/>
  <c r="I382" i="137"/>
  <c r="L235" i="137"/>
  <c r="R10" i="137"/>
  <c r="U48" i="137"/>
  <c r="X354" i="137"/>
  <c r="I53" i="137"/>
  <c r="Q69" i="137"/>
  <c r="I195" i="137"/>
  <c r="U3" i="137"/>
  <c r="I202" i="137"/>
  <c r="O157" i="137"/>
  <c r="F251" i="137"/>
  <c r="B179" i="137"/>
  <c r="L129" i="137"/>
  <c r="R410" i="137"/>
  <c r="P27" i="137"/>
  <c r="Q38" i="137"/>
  <c r="J416" i="137"/>
  <c r="O46" i="137"/>
  <c r="Q230" i="137"/>
  <c r="P76" i="137"/>
  <c r="R38" i="137"/>
  <c r="R305" i="137"/>
  <c r="O3" i="137"/>
  <c r="N130" i="137"/>
  <c r="W87" i="137"/>
  <c r="R24" i="137"/>
  <c r="I178" i="137"/>
  <c r="Q200" i="137"/>
  <c r="D328" i="137"/>
  <c r="K290" i="137"/>
  <c r="B67" i="137"/>
  <c r="W333" i="137"/>
  <c r="U39" i="137"/>
  <c r="I230" i="137"/>
  <c r="K81" i="137"/>
  <c r="I304" i="137"/>
  <c r="R376" i="137"/>
  <c r="U340" i="137"/>
  <c r="E109" i="137"/>
  <c r="L347" i="137"/>
  <c r="F271" i="137"/>
  <c r="X325" i="137"/>
  <c r="W193" i="137"/>
  <c r="V66" i="137"/>
  <c r="K143" i="137"/>
  <c r="F227" i="137"/>
  <c r="B200" i="137"/>
  <c r="H319" i="137"/>
  <c r="O375" i="137"/>
  <c r="K349" i="137"/>
  <c r="R340" i="137"/>
  <c r="L76" i="137"/>
  <c r="R276" i="137"/>
  <c r="D234" i="137"/>
  <c r="W368" i="137"/>
  <c r="F125" i="137"/>
  <c r="C298" i="137"/>
  <c r="W228" i="137"/>
  <c r="Q361" i="137"/>
  <c r="K332" i="137"/>
  <c r="D314" i="137"/>
  <c r="O279" i="137"/>
  <c r="Q109" i="137"/>
  <c r="L290" i="137"/>
  <c r="L94" i="137"/>
  <c r="J269" i="137"/>
  <c r="E130" i="137"/>
  <c r="C277" i="137"/>
  <c r="P307" i="137"/>
  <c r="C31" i="137"/>
  <c r="X55" i="137"/>
  <c r="X251" i="137"/>
  <c r="E270" i="137"/>
  <c r="L370" i="137"/>
  <c r="X167" i="137"/>
  <c r="U25" i="137"/>
  <c r="L251" i="137"/>
  <c r="T102" i="137"/>
  <c r="U118" i="137"/>
  <c r="W81" i="137"/>
  <c r="R263" i="137"/>
  <c r="I192" i="137"/>
  <c r="X269" i="137"/>
  <c r="V349" i="137"/>
  <c r="R94" i="137"/>
  <c r="P237" i="137"/>
  <c r="O227" i="137"/>
  <c r="F361" i="137"/>
  <c r="X361" i="137"/>
  <c r="K137" i="137"/>
  <c r="J318" i="137"/>
  <c r="H417" i="137"/>
  <c r="J153" i="137"/>
  <c r="X313" i="137"/>
  <c r="C318" i="137"/>
  <c r="N186" i="137"/>
  <c r="X67" i="137"/>
  <c r="O88" i="137"/>
  <c r="P251" i="137"/>
  <c r="Q52" i="137"/>
  <c r="R384" i="137"/>
  <c r="R314" i="137"/>
  <c r="X346" i="137"/>
  <c r="R117" i="137"/>
  <c r="O74" i="137"/>
  <c r="N291" i="137"/>
  <c r="R179" i="137"/>
  <c r="R355" i="137"/>
  <c r="R257" i="137"/>
  <c r="R19" i="137"/>
  <c r="X125" i="137"/>
  <c r="E27" i="137"/>
  <c r="L293" i="137"/>
  <c r="P20" i="137"/>
  <c r="L69" i="137"/>
  <c r="F54" i="137"/>
  <c r="I200" i="137"/>
  <c r="L52" i="137"/>
  <c r="O111" i="137"/>
  <c r="I377" i="137"/>
  <c r="J174" i="137"/>
  <c r="W419" i="137"/>
  <c r="D318" i="137"/>
  <c r="W136" i="137"/>
  <c r="L88" i="137"/>
  <c r="D87" i="137"/>
  <c r="X242" i="137"/>
  <c r="X264" i="137"/>
  <c r="E52" i="137"/>
  <c r="C220" i="137"/>
  <c r="F255" i="137"/>
  <c r="F405" i="137"/>
  <c r="O76" i="137"/>
  <c r="E32" i="137"/>
  <c r="F418" i="137"/>
  <c r="K228" i="137"/>
  <c r="C66" i="137"/>
  <c r="R158" i="137"/>
  <c r="K136" i="137"/>
  <c r="B102" i="137"/>
  <c r="E314" i="137"/>
  <c r="C410" i="137"/>
  <c r="K374" i="137"/>
  <c r="K305" i="137"/>
  <c r="X152" i="137"/>
  <c r="V332" i="137"/>
  <c r="X89" i="137"/>
  <c r="E272" i="137"/>
  <c r="I102" i="137"/>
  <c r="V255" i="137"/>
  <c r="R167" i="137"/>
  <c r="E251" i="137"/>
  <c r="E284" i="137"/>
  <c r="K95" i="137"/>
  <c r="B228" i="137"/>
  <c r="T116" i="137"/>
  <c r="C101" i="137"/>
  <c r="R124" i="137"/>
  <c r="W388" i="137"/>
  <c r="L346" i="137"/>
  <c r="L404" i="137"/>
  <c r="U87" i="137"/>
  <c r="U328" i="137"/>
  <c r="Q46" i="137"/>
  <c r="I67" i="137"/>
  <c r="E335" i="137"/>
  <c r="W367" i="137"/>
  <c r="K4" i="137"/>
  <c r="B235" i="137"/>
  <c r="K398" i="137"/>
  <c r="E41" i="137"/>
  <c r="D227" i="137"/>
  <c r="P381" i="137"/>
  <c r="N256" i="137"/>
  <c r="H193" i="137"/>
  <c r="O150" i="137"/>
  <c r="F19" i="137"/>
  <c r="C237" i="137"/>
  <c r="F150" i="137"/>
  <c r="I360" i="137"/>
  <c r="C312" i="137"/>
  <c r="E249" i="137"/>
  <c r="B298" i="137"/>
  <c r="W370" i="137"/>
  <c r="F103" i="137"/>
  <c r="J311" i="137"/>
  <c r="X159" i="137"/>
  <c r="U335" i="137"/>
  <c r="E290" i="137"/>
  <c r="X144" i="137"/>
  <c r="U342" i="137"/>
  <c r="F52" i="137"/>
  <c r="O276" i="137"/>
  <c r="D409" i="137"/>
  <c r="O181" i="137"/>
  <c r="U193" i="137"/>
  <c r="R102" i="137"/>
  <c r="Q353" i="137"/>
  <c r="F129" i="137"/>
  <c r="L264" i="137"/>
  <c r="X5" i="137"/>
  <c r="H200" i="137"/>
  <c r="I405" i="137"/>
  <c r="N179" i="137"/>
  <c r="X166" i="137"/>
  <c r="D248" i="137"/>
  <c r="C207" i="137"/>
  <c r="F346" i="137"/>
  <c r="C158" i="137"/>
  <c r="E347" i="137"/>
  <c r="R270" i="137"/>
  <c r="L341" i="137"/>
  <c r="Q300" i="137"/>
  <c r="I66" i="137"/>
  <c r="X222" i="137"/>
  <c r="C150" i="137"/>
  <c r="C377" i="137"/>
  <c r="D185" i="137"/>
  <c r="R293" i="137"/>
  <c r="N298" i="137"/>
  <c r="Q125" i="137"/>
  <c r="U146" i="137"/>
  <c r="X180" i="137"/>
  <c r="U18" i="137"/>
  <c r="I13" i="137"/>
  <c r="J185" i="137"/>
  <c r="T81" i="137"/>
  <c r="T32" i="137"/>
  <c r="W332" i="137"/>
  <c r="O346" i="137"/>
  <c r="X299" i="137"/>
  <c r="W101" i="137"/>
  <c r="F208" i="137"/>
  <c r="E349" i="137"/>
  <c r="B242" i="137"/>
  <c r="X61" i="137"/>
  <c r="K227" i="137"/>
  <c r="O69" i="137"/>
  <c r="K265" i="137"/>
  <c r="P34" i="137"/>
  <c r="B354" i="137"/>
  <c r="P24" i="137"/>
  <c r="I272" i="137"/>
  <c r="F194" i="137"/>
  <c r="I74" i="137"/>
  <c r="U66" i="137"/>
  <c r="I188" i="137"/>
  <c r="T123" i="137"/>
  <c r="R48" i="137"/>
  <c r="K80" i="137"/>
  <c r="R68" i="137"/>
  <c r="W230" i="137"/>
  <c r="V230" i="137"/>
  <c r="I158" i="137"/>
  <c r="C270" i="137"/>
  <c r="Q59" i="137"/>
  <c r="U95" i="137"/>
  <c r="W297" i="137"/>
  <c r="Q202" i="137"/>
  <c r="I314" i="137"/>
  <c r="R382" i="137"/>
  <c r="C255" i="137"/>
  <c r="I340" i="137"/>
  <c r="Q116" i="137"/>
  <c r="K356" i="137"/>
  <c r="U374" i="137"/>
  <c r="I353" i="137"/>
  <c r="L283" i="137"/>
  <c r="V34" i="137"/>
  <c r="X87" i="137"/>
  <c r="I237" i="137"/>
  <c r="E312" i="137"/>
  <c r="W150" i="137"/>
  <c r="B389" i="137"/>
  <c r="C115" i="137"/>
  <c r="F110" i="137"/>
  <c r="D339" i="137"/>
  <c r="C223" i="137"/>
  <c r="O235" i="137"/>
  <c r="O318" i="137"/>
  <c r="R312" i="137"/>
  <c r="R249" i="137"/>
  <c r="F143" i="137"/>
  <c r="X398" i="137"/>
  <c r="O123" i="137"/>
  <c r="L395" i="137"/>
  <c r="E402" i="137"/>
  <c r="P300" i="137"/>
  <c r="L81" i="137"/>
  <c r="F195" i="137"/>
  <c r="E87" i="137"/>
  <c r="W258" i="137"/>
  <c r="L325" i="137"/>
  <c r="W39" i="137"/>
  <c r="X179" i="137"/>
  <c r="H270" i="137"/>
  <c r="P125" i="137"/>
  <c r="U381" i="137"/>
  <c r="L311" i="137"/>
  <c r="I368" i="137"/>
  <c r="H403" i="137"/>
  <c r="I417" i="137"/>
  <c r="J171" i="137"/>
  <c r="P405" i="137"/>
  <c r="R342" i="137"/>
  <c r="X334" i="137"/>
  <c r="F382" i="137"/>
  <c r="Q405" i="137"/>
  <c r="K258" i="137"/>
  <c r="N242" i="137"/>
  <c r="Q55" i="137"/>
  <c r="U402" i="137"/>
  <c r="U412" i="137"/>
  <c r="L194" i="137"/>
  <c r="R369" i="137"/>
  <c r="D311" i="137"/>
  <c r="J94" i="137"/>
  <c r="F69" i="137"/>
  <c r="C167" i="137"/>
  <c r="P272" i="137"/>
  <c r="U206" i="137"/>
  <c r="E209" i="137"/>
  <c r="E409" i="137"/>
  <c r="U409" i="137"/>
  <c r="C256" i="137"/>
  <c r="J293" i="137"/>
  <c r="D255" i="137"/>
  <c r="W143" i="137"/>
  <c r="R356" i="137"/>
  <c r="V38" i="137"/>
  <c r="C186" i="137"/>
  <c r="P216" i="137"/>
  <c r="O214" i="137"/>
  <c r="D10" i="137"/>
  <c r="I62" i="137"/>
  <c r="V185" i="137"/>
  <c r="D83" i="137"/>
  <c r="N25" i="137"/>
  <c r="V325" i="137"/>
  <c r="P206" i="137"/>
  <c r="L132" i="137"/>
  <c r="R416" i="137"/>
  <c r="T95" i="137"/>
  <c r="L340" i="137"/>
  <c r="R264" i="137"/>
  <c r="X193" i="137"/>
  <c r="U307" i="137"/>
  <c r="C419" i="137"/>
  <c r="T277" i="137"/>
  <c r="H116" i="137"/>
  <c r="U150" i="137"/>
  <c r="R237" i="137"/>
  <c r="U216" i="137"/>
  <c r="F265" i="137"/>
  <c r="K67" i="137"/>
  <c r="L269" i="137"/>
  <c r="X80" i="137"/>
  <c r="L416" i="137"/>
  <c r="I109" i="137"/>
  <c r="D237" i="137"/>
  <c r="I265" i="137"/>
  <c r="C59" i="137"/>
  <c r="R137" i="137"/>
  <c r="P146" i="137"/>
  <c r="R144" i="137"/>
  <c r="V199" i="137"/>
  <c r="F76" i="137"/>
  <c r="W381" i="137"/>
  <c r="C353" i="137"/>
  <c r="K284" i="137"/>
  <c r="W235" i="137"/>
  <c r="J108" i="137"/>
  <c r="X34" i="137"/>
  <c r="R207" i="137"/>
  <c r="F417" i="137"/>
  <c r="T291" i="137"/>
  <c r="L80" i="137"/>
  <c r="U360" i="137"/>
  <c r="I83" i="137"/>
  <c r="D171" i="137"/>
  <c r="C39" i="137"/>
  <c r="F137" i="137"/>
  <c r="E144" i="137"/>
  <c r="P97" i="137"/>
  <c r="V24" i="137"/>
  <c r="F102" i="137"/>
  <c r="P174" i="137"/>
  <c r="X410" i="137"/>
  <c r="C137" i="137"/>
  <c r="E171" i="137"/>
  <c r="P129" i="137"/>
  <c r="X214" i="137"/>
  <c r="F355" i="137"/>
  <c r="F24" i="137"/>
  <c r="W382" i="137"/>
  <c r="R235" i="137"/>
  <c r="F416" i="137"/>
  <c r="O262" i="137"/>
  <c r="K171" i="137"/>
  <c r="I59" i="137"/>
  <c r="I419" i="137"/>
  <c r="V290" i="137"/>
  <c r="L26" i="137"/>
  <c r="W291" i="137"/>
  <c r="C34" i="137"/>
  <c r="I328" i="137"/>
  <c r="W90" i="137"/>
  <c r="X117" i="137"/>
  <c r="Q389" i="137"/>
  <c r="I69" i="137"/>
  <c r="L349" i="137"/>
  <c r="J251" i="137"/>
  <c r="E199" i="137"/>
  <c r="F31" i="137"/>
  <c r="F278" i="137"/>
  <c r="Q291" i="137"/>
  <c r="F10" i="137"/>
  <c r="K55" i="137"/>
  <c r="U34" i="137"/>
  <c r="P360" i="137"/>
  <c r="L96" i="137"/>
  <c r="U171" i="137"/>
  <c r="P297" i="137"/>
  <c r="W360" i="137"/>
  <c r="L363" i="137"/>
  <c r="V143" i="137"/>
  <c r="V370" i="137"/>
  <c r="K153" i="137"/>
  <c r="Q160" i="137"/>
  <c r="N347" i="137"/>
  <c r="Q391" i="137"/>
  <c r="K102" i="137"/>
  <c r="I300" i="137"/>
  <c r="F118" i="137"/>
  <c r="J73" i="137"/>
  <c r="Q223" i="137"/>
  <c r="R403" i="137"/>
  <c r="U195" i="137"/>
  <c r="O17" i="137"/>
  <c r="O153" i="137"/>
  <c r="X192" i="137"/>
  <c r="C297" i="137"/>
  <c r="O174" i="137"/>
  <c r="N368" i="137"/>
  <c r="W115" i="137"/>
  <c r="R213" i="137"/>
  <c r="X270" i="137"/>
  <c r="U375" i="137"/>
  <c r="C53" i="137"/>
  <c r="X82" i="137"/>
  <c r="X395" i="137"/>
  <c r="I363" i="137"/>
  <c r="E137" i="137"/>
  <c r="F270" i="137"/>
  <c r="O249" i="137"/>
  <c r="H277" i="137"/>
  <c r="C283" i="137"/>
  <c r="O312" i="137"/>
  <c r="R74" i="137"/>
  <c r="R40" i="137"/>
  <c r="X209" i="137"/>
  <c r="C293" i="137"/>
  <c r="W109" i="137"/>
  <c r="F388" i="137"/>
  <c r="B193" i="137"/>
  <c r="O241" i="137"/>
  <c r="L208" i="137"/>
  <c r="L214" i="137"/>
  <c r="V188" i="137"/>
  <c r="K382" i="137"/>
  <c r="X194" i="137"/>
  <c r="Q221" i="137"/>
  <c r="R5" i="137"/>
  <c r="V55" i="137"/>
  <c r="L33" i="137"/>
  <c r="L242" i="137"/>
  <c r="U174" i="137"/>
  <c r="D293" i="137"/>
  <c r="X384" i="137"/>
  <c r="L284" i="137"/>
  <c r="L342" i="137"/>
  <c r="K101" i="137"/>
  <c r="R283" i="137"/>
  <c r="L313" i="137"/>
  <c r="W171" i="137"/>
  <c r="F116" i="137"/>
  <c r="I3" i="137"/>
  <c r="U62" i="137"/>
  <c r="E403" i="137"/>
  <c r="I347" i="137"/>
  <c r="R186" i="137"/>
  <c r="E410" i="137"/>
  <c r="P332" i="137"/>
  <c r="J87" i="137"/>
  <c r="U181" i="137"/>
  <c r="I17" i="137"/>
  <c r="F390" i="137"/>
  <c r="F61" i="137"/>
  <c r="H144" i="137"/>
  <c r="I321" i="137"/>
  <c r="L201" i="137"/>
  <c r="J374" i="137"/>
  <c r="P73" i="137"/>
  <c r="P101" i="137"/>
  <c r="W4" i="137"/>
  <c r="E339" i="137"/>
  <c r="E200" i="137"/>
  <c r="R215" i="137"/>
  <c r="I410" i="137"/>
  <c r="O416" i="137"/>
  <c r="W199" i="137"/>
  <c r="W83" i="137"/>
  <c r="V62" i="137"/>
  <c r="U144" i="137"/>
  <c r="F293" i="137"/>
  <c r="V45" i="137"/>
  <c r="R171" i="137"/>
  <c r="I123" i="137"/>
  <c r="I349" i="137"/>
  <c r="Q20" i="137"/>
  <c r="R228" i="137"/>
  <c r="L153" i="137"/>
  <c r="B319" i="137"/>
  <c r="W160" i="137"/>
  <c r="R277" i="137"/>
  <c r="O32" i="137"/>
  <c r="L54" i="137"/>
  <c r="V52" i="137"/>
  <c r="F334" i="137"/>
  <c r="X248" i="137"/>
  <c r="Q363" i="137"/>
  <c r="Q419" i="137"/>
  <c r="L12" i="137"/>
  <c r="E319" i="137"/>
  <c r="L159" i="137"/>
  <c r="F377" i="137"/>
  <c r="R241" i="137"/>
  <c r="V283" i="137"/>
  <c r="I186" i="137"/>
  <c r="X25" i="137"/>
  <c r="R290" i="137"/>
  <c r="P90" i="137"/>
  <c r="L68" i="137"/>
  <c r="Q349" i="137"/>
  <c r="R25" i="137"/>
  <c r="O165" i="137"/>
  <c r="O39" i="137"/>
  <c r="Q4" i="137"/>
  <c r="L164" i="137"/>
  <c r="J209" i="137"/>
  <c r="V388" i="137"/>
  <c r="W94" i="137"/>
  <c r="L249" i="137"/>
  <c r="D199" i="137"/>
  <c r="L248" i="137"/>
  <c r="P83" i="137"/>
  <c r="C109" i="137"/>
  <c r="L73" i="137"/>
  <c r="R151" i="137"/>
  <c r="E67" i="137"/>
  <c r="L41" i="137"/>
  <c r="V139" i="137"/>
  <c r="L27" i="137"/>
  <c r="J69" i="137"/>
  <c r="R389" i="137"/>
  <c r="R209" i="137"/>
  <c r="Q102" i="137"/>
  <c r="O263" i="137"/>
  <c r="W48" i="137"/>
  <c r="F402" i="137"/>
  <c r="Q179" i="137"/>
  <c r="D45" i="137"/>
  <c r="B74" i="137"/>
  <c r="L139" i="137"/>
  <c r="H326" i="137"/>
  <c r="X24" i="137"/>
  <c r="W396" i="137"/>
  <c r="F272" i="137"/>
  <c r="D332" i="137"/>
  <c r="W188" i="137"/>
  <c r="V279" i="137"/>
  <c r="D356" i="137"/>
  <c r="F237" i="137"/>
  <c r="X62" i="137"/>
  <c r="F66" i="137"/>
  <c r="B403" i="137"/>
  <c r="L263" i="137"/>
  <c r="T179" i="137"/>
  <c r="C52" i="137"/>
  <c r="W375" i="137"/>
  <c r="C244" i="137"/>
  <c r="K90" i="137"/>
  <c r="X411" i="137"/>
  <c r="X94" i="137"/>
  <c r="W237" i="137"/>
  <c r="Q284" i="137"/>
  <c r="T284" i="137"/>
  <c r="V311" i="137"/>
  <c r="R417" i="137"/>
  <c r="O311" i="137"/>
  <c r="R326" i="137"/>
  <c r="X123" i="137"/>
  <c r="O73" i="137"/>
  <c r="U214" i="137"/>
  <c r="K38" i="137"/>
  <c r="U297" i="137"/>
  <c r="L216" i="137"/>
  <c r="B88" i="137"/>
  <c r="P419" i="137"/>
  <c r="Q41" i="137"/>
  <c r="L209" i="137"/>
  <c r="R90" i="137"/>
  <c r="U139" i="137"/>
  <c r="O199" i="137"/>
  <c r="L286" i="137"/>
  <c r="X412" i="137"/>
  <c r="W179" i="137"/>
  <c r="D216" i="137"/>
  <c r="B284" i="137"/>
  <c r="P139" i="137"/>
  <c r="F213" i="137"/>
  <c r="E150" i="137"/>
  <c r="U157" i="137"/>
  <c r="P213" i="137"/>
  <c r="I384" i="137"/>
  <c r="C262" i="137"/>
  <c r="K202" i="137"/>
  <c r="J20" i="137"/>
  <c r="O367" i="137"/>
  <c r="R95" i="137"/>
  <c r="J178" i="137"/>
  <c r="I416" i="137"/>
  <c r="N207" i="137"/>
  <c r="N354" i="137"/>
  <c r="R201" i="137"/>
  <c r="I298" i="137"/>
  <c r="F410" i="137"/>
  <c r="P52" i="137"/>
  <c r="K165" i="137"/>
  <c r="K402" i="137"/>
  <c r="J248" i="137"/>
  <c r="B396" i="137"/>
  <c r="F333" i="137"/>
  <c r="N235" i="137"/>
  <c r="W129" i="137"/>
  <c r="O251" i="137"/>
  <c r="J59" i="137"/>
  <c r="C88" i="137"/>
  <c r="I326" i="137"/>
  <c r="O67" i="137"/>
  <c r="W410" i="137"/>
  <c r="F341" i="137"/>
  <c r="R390" i="137"/>
  <c r="H284" i="137"/>
  <c r="V20" i="137"/>
  <c r="L174" i="137"/>
  <c r="L312" i="137"/>
  <c r="X83" i="137"/>
  <c r="L173" i="137"/>
  <c r="V216" i="137"/>
  <c r="Q381" i="137"/>
  <c r="P167" i="137"/>
  <c r="X143" i="137"/>
  <c r="X258" i="137"/>
  <c r="O220" i="137"/>
  <c r="X333" i="137"/>
  <c r="W139" i="137"/>
  <c r="C122" i="137"/>
  <c r="W186" i="137"/>
  <c r="P94" i="137"/>
  <c r="K347" i="137"/>
  <c r="O122" i="137"/>
  <c r="E395" i="137"/>
  <c r="F314" i="137"/>
  <c r="L202" i="137"/>
  <c r="U213" i="137"/>
  <c r="L292" i="137"/>
  <c r="O339" i="137"/>
  <c r="V335" i="137"/>
  <c r="I283" i="137"/>
  <c r="T151" i="137"/>
  <c r="I249" i="137"/>
  <c r="W356" i="137"/>
  <c r="Q101" i="137"/>
  <c r="U269" i="137"/>
  <c r="T214" i="137"/>
  <c r="P178" i="137"/>
  <c r="D279" i="137"/>
  <c r="J328" i="137"/>
  <c r="R178" i="137"/>
  <c r="L152" i="137"/>
  <c r="Q67" i="137"/>
  <c r="J339" i="137"/>
  <c r="X160" i="137"/>
  <c r="D118" i="137"/>
  <c r="X368" i="137"/>
  <c r="K150" i="137"/>
  <c r="K157" i="137"/>
  <c r="R216" i="137"/>
  <c r="T186" i="137"/>
  <c r="E193" i="137"/>
  <c r="R83" i="137"/>
  <c r="W403" i="137"/>
  <c r="Q130" i="137"/>
  <c r="E326" i="137"/>
  <c r="R88" i="137"/>
  <c r="J290" i="137"/>
  <c r="I144" i="137"/>
  <c r="P363" i="137"/>
  <c r="D48" i="137"/>
  <c r="V346" i="137"/>
  <c r="O130" i="137"/>
  <c r="O398" i="137"/>
  <c r="J38" i="137"/>
  <c r="F369" i="137"/>
  <c r="H361" i="137"/>
  <c r="R271" i="137"/>
  <c r="L166" i="137"/>
  <c r="X201" i="137"/>
  <c r="C291" i="137"/>
  <c r="P143" i="137"/>
  <c r="D220" i="137"/>
  <c r="E122" i="137"/>
  <c r="X185" i="137"/>
  <c r="V269" i="137"/>
  <c r="R258" i="137"/>
  <c r="U178" i="137"/>
  <c r="I48" i="137"/>
  <c r="Q213" i="137"/>
  <c r="L115" i="137"/>
  <c r="V237" i="137"/>
  <c r="K108" i="137"/>
  <c r="U353" i="137"/>
  <c r="X223" i="137"/>
  <c r="O412" i="137"/>
  <c r="D31" i="137"/>
  <c r="C402" i="137"/>
  <c r="H256" i="137"/>
  <c r="B32" i="137"/>
  <c r="R398" i="137"/>
  <c r="L369" i="137"/>
  <c r="Q73" i="137"/>
  <c r="F299" i="137"/>
  <c r="K192" i="137"/>
  <c r="Q319" i="137"/>
  <c r="W111" i="137"/>
  <c r="K115" i="137"/>
  <c r="O293" i="137"/>
  <c r="I333" i="137"/>
  <c r="U115" i="137"/>
  <c r="Q417" i="137"/>
  <c r="P353" i="137"/>
  <c r="F171" i="137"/>
  <c r="Q332" i="137"/>
  <c r="E381" i="137"/>
  <c r="D384" i="137"/>
  <c r="W32" i="137"/>
  <c r="V248" i="137"/>
  <c r="O41" i="137"/>
  <c r="F20" i="137"/>
  <c r="U122" i="137"/>
  <c r="R165" i="137"/>
  <c r="E186" i="137"/>
  <c r="X262" i="137"/>
  <c r="K409" i="137"/>
  <c r="Q314" i="137"/>
  <c r="O328" i="137"/>
  <c r="L24" i="137"/>
  <c r="J199" i="137"/>
  <c r="E263" i="137"/>
  <c r="K52" i="137"/>
  <c r="F340" i="137"/>
  <c r="W151" i="137"/>
  <c r="E206" i="137"/>
  <c r="X138" i="137"/>
  <c r="U326" i="137"/>
  <c r="V402" i="137"/>
  <c r="Q199" i="137"/>
  <c r="L20" i="137"/>
  <c r="I325" i="137"/>
  <c r="L335" i="137"/>
  <c r="X215" i="137"/>
  <c r="K27" i="137"/>
  <c r="R374" i="137"/>
  <c r="C178" i="137"/>
  <c r="K270" i="137"/>
  <c r="X276" i="137"/>
  <c r="Q396" i="137"/>
  <c r="R319" i="137"/>
  <c r="C73" i="137"/>
  <c r="X27" i="137"/>
  <c r="Q151" i="137"/>
  <c r="F96" i="137"/>
  <c r="C251" i="137"/>
  <c r="E241" i="137"/>
  <c r="K293" i="137"/>
  <c r="R388" i="137"/>
  <c r="F244" i="137"/>
  <c r="C199" i="137"/>
  <c r="K311" i="137"/>
  <c r="E45" i="137"/>
  <c r="Q382" i="137"/>
  <c r="T270" i="137"/>
  <c r="R300" i="137"/>
  <c r="Q34" i="137"/>
  <c r="V122" i="137"/>
  <c r="U262" i="137"/>
  <c r="J304" i="137"/>
  <c r="X370" i="137"/>
  <c r="Q123" i="137"/>
  <c r="Q270" i="137"/>
  <c r="L250" i="137"/>
  <c r="J52" i="137"/>
  <c r="N305" i="137"/>
  <c r="T263" i="137"/>
  <c r="X375" i="137"/>
  <c r="L304" i="137"/>
  <c r="F157" i="137"/>
  <c r="I10" i="137"/>
  <c r="K172" i="137"/>
  <c r="I6" i="137"/>
  <c r="H32" i="137"/>
  <c r="E227" i="137"/>
  <c r="N200" i="137"/>
  <c r="O172" i="137"/>
  <c r="X272" i="137"/>
  <c r="R304" i="137"/>
  <c r="I293" i="137"/>
  <c r="U291" i="137"/>
  <c r="O102" i="137"/>
  <c r="T144" i="137"/>
  <c r="V241" i="137"/>
  <c r="Q137" i="137"/>
  <c r="O209" i="137"/>
  <c r="F214" i="137"/>
  <c r="R145" i="137"/>
  <c r="J405" i="137"/>
  <c r="P132" i="137"/>
  <c r="Q178" i="137"/>
  <c r="V342" i="137"/>
  <c r="R346" i="137"/>
  <c r="L83" i="137"/>
  <c r="B361" i="137"/>
  <c r="O188" i="137"/>
  <c r="O221" i="137"/>
  <c r="W213" i="137"/>
  <c r="F32" i="137"/>
  <c r="X256" i="137"/>
  <c r="I41" i="137"/>
  <c r="O52" i="137"/>
  <c r="T389" i="137"/>
  <c r="D164" i="137"/>
  <c r="J66" i="137"/>
  <c r="X60" i="137"/>
  <c r="U339" i="137"/>
  <c r="H179" i="137"/>
  <c r="F332" i="137"/>
  <c r="L90" i="137"/>
  <c r="U20" i="137"/>
  <c r="I164" i="137"/>
  <c r="E188" i="137"/>
  <c r="T319" i="137"/>
  <c r="C405" i="137"/>
  <c r="U227" i="137"/>
  <c r="I115" i="137"/>
  <c r="L131" i="137"/>
  <c r="I20" i="137"/>
  <c r="P195" i="137"/>
  <c r="V297" i="137"/>
  <c r="F262" i="137"/>
  <c r="D62" i="137"/>
  <c r="K391" i="137"/>
  <c r="R353" i="137"/>
  <c r="L122" i="137"/>
  <c r="N319" i="137"/>
  <c r="R419" i="137"/>
  <c r="C153" i="137"/>
  <c r="Q402" i="137"/>
  <c r="L178" i="137"/>
  <c r="E46" i="137"/>
  <c r="Q144" i="137"/>
  <c r="V405" i="137"/>
  <c r="R208" i="137"/>
  <c r="D52" i="137"/>
  <c r="X382" i="137"/>
  <c r="B375" i="137"/>
  <c r="U185" i="137"/>
  <c r="F152" i="137"/>
  <c r="E104" i="137"/>
  <c r="V111" i="137"/>
  <c r="K256" i="137"/>
  <c r="L171" i="137"/>
  <c r="W122" i="137"/>
  <c r="H347" i="137"/>
  <c r="R69" i="137"/>
  <c r="F290" i="137"/>
  <c r="P356" i="137"/>
  <c r="W283" i="137"/>
  <c r="U200" i="137"/>
  <c r="Q342" i="137"/>
  <c r="O265" i="137"/>
  <c r="F241" i="137"/>
  <c r="W102" i="137"/>
  <c r="O81" i="137"/>
  <c r="L145" i="137"/>
  <c r="O304" i="137"/>
  <c r="R125" i="137"/>
  <c r="U116" i="137"/>
  <c r="D76" i="137"/>
  <c r="J34" i="137"/>
  <c r="X244" i="137"/>
  <c r="U164" i="137"/>
  <c r="N11" i="137"/>
  <c r="V276" i="137"/>
  <c r="D391" i="137"/>
  <c r="X257" i="137"/>
  <c r="U321" i="137"/>
  <c r="E123" i="137"/>
  <c r="W167" i="137"/>
  <c r="P262" i="137"/>
  <c r="L417" i="137"/>
  <c r="U370" i="137"/>
  <c r="F207" i="137"/>
  <c r="E116" i="137"/>
  <c r="C381" i="137"/>
  <c r="L53" i="137"/>
  <c r="O129" i="137"/>
  <c r="F62" i="137"/>
  <c r="L10" i="137"/>
  <c r="R325" i="137"/>
  <c r="E244" i="137"/>
  <c r="Q108" i="137"/>
  <c r="X48" i="137"/>
  <c r="P122" i="137"/>
  <c r="F222" i="137"/>
  <c r="Q153" i="137"/>
  <c r="R298" i="137"/>
  <c r="R339" i="137"/>
  <c r="F391" i="137"/>
  <c r="T382" i="137"/>
  <c r="U165" i="137"/>
  <c r="O377" i="137"/>
  <c r="K199" i="137"/>
  <c r="V363" i="137"/>
  <c r="X293" i="137"/>
  <c r="I403" i="137"/>
  <c r="W46" i="137"/>
  <c r="K237" i="137"/>
  <c r="D206" i="137"/>
  <c r="D136" i="137"/>
  <c r="E74" i="137"/>
  <c r="Q356" i="137"/>
  <c r="R265" i="137"/>
  <c r="Q403" i="137"/>
  <c r="K410" i="137"/>
  <c r="Q311" i="137"/>
  <c r="C10" i="137"/>
  <c r="Q416" i="137"/>
  <c r="N67" i="137"/>
  <c r="K122" i="137"/>
  <c r="L300" i="137"/>
  <c r="C32" i="137"/>
  <c r="V412" i="137"/>
  <c r="U349" i="137"/>
  <c r="K286" i="137"/>
  <c r="R166" i="137"/>
  <c r="P374" i="137"/>
  <c r="B18" i="137"/>
  <c r="K181" i="137"/>
  <c r="I286" i="137"/>
  <c r="O291" i="137"/>
  <c r="E223" i="137"/>
  <c r="N221" i="137"/>
  <c r="F25" i="137"/>
  <c r="D300" i="137"/>
  <c r="L199" i="137"/>
  <c r="Q304" i="137"/>
  <c r="L19" i="137"/>
  <c r="U41" i="137"/>
  <c r="P402" i="137"/>
  <c r="V307" i="137"/>
  <c r="Q333" i="137"/>
  <c r="I174" i="137"/>
  <c r="C409" i="137"/>
  <c r="I181" i="137"/>
  <c r="K39" i="137"/>
  <c r="L412" i="137"/>
  <c r="K207" i="137"/>
  <c r="L355" i="137"/>
  <c r="V381" i="137"/>
  <c r="V150" i="137"/>
  <c r="Q272" i="137"/>
  <c r="X390" i="137"/>
  <c r="Q62" i="137"/>
  <c r="F201" i="137"/>
  <c r="F412" i="137"/>
  <c r="F360" i="137"/>
  <c r="V321" i="137"/>
  <c r="E354" i="137"/>
  <c r="F404" i="137"/>
  <c r="D195" i="137"/>
  <c r="X416" i="137"/>
  <c r="C174" i="137"/>
  <c r="O298" i="137"/>
  <c r="V136" i="137"/>
  <c r="I172" i="137"/>
  <c r="Q172" i="137"/>
  <c r="W164" i="137"/>
  <c r="E18" i="137"/>
  <c r="K41" i="137"/>
  <c r="X402" i="137"/>
  <c r="F145" i="137"/>
  <c r="R81" i="137"/>
  <c r="V10" i="137"/>
  <c r="H60" i="137"/>
  <c r="E363" i="137"/>
  <c r="I139" i="137"/>
  <c r="V339" i="137"/>
  <c r="Q31" i="137"/>
  <c r="W17" i="137"/>
  <c r="I125" i="137"/>
  <c r="F248" i="137"/>
  <c r="X208" i="137"/>
  <c r="E277" i="137"/>
  <c r="I242" i="137"/>
  <c r="O230" i="137"/>
  <c r="D265" i="137"/>
  <c r="I88" i="137"/>
  <c r="C249" i="137"/>
  <c r="L334" i="137"/>
  <c r="R131" i="137"/>
  <c r="L150" i="137"/>
  <c r="I256" i="137"/>
  <c r="B207" i="137"/>
  <c r="I199" i="137"/>
  <c r="E160" i="137"/>
  <c r="N214" i="137"/>
  <c r="T221" i="137"/>
  <c r="X409" i="137"/>
  <c r="H221" i="137"/>
  <c r="K200" i="137"/>
  <c r="J157" i="137"/>
  <c r="C214" i="137"/>
  <c r="K304" i="137"/>
  <c r="P55" i="137"/>
  <c r="W270" i="137"/>
  <c r="O305" i="137"/>
  <c r="O213" i="137"/>
  <c r="U265" i="137"/>
  <c r="E53" i="137"/>
  <c r="J31" i="137"/>
  <c r="C263" i="137"/>
  <c r="F283" i="137"/>
  <c r="C55" i="137"/>
  <c r="E214" i="137"/>
  <c r="F187" i="137"/>
  <c r="W146" i="137"/>
  <c r="E235" i="137"/>
  <c r="O193" i="137"/>
  <c r="N228" i="137"/>
  <c r="F68" i="137"/>
  <c r="O192" i="137"/>
  <c r="X369" i="137"/>
  <c r="U17" i="137"/>
  <c r="O335" i="137"/>
  <c r="R349" i="137"/>
  <c r="E185" i="137"/>
  <c r="J115" i="137"/>
  <c r="F220" i="137"/>
  <c r="X332" i="137"/>
  <c r="C375" i="137"/>
  <c r="U256" i="137"/>
  <c r="K206" i="137"/>
  <c r="T18" i="137"/>
  <c r="P17" i="137"/>
  <c r="O300" i="137"/>
  <c r="D66" i="137"/>
  <c r="I129" i="137"/>
  <c r="F306" i="137"/>
  <c r="C3" i="137"/>
  <c r="Q88" i="137"/>
  <c r="R123" i="137"/>
  <c r="I354" i="137"/>
  <c r="F235" i="137"/>
  <c r="K389" i="137"/>
  <c r="B165" i="137"/>
  <c r="I52" i="137"/>
  <c r="T368" i="137"/>
  <c r="U111" i="137"/>
  <c r="X227" i="137"/>
  <c r="C95" i="137"/>
  <c r="F384" i="137"/>
  <c r="C102" i="137"/>
  <c r="J377" i="137"/>
  <c r="P185" i="137"/>
  <c r="X285" i="137"/>
  <c r="O146" i="137"/>
  <c r="X355" i="137"/>
  <c r="J192" i="137"/>
  <c r="I11" i="137"/>
  <c r="P349" i="137"/>
  <c r="X109" i="137"/>
  <c r="W221" i="137"/>
  <c r="Q237" i="137"/>
  <c r="O356" i="137"/>
  <c r="L17" i="137"/>
  <c r="J132" i="137"/>
  <c r="W181" i="137"/>
  <c r="F101" i="137"/>
  <c r="C272" i="137"/>
  <c r="Q146" i="137"/>
  <c r="F349" i="137"/>
  <c r="X216" i="137"/>
  <c r="J297" i="137"/>
  <c r="W209" i="137"/>
  <c r="V108" i="137"/>
  <c r="F59" i="137"/>
  <c r="V258" i="137"/>
  <c r="D94" i="137"/>
  <c r="I398" i="137"/>
  <c r="D353" i="137"/>
  <c r="D402" i="137"/>
  <c r="L157" i="137"/>
  <c r="E20" i="137"/>
  <c r="K214" i="137"/>
  <c r="C151" i="137"/>
  <c r="C130" i="137"/>
  <c r="E31" i="137"/>
  <c r="R146" i="137"/>
  <c r="E297" i="137"/>
  <c r="L60" i="137"/>
  <c r="H235" i="137"/>
  <c r="W286" i="137"/>
  <c r="C24" i="137"/>
  <c r="W60" i="137"/>
  <c r="X32" i="137"/>
  <c r="J258" i="137"/>
  <c r="C279" i="137"/>
  <c r="K361" i="137"/>
  <c r="I167" i="137"/>
  <c r="W13" i="137"/>
  <c r="J227" i="137"/>
  <c r="K216" i="137"/>
  <c r="J195" i="137"/>
  <c r="I90" i="137"/>
  <c r="X213" i="137"/>
  <c r="X320" i="137"/>
  <c r="O307" i="137"/>
  <c r="R52" i="137"/>
  <c r="W272" i="137"/>
  <c r="C200" i="137"/>
  <c r="W249" i="137"/>
  <c r="O90" i="137"/>
  <c r="Q158" i="137"/>
  <c r="F11" i="137"/>
  <c r="V17" i="137"/>
  <c r="B4" i="137"/>
  <c r="P276" i="137"/>
  <c r="L146" i="137"/>
  <c r="L31" i="137"/>
  <c r="F258" i="137"/>
  <c r="C389" i="137"/>
  <c r="E4" i="137"/>
  <c r="U290" i="137"/>
  <c r="E360" i="137"/>
  <c r="E256" i="137"/>
  <c r="U27" i="137"/>
  <c r="O200" i="137"/>
  <c r="V265" i="137"/>
  <c r="K367" i="137"/>
  <c r="R17" i="137"/>
  <c r="E417" i="137"/>
  <c r="D209" i="137"/>
  <c r="R192" i="137"/>
  <c r="R341" i="137"/>
  <c r="D101" i="137"/>
  <c r="D276" i="137"/>
  <c r="O104" i="137"/>
  <c r="B291" i="137"/>
  <c r="R80" i="137"/>
  <c r="D269" i="137"/>
  <c r="R354" i="137"/>
  <c r="I374" i="137"/>
  <c r="O116" i="137"/>
  <c r="L228" i="137"/>
  <c r="D258" i="137"/>
  <c r="R96" i="137"/>
  <c r="D307" i="137"/>
  <c r="R82" i="137"/>
  <c r="J325" i="137"/>
  <c r="F181" i="137"/>
  <c r="P248" i="137"/>
  <c r="W248" i="137"/>
  <c r="D69" i="137"/>
  <c r="O388" i="137"/>
  <c r="W130" i="137"/>
  <c r="X151" i="137"/>
  <c r="J384" i="137"/>
  <c r="O270" i="137"/>
  <c r="K321" i="137"/>
  <c r="R150" i="137"/>
  <c r="C361" i="137"/>
  <c r="X178" i="137"/>
  <c r="F12" i="137"/>
  <c r="E129" i="137"/>
  <c r="K368" i="137"/>
  <c r="V398" i="137"/>
  <c r="X367" i="137"/>
  <c r="I241" i="137"/>
  <c r="Q186" i="137"/>
  <c r="J244" i="137"/>
  <c r="U220" i="137"/>
  <c r="K74" i="137"/>
  <c r="V286" i="137"/>
  <c r="W298" i="137"/>
  <c r="O164" i="137"/>
  <c r="X250" i="137"/>
  <c r="O132" i="137"/>
  <c r="O178" i="137"/>
  <c r="X75" i="137"/>
  <c r="H354" i="137"/>
  <c r="E384" i="137"/>
  <c r="E248" i="137"/>
  <c r="O410" i="137"/>
  <c r="C179" i="137"/>
  <c r="C181" i="137"/>
  <c r="F307" i="137"/>
  <c r="L384" i="137"/>
  <c r="K377" i="137"/>
  <c r="Q395" i="137"/>
  <c r="E374" i="137"/>
  <c r="Q80" i="137"/>
  <c r="O24" i="137"/>
  <c r="K403" i="137"/>
  <c r="P314" i="137"/>
  <c r="R395" i="137"/>
  <c r="D213" i="137"/>
  <c r="E80" i="137"/>
  <c r="L418" i="137"/>
  <c r="N74" i="137"/>
  <c r="L144" i="137"/>
  <c r="C356" i="137"/>
  <c r="Q206" i="137"/>
  <c r="L125" i="137"/>
  <c r="K269" i="137"/>
  <c r="C307" i="137"/>
  <c r="C242" i="137"/>
  <c r="K363" i="137"/>
  <c r="Q265" i="137"/>
  <c r="R272" i="137"/>
  <c r="P199" i="137"/>
  <c r="I45" i="137"/>
  <c r="R164" i="137"/>
  <c r="Q143" i="137"/>
  <c r="K263" i="137"/>
  <c r="I255" i="137"/>
  <c r="R18" i="137"/>
  <c r="R279" i="137"/>
  <c r="F311" i="137"/>
  <c r="W277" i="137"/>
  <c r="I132" i="137"/>
  <c r="L110" i="137"/>
  <c r="D17" i="137"/>
  <c r="O136" i="137"/>
  <c r="X188" i="137"/>
  <c r="U410" i="137"/>
  <c r="F348" i="137"/>
  <c r="W391" i="137"/>
  <c r="C69" i="137"/>
  <c r="K118" i="137"/>
  <c r="R368" i="137"/>
  <c r="X19" i="137"/>
  <c r="K326" i="137"/>
  <c r="U230" i="137"/>
  <c r="E258" i="137"/>
  <c r="Q32" i="137"/>
  <c r="R138" i="137"/>
  <c r="U80" i="137"/>
  <c r="R39" i="137"/>
  <c r="K283" i="137"/>
  <c r="O160" i="137"/>
  <c r="Q13" i="137"/>
  <c r="Q234" i="137"/>
  <c r="E164" i="137"/>
  <c r="J398" i="137"/>
  <c r="F305" i="137"/>
  <c r="F138" i="137"/>
  <c r="I60" i="137"/>
  <c r="W157" i="137"/>
  <c r="X314" i="137"/>
  <c r="B116" i="137"/>
  <c r="Q220" i="137"/>
  <c r="E304" i="137"/>
  <c r="W265" i="137"/>
  <c r="E118" i="137"/>
  <c r="F200" i="137"/>
  <c r="L116" i="137"/>
  <c r="U123" i="137"/>
  <c r="J143" i="137"/>
  <c r="E38" i="137"/>
  <c r="T67" i="137"/>
  <c r="X342" i="137"/>
  <c r="R60" i="137"/>
  <c r="U186" i="137"/>
  <c r="C332" i="137"/>
  <c r="V328" i="137"/>
  <c r="V195" i="137"/>
  <c r="W354" i="137"/>
  <c r="U354" i="137"/>
  <c r="C74" i="137"/>
  <c r="L215" i="137"/>
  <c r="V160" i="137"/>
  <c r="V262" i="137"/>
  <c r="L187" i="137"/>
  <c r="F327" i="137"/>
  <c r="E332" i="137"/>
  <c r="E279" i="137"/>
  <c r="P377" i="137"/>
  <c r="F136" i="137"/>
  <c r="V223" i="137"/>
  <c r="P209" i="137"/>
  <c r="N249" i="137"/>
  <c r="O361" i="137"/>
  <c r="E172" i="137"/>
  <c r="R55" i="137"/>
  <c r="I402" i="137"/>
  <c r="R139" i="137"/>
  <c r="L130" i="137"/>
  <c r="F81" i="137"/>
  <c r="D192" i="137"/>
  <c r="D349" i="137"/>
  <c r="Q241" i="137"/>
  <c r="I370" i="137"/>
  <c r="K318" i="137"/>
  <c r="K174" i="137"/>
  <c r="Q347" i="137"/>
  <c r="O272" i="137"/>
  <c r="I342" i="137"/>
  <c r="P188" i="137"/>
  <c r="X403" i="137"/>
  <c r="V227" i="137"/>
  <c r="L321" i="137"/>
  <c r="Q193" i="137"/>
  <c r="I207" i="137"/>
  <c r="P223" i="137"/>
  <c r="X173" i="137"/>
  <c r="N137" i="137"/>
  <c r="R404" i="137"/>
  <c r="N60" i="137"/>
  <c r="C165" i="137"/>
  <c r="R377" i="137"/>
  <c r="K370" i="137"/>
  <c r="L193" i="137"/>
  <c r="F151" i="137"/>
  <c r="F374" i="137"/>
  <c r="J283" i="137"/>
  <c r="K342" i="137"/>
  <c r="L318" i="137"/>
  <c r="L213" i="137"/>
  <c r="U6" i="137"/>
  <c r="P234" i="137"/>
  <c r="E283" i="137"/>
  <c r="N417" i="137"/>
  <c r="B123" i="137"/>
  <c r="L38" i="137"/>
  <c r="E370" i="137"/>
  <c r="O283" i="137"/>
  <c r="J164" i="137"/>
  <c r="W223" i="137"/>
  <c r="W276" i="137"/>
  <c r="R109" i="137"/>
  <c r="O109" i="137"/>
  <c r="X300" i="137"/>
  <c r="I27" i="137"/>
  <c r="Q263" i="137"/>
  <c r="Q305" i="137"/>
  <c r="Q132" i="137"/>
  <c r="X17" i="137"/>
  <c r="F186" i="137"/>
  <c r="U377" i="137"/>
  <c r="X132" i="137"/>
  <c r="R110" i="137"/>
  <c r="H207" i="137"/>
  <c r="X321" i="137"/>
  <c r="R320" i="137"/>
  <c r="X292" i="137"/>
  <c r="P384" i="137"/>
  <c r="F300" i="137"/>
  <c r="L185" i="137"/>
  <c r="R367" i="137"/>
  <c r="W38" i="137"/>
  <c r="O326" i="137"/>
  <c r="Q325" i="137"/>
  <c r="K186" i="137"/>
  <c r="Q167" i="137"/>
  <c r="E165" i="137"/>
  <c r="O139" i="137"/>
  <c r="D160" i="137"/>
  <c r="Q164" i="137"/>
  <c r="K151" i="137"/>
  <c r="F199" i="137"/>
  <c r="P111" i="137"/>
  <c r="R248" i="137"/>
  <c r="U199" i="137"/>
  <c r="Q165" i="137"/>
  <c r="B417" i="137"/>
  <c r="W206" i="137"/>
  <c r="L234" i="137"/>
  <c r="D367" i="137"/>
  <c r="J395" i="137"/>
  <c r="P370" i="137"/>
  <c r="F117" i="137"/>
  <c r="R104" i="137"/>
  <c r="X327" i="137"/>
  <c r="F13" i="137"/>
  <c r="D377" i="137"/>
  <c r="W174" i="137"/>
  <c r="W18" i="137"/>
  <c r="W59" i="137"/>
  <c r="L207" i="137"/>
  <c r="N361" i="137"/>
  <c r="I389" i="137"/>
  <c r="I213" i="137"/>
  <c r="O13" i="137"/>
  <c r="Q339" i="137"/>
  <c r="V164" i="137"/>
  <c r="H130" i="137"/>
  <c r="F27" i="137"/>
  <c r="Q136" i="137"/>
  <c r="O297" i="137"/>
  <c r="N95" i="137"/>
  <c r="R307" i="137"/>
  <c r="H151" i="137"/>
  <c r="E153" i="137"/>
  <c r="Q412" i="137"/>
  <c r="X418" i="137"/>
  <c r="E286" i="137"/>
  <c r="X235" i="137"/>
  <c r="B368" i="137"/>
  <c r="X97" i="137"/>
  <c r="N284" i="137"/>
  <c r="P283" i="137"/>
  <c r="I108" i="137"/>
  <c r="U38" i="137"/>
  <c r="R59" i="137"/>
  <c r="C45" i="137"/>
  <c r="R118" i="137"/>
  <c r="F48" i="137"/>
  <c r="E34" i="137"/>
  <c r="R130" i="137"/>
  <c r="J335" i="137"/>
  <c r="K18" i="137"/>
  <c r="L291" i="137"/>
  <c r="W269" i="137"/>
  <c r="P227" i="137"/>
  <c r="X181" i="137"/>
  <c r="H165" i="137"/>
  <c r="J237" i="137"/>
  <c r="W374" i="137"/>
  <c r="F178" i="137"/>
  <c r="L388" i="137"/>
  <c r="E143" i="137"/>
  <c r="T25" i="137"/>
  <c r="I151" i="137"/>
  <c r="C20" i="137"/>
  <c r="V31" i="137"/>
  <c r="C314" i="137"/>
  <c r="U179" i="137"/>
  <c r="V41" i="137"/>
  <c r="K241" i="137"/>
  <c r="Q48" i="137"/>
  <c r="W192" i="137"/>
  <c r="E174" i="137"/>
  <c r="L87" i="137"/>
  <c r="O396" i="137"/>
  <c r="E97" i="137"/>
  <c r="V97" i="137"/>
  <c r="B109" i="137"/>
  <c r="E81" i="137"/>
  <c r="J346" i="137"/>
  <c r="F298" i="137"/>
  <c r="R41" i="137"/>
  <c r="W328" i="137"/>
  <c r="L223" i="137"/>
  <c r="X283" i="137"/>
  <c r="W220" i="137"/>
  <c r="I258" i="137"/>
  <c r="I284" i="137"/>
  <c r="I38" i="137"/>
  <c r="Q235" i="137"/>
  <c r="J97" i="137"/>
  <c r="U398" i="137"/>
  <c r="X171" i="137"/>
  <c r="X130" i="137"/>
  <c r="O97" i="137"/>
  <c r="W118" i="137"/>
  <c r="E412" i="137"/>
  <c r="R174" i="137"/>
  <c r="N165" i="137"/>
  <c r="L118" i="137"/>
  <c r="W66" i="137"/>
  <c r="Q384" i="137"/>
  <c r="R244" i="137"/>
  <c r="I396" i="137"/>
  <c r="K298" i="137"/>
  <c r="U136" i="137"/>
  <c r="E342" i="137"/>
  <c r="C290" i="137"/>
  <c r="R313" i="137"/>
  <c r="O248" i="137"/>
  <c r="C13" i="137"/>
  <c r="F39" i="137"/>
  <c r="L241" i="137"/>
  <c r="P398" i="137"/>
  <c r="R262" i="137"/>
  <c r="X103" i="137"/>
  <c r="Q297" i="137"/>
  <c r="X66" i="137"/>
  <c r="K396" i="137"/>
  <c r="X195" i="137"/>
  <c r="B95" i="137"/>
  <c r="W88" i="137"/>
  <c r="K360" i="137"/>
  <c r="C333" i="137"/>
  <c r="Q367" i="137"/>
  <c r="L18" i="137"/>
  <c r="J356" i="137"/>
  <c r="L97" i="137"/>
  <c r="F104" i="137"/>
  <c r="L319" i="137"/>
  <c r="F185" i="137"/>
  <c r="H263" i="137"/>
  <c r="B25" i="137"/>
  <c r="D241" i="137"/>
  <c r="D363" i="137"/>
  <c r="U13" i="137"/>
  <c r="U101" i="137"/>
  <c r="H242" i="137"/>
  <c r="K405" i="137"/>
  <c r="R292" i="137"/>
  <c r="V234" i="137"/>
  <c r="W97" i="137"/>
  <c r="V244" i="137"/>
  <c r="E298" i="137"/>
  <c r="U167" i="137"/>
  <c r="F328" i="137"/>
  <c r="L374" i="137"/>
  <c r="C188" i="137"/>
  <c r="U130" i="137"/>
  <c r="X319" i="137"/>
  <c r="X10" i="137"/>
  <c r="D13" i="137"/>
  <c r="U153" i="137"/>
  <c r="D283" i="137"/>
  <c r="U90" i="137"/>
  <c r="N18" i="137"/>
  <c r="R116" i="137"/>
  <c r="X47" i="137"/>
  <c r="R115" i="137"/>
  <c r="H186" i="137"/>
  <c r="P318" i="137"/>
  <c r="I87" i="137"/>
  <c r="E115" i="137"/>
  <c r="L277" i="137"/>
  <c r="J363" i="137"/>
  <c r="I214" i="137"/>
  <c r="K223" i="137"/>
  <c r="X110" i="137"/>
  <c r="N46" i="137"/>
  <c r="H137" i="137"/>
  <c r="P181" i="137"/>
  <c r="V27" i="137"/>
  <c r="R285" i="137"/>
  <c r="O66" i="137"/>
  <c r="D412" i="137"/>
  <c r="X271" i="137"/>
  <c r="B151" i="137"/>
  <c r="Q53" i="137"/>
  <c r="Q122" i="137"/>
  <c r="V409" i="137"/>
  <c r="X52" i="137"/>
  <c r="X286" i="137"/>
  <c r="C276" i="137"/>
  <c r="Q276" i="137"/>
  <c r="D178" i="137"/>
  <c r="F202" i="137"/>
  <c r="U279" i="137"/>
  <c r="O45" i="137"/>
  <c r="I291" i="137"/>
  <c r="P45" i="137"/>
  <c r="P38" i="137"/>
  <c r="V178" i="137"/>
  <c r="U255" i="137"/>
  <c r="J13" i="137"/>
  <c r="J48" i="137"/>
  <c r="I290" i="137"/>
  <c r="L381" i="137"/>
  <c r="V384" i="137"/>
  <c r="H396" i="137"/>
  <c r="T200" i="137"/>
  <c r="I381" i="137"/>
  <c r="O206" i="137"/>
  <c r="F318" i="137"/>
  <c r="K354" i="137"/>
  <c r="E328" i="137"/>
  <c r="I263" i="137"/>
  <c r="U143" i="137"/>
  <c r="O115" i="137"/>
  <c r="X353" i="137"/>
  <c r="E90" i="137"/>
  <c r="C80" i="137"/>
  <c r="V83" i="137"/>
  <c r="F55" i="137"/>
  <c r="V304" i="137"/>
  <c r="W262" i="137"/>
  <c r="O34" i="137"/>
  <c r="L244" i="137"/>
  <c r="V171" i="137"/>
  <c r="U209" i="137"/>
  <c r="Q228" i="137"/>
  <c r="X158" i="137"/>
  <c r="D97" i="137"/>
  <c r="W67" i="137"/>
  <c r="U137" i="137"/>
  <c r="R26" i="137"/>
  <c r="P157" i="137"/>
  <c r="P311" i="137"/>
  <c r="B53" i="137"/>
  <c r="K66" i="137"/>
  <c r="W346" i="137"/>
  <c r="P87" i="137"/>
  <c r="F132" i="137"/>
  <c r="O6" i="137"/>
  <c r="K178" i="137"/>
  <c r="V174" i="137"/>
  <c r="U151" i="137"/>
  <c r="U300" i="137"/>
  <c r="Q192" i="137"/>
  <c r="X73" i="137"/>
  <c r="C241" i="137"/>
  <c r="P293" i="137"/>
  <c r="F124" i="137"/>
  <c r="T11" i="137"/>
  <c r="R381" i="137"/>
  <c r="C193" i="137"/>
  <c r="C346" i="137"/>
  <c r="L377" i="137"/>
  <c r="K339" i="137"/>
  <c r="F173" i="137"/>
  <c r="I146" i="137"/>
  <c r="C143" i="137"/>
  <c r="U69" i="137"/>
  <c r="U258" i="137"/>
  <c r="K11" i="137"/>
  <c r="W123" i="137"/>
  <c r="H46" i="137"/>
  <c r="K116" i="137"/>
  <c r="B172" i="137"/>
  <c r="F109" i="137"/>
  <c r="V213" i="137"/>
  <c r="V13" i="137"/>
  <c r="I305" i="137"/>
  <c r="L339" i="137"/>
  <c r="I332" i="137"/>
  <c r="R180" i="137"/>
  <c r="L362" i="137"/>
  <c r="K277" i="137"/>
  <c r="X304" i="137"/>
  <c r="P48" i="137"/>
  <c r="F376" i="137"/>
  <c r="R136" i="137"/>
  <c r="D381" i="137"/>
  <c r="F80" i="137"/>
  <c r="O286" i="137"/>
  <c r="U31" i="137"/>
  <c r="E276" i="137"/>
  <c r="W304" i="137"/>
  <c r="O234" i="137"/>
  <c r="L314" i="137"/>
  <c r="X108" i="137"/>
  <c r="P339" i="137"/>
  <c r="B312" i="137"/>
  <c r="O94" i="137"/>
  <c r="V153" i="137"/>
  <c r="U59" i="137"/>
  <c r="C41" i="137"/>
  <c r="W195" i="137"/>
  <c r="K88" i="137"/>
  <c r="X145" i="137"/>
  <c r="L220" i="137"/>
  <c r="U356" i="137"/>
  <c r="X38" i="137"/>
  <c r="E391" i="137"/>
  <c r="I94" i="137"/>
  <c r="Q150" i="137"/>
  <c r="K20" i="137"/>
  <c r="I24" i="137"/>
  <c r="U388" i="137"/>
  <c r="J353" i="137"/>
  <c r="W307" i="137"/>
  <c r="K69" i="137"/>
  <c r="X284" i="137"/>
  <c r="Q375" i="137"/>
  <c r="P290" i="137"/>
  <c r="K158" i="137"/>
  <c r="F95" i="137"/>
  <c r="B256" i="137"/>
  <c r="W62" i="137"/>
  <c r="J139" i="137"/>
  <c r="X241" i="137"/>
  <c r="O11" i="137"/>
  <c r="C209" i="137"/>
  <c r="P136" i="137"/>
  <c r="E101" i="137"/>
  <c r="H298" i="137"/>
  <c r="J314" i="137"/>
  <c r="I251" i="137"/>
  <c r="R284" i="137"/>
  <c r="O321" i="137"/>
  <c r="Q39" i="137"/>
  <c r="U234" i="137"/>
  <c r="I216" i="137"/>
  <c r="F367" i="137"/>
  <c r="Q258" i="137"/>
  <c r="K312" i="137"/>
  <c r="B221" i="137"/>
  <c r="F5" i="137"/>
  <c r="D181" i="137"/>
  <c r="U237" i="137"/>
  <c r="F223" i="137"/>
  <c r="N32" i="137"/>
  <c r="E94" i="137"/>
  <c r="I297" i="137"/>
  <c r="F409" i="137"/>
  <c r="U53" i="137"/>
  <c r="K333" i="137"/>
  <c r="E178" i="137"/>
  <c r="W398" i="137"/>
  <c r="V132" i="137"/>
  <c r="X207" i="137"/>
  <c r="L82" i="137"/>
  <c r="C221" i="137"/>
  <c r="H305" i="137"/>
  <c r="N123" i="137"/>
  <c r="U129" i="137"/>
  <c r="J181" i="137"/>
  <c r="X381" i="137"/>
  <c r="N39" i="137"/>
  <c r="K381" i="137"/>
  <c r="K144" i="137"/>
  <c r="W342" i="137"/>
  <c r="O137" i="137"/>
  <c r="C216" i="137"/>
  <c r="C108" i="137"/>
  <c r="L74" i="137"/>
  <c r="E291" i="137"/>
  <c r="R363" i="137"/>
  <c r="E346" i="137"/>
  <c r="I375" i="137"/>
  <c r="Q209" i="137"/>
  <c r="Q318" i="137"/>
  <c r="J370" i="137"/>
  <c r="E151" i="137"/>
  <c r="L46" i="137"/>
  <c r="X53" i="137"/>
  <c r="C60" i="137"/>
  <c r="L402" i="137"/>
  <c r="L360" i="137"/>
  <c r="R397" i="137"/>
  <c r="C412" i="137"/>
  <c r="F354" i="137"/>
  <c r="L390" i="137"/>
  <c r="X220" i="137"/>
  <c r="L257" i="137"/>
  <c r="H74" i="137"/>
  <c r="R334" i="137"/>
  <c r="Q18" i="137"/>
  <c r="R66" i="137"/>
  <c r="C265" i="137"/>
  <c r="L285" i="137"/>
  <c r="Q346" i="137"/>
  <c r="F40" i="137"/>
  <c r="I277" i="137"/>
  <c r="V360" i="137"/>
  <c r="K164" i="137"/>
  <c r="Q388" i="137"/>
  <c r="I25" i="137"/>
  <c r="J367" i="137"/>
  <c r="W200" i="137"/>
  <c r="L397" i="137"/>
  <c r="W256" i="137"/>
  <c r="L270" i="137"/>
  <c r="K130" i="137"/>
  <c r="R396" i="137"/>
  <c r="X199" i="137"/>
  <c r="U55" i="137"/>
  <c r="L306" i="137"/>
  <c r="E234" i="137"/>
  <c r="W384" i="137"/>
  <c r="F188" i="137"/>
  <c r="F38" i="137"/>
  <c r="R291" i="137"/>
  <c r="E321" i="137"/>
  <c r="L206" i="137"/>
  <c r="C311" i="137"/>
  <c r="T396" i="137"/>
  <c r="D346" i="137"/>
  <c r="I157" i="137"/>
  <c r="X20" i="137"/>
  <c r="V146" i="137"/>
  <c r="R200" i="137"/>
  <c r="N312" i="137"/>
  <c r="I97" i="137"/>
  <c r="U74" i="137"/>
  <c r="K125" i="137"/>
  <c r="K109" i="137"/>
  <c r="U333" i="137"/>
  <c r="L258" i="137"/>
  <c r="C230" i="137"/>
  <c r="K335" i="137"/>
  <c r="D223" i="137"/>
  <c r="D374" i="137"/>
  <c r="F73" i="137"/>
  <c r="P164" i="137"/>
  <c r="F236" i="137"/>
  <c r="C319" i="137"/>
  <c r="F250" i="137"/>
  <c r="F67" i="137"/>
  <c r="T417" i="137"/>
  <c r="X157" i="137"/>
  <c r="E293" i="137"/>
  <c r="D80" i="137"/>
  <c r="C27" i="137"/>
  <c r="C172" i="137"/>
  <c r="U45" i="137"/>
  <c r="C132" i="137"/>
  <c r="L34" i="137"/>
  <c r="E125" i="137"/>
  <c r="X228" i="137"/>
  <c r="E255" i="137"/>
  <c r="F130" i="137"/>
  <c r="K272" i="137"/>
  <c r="D405" i="137"/>
  <c r="E202" i="137"/>
  <c r="L188" i="137"/>
  <c r="D304" i="137"/>
  <c r="E69" i="137"/>
  <c r="R347" i="137"/>
  <c r="I367" i="137"/>
  <c r="U384" i="137"/>
  <c r="X376" i="137"/>
  <c r="R418" i="137"/>
  <c r="Q174" i="137"/>
  <c r="O405" i="137"/>
  <c r="Q293" i="137"/>
  <c r="V129" i="137"/>
  <c r="U32" i="137"/>
  <c r="Q87" i="137"/>
  <c r="Q95" i="137"/>
  <c r="E167" i="137"/>
  <c r="D132" i="137"/>
  <c r="U416" i="137"/>
  <c r="D38" i="137"/>
  <c r="R375" i="137"/>
  <c r="J206" i="137"/>
  <c r="B46" i="137"/>
  <c r="D244" i="137"/>
  <c r="X153" i="137"/>
  <c r="J272" i="137"/>
  <c r="K185" i="137"/>
  <c r="P171" i="137"/>
  <c r="P255" i="137"/>
  <c r="E39" i="137"/>
  <c r="L13" i="137"/>
  <c r="O333" i="137"/>
  <c r="F33" i="137"/>
  <c r="L59" i="137"/>
  <c r="O340" i="137"/>
  <c r="P62" i="137"/>
  <c r="R361" i="137"/>
  <c r="O216" i="137"/>
  <c r="J24" i="137"/>
  <c r="X279" i="137"/>
  <c r="C339" i="137"/>
  <c r="L391" i="137"/>
  <c r="D143" i="137"/>
  <c r="I346" i="137"/>
  <c r="K13" i="137"/>
  <c r="L410" i="137"/>
  <c r="R195" i="137"/>
  <c r="F209" i="137"/>
  <c r="B277" i="137"/>
  <c r="I339" i="137"/>
  <c r="R220" i="137"/>
  <c r="X221" i="137"/>
  <c r="J342" i="137"/>
  <c r="L276" i="137"/>
  <c r="U272" i="137"/>
  <c r="R286" i="137"/>
  <c r="F160" i="137"/>
  <c r="T53" i="137"/>
  <c r="P41" i="137"/>
  <c r="O277" i="137"/>
  <c r="K416" i="137"/>
  <c r="F397" i="137"/>
  <c r="R76" i="137"/>
  <c r="O55" i="137"/>
  <c r="T403" i="137"/>
  <c r="C171" i="137"/>
  <c r="Q244" i="137"/>
  <c r="W314" i="137"/>
  <c r="R122" i="137"/>
  <c r="C38" i="137"/>
  <c r="X122" i="137"/>
  <c r="D125" i="137"/>
  <c r="P160" i="137"/>
  <c r="K146" i="137"/>
  <c r="O20" i="137"/>
  <c r="R67" i="137"/>
  <c r="U305" i="137"/>
  <c r="L367" i="137"/>
  <c r="Q94" i="137"/>
  <c r="U293" i="137"/>
  <c r="X33" i="137"/>
  <c r="K328" i="137"/>
  <c r="L108" i="137"/>
  <c r="X116" i="137"/>
  <c r="K235" i="137"/>
  <c r="K221" i="137"/>
  <c r="B410" i="137"/>
  <c r="U67" i="137"/>
  <c r="I335" i="137"/>
  <c r="Q360" i="137"/>
  <c r="J419" i="137"/>
  <c r="C286" i="137"/>
  <c r="V104" i="137"/>
  <c r="T4" i="137"/>
  <c r="E325" i="137"/>
  <c r="X39" i="137"/>
  <c r="U241" i="137"/>
  <c r="K384" i="137"/>
  <c r="O391" i="137"/>
  <c r="P10" i="137"/>
  <c r="L262" i="137"/>
  <c r="O349" i="137"/>
  <c r="L47" i="137"/>
  <c r="U125" i="137"/>
  <c r="W144" i="137"/>
  <c r="R269" i="137"/>
  <c r="R46" i="137"/>
  <c r="Q27" i="137"/>
  <c r="C25" i="137"/>
  <c r="E136" i="137"/>
  <c r="E396" i="137"/>
  <c r="X206" i="137"/>
  <c r="K31" i="137"/>
  <c r="Q171" i="137"/>
  <c r="C213" i="137"/>
  <c r="O325" i="137"/>
  <c r="L138" i="137"/>
  <c r="E221" i="137"/>
  <c r="K251" i="137"/>
  <c r="W104" i="137"/>
  <c r="L192" i="137"/>
  <c r="X374" i="137"/>
  <c r="O101" i="137"/>
  <c r="D286" i="137"/>
  <c r="W417" i="137"/>
  <c r="F18" i="137"/>
  <c r="T305" i="137"/>
  <c r="F403" i="137"/>
  <c r="F179" i="137"/>
  <c r="Q312" i="137"/>
  <c r="X404" i="137"/>
  <c r="J125" i="137"/>
  <c r="L356" i="137"/>
  <c r="X230" i="137"/>
  <c r="D174" i="137"/>
  <c r="J286" i="137"/>
  <c r="E220" i="137"/>
  <c r="W80" i="137"/>
  <c r="J146" i="137"/>
  <c r="V69" i="137"/>
  <c r="P412" i="137"/>
  <c r="N144" i="137"/>
  <c r="T193" i="137"/>
  <c r="R62" i="137"/>
  <c r="U325" i="137"/>
  <c r="T74" i="137"/>
  <c r="C370" i="137"/>
  <c r="L137" i="137"/>
  <c r="R193" i="137"/>
  <c r="C363" i="137"/>
  <c r="W125" i="137"/>
  <c r="E73" i="137"/>
  <c r="W326" i="137"/>
  <c r="R54" i="137"/>
  <c r="H39" i="137"/>
  <c r="X81" i="137"/>
  <c r="X18" i="137"/>
  <c r="D370" i="137"/>
  <c r="Q60" i="137"/>
  <c r="C157" i="137"/>
  <c r="J76" i="137"/>
  <c r="F221" i="137"/>
  <c r="H382" i="137"/>
  <c r="L55" i="137"/>
  <c r="B263" i="137"/>
  <c r="D251" i="137"/>
  <c r="I76" i="137"/>
  <c r="J213" i="137"/>
  <c r="I80" i="137"/>
  <c r="K45" i="137"/>
  <c r="W395" i="137"/>
  <c r="E102" i="137"/>
  <c r="X165" i="137"/>
  <c r="R157" i="137"/>
  <c r="R411" i="137"/>
  <c r="L307" i="137"/>
  <c r="Q328" i="137"/>
  <c r="I312" i="137"/>
  <c r="O237" i="137"/>
  <c r="O363" i="137"/>
  <c r="J360" i="137"/>
  <c r="P391" i="137"/>
  <c r="R129" i="137"/>
  <c r="X187" i="137"/>
  <c r="L328" i="137"/>
  <c r="I235" i="137"/>
  <c r="L222" i="137"/>
  <c r="J83" i="137"/>
  <c r="V118" i="137"/>
  <c r="O151" i="137"/>
  <c r="U242" i="137"/>
  <c r="F158" i="137"/>
  <c r="Q45" i="137"/>
  <c r="R333" i="137"/>
  <c r="H11" i="137"/>
  <c r="X291" i="137"/>
  <c r="X88" i="137"/>
  <c r="E139" i="137"/>
  <c r="U160" i="137"/>
  <c r="K132" i="137"/>
  <c r="X341" i="137"/>
  <c r="X311" i="137"/>
  <c r="V374" i="137"/>
  <c r="O38" i="137"/>
  <c r="C398" i="137"/>
  <c r="X397" i="137"/>
  <c r="B270" i="137"/>
  <c r="C136" i="137"/>
  <c r="E307" i="137"/>
  <c r="F115" i="137"/>
  <c r="E398" i="137"/>
  <c r="Q157" i="137"/>
  <c r="X243" i="137"/>
  <c r="F153" i="137"/>
  <c r="E88" i="137"/>
  <c r="L67" i="137"/>
  <c r="L354" i="137"/>
  <c r="P335" i="137"/>
  <c r="U318" i="137"/>
  <c r="I220" i="137"/>
  <c r="I171" i="137"/>
  <c r="V48" i="137"/>
  <c r="T256" i="137"/>
  <c r="I388" i="137"/>
  <c r="W339" i="137"/>
  <c r="Q24" i="137"/>
  <c r="F60" i="137"/>
  <c r="C195" i="137"/>
  <c r="P258" i="137"/>
  <c r="T60" i="137"/>
  <c r="W74" i="137"/>
  <c r="J160" i="137"/>
  <c r="K188" i="137"/>
  <c r="V125" i="137"/>
  <c r="P115" i="137"/>
  <c r="K220" i="137"/>
  <c r="U83" i="137"/>
  <c r="Q354" i="137"/>
  <c r="L103" i="137"/>
  <c r="U108" i="137"/>
  <c r="V419" i="137"/>
  <c r="U382" i="137"/>
  <c r="C403" i="137"/>
  <c r="B326" i="137"/>
  <c r="X312" i="137"/>
  <c r="R152" i="137"/>
  <c r="D321" i="137"/>
  <c r="Q286" i="137"/>
  <c r="R362" i="137"/>
  <c r="E181" i="137"/>
  <c r="X328" i="137"/>
  <c r="E157" i="137"/>
  <c r="C139" i="137"/>
  <c r="U389" i="137"/>
  <c r="V90" i="137"/>
  <c r="C342" i="137"/>
  <c r="X396" i="137"/>
  <c r="R250" i="137"/>
  <c r="L383" i="137"/>
  <c r="W284" i="137"/>
  <c r="N151" i="137"/>
  <c r="H214" i="137"/>
  <c r="C62" i="137"/>
  <c r="B333" i="137"/>
  <c r="T172" i="137"/>
  <c r="J129" i="137"/>
  <c r="X90" i="137"/>
  <c r="C6" i="137"/>
  <c r="F75" i="137"/>
  <c r="R97" i="137"/>
  <c r="Q76" i="137"/>
  <c r="E108" i="137"/>
  <c r="J216" i="137"/>
  <c r="E158" i="137"/>
  <c r="E207" i="137"/>
  <c r="P59" i="137"/>
  <c r="I185" i="137"/>
  <c r="R31" i="137"/>
  <c r="O342" i="137"/>
  <c r="U249" i="137"/>
  <c r="R73" i="137"/>
  <c r="E375" i="137"/>
  <c r="F277" i="137"/>
  <c r="E179" i="137"/>
  <c r="T165" i="137"/>
  <c r="E405" i="137"/>
  <c r="E60" i="137"/>
  <c r="Q307" i="137"/>
  <c r="L227" i="137"/>
  <c r="E213" i="137"/>
  <c r="L45" i="137"/>
  <c r="R255" i="137"/>
  <c r="I409" i="137"/>
  <c r="B60" i="137"/>
  <c r="P325" i="137"/>
  <c r="W416" i="137"/>
  <c r="R45" i="137"/>
  <c r="I136" i="137"/>
  <c r="E228" i="137"/>
  <c r="Q81" i="137"/>
  <c r="E55" i="137"/>
  <c r="X104" i="137"/>
  <c r="F356" i="137"/>
  <c r="X318" i="137"/>
  <c r="T361" i="137"/>
  <c r="I234" i="137"/>
  <c r="C48" i="137"/>
  <c r="X277" i="137"/>
  <c r="X229" i="137"/>
  <c r="O53" i="137"/>
  <c r="K76" i="137"/>
  <c r="J202" i="137"/>
  <c r="H123" i="137"/>
  <c r="O125" i="137"/>
  <c r="U368" i="137"/>
  <c r="C321" i="137"/>
  <c r="X13" i="137"/>
  <c r="L333" i="137"/>
  <c r="U251" i="137"/>
  <c r="O207" i="137"/>
  <c r="F396" i="137"/>
  <c r="U52" i="137"/>
  <c r="B39" i="137"/>
  <c r="L265" i="137"/>
  <c r="L327" i="137"/>
  <c r="E83" i="137"/>
  <c r="U88" i="137"/>
  <c r="J402" i="137"/>
  <c r="F206" i="137"/>
  <c r="O143" i="137"/>
  <c r="N382" i="137"/>
  <c r="X202" i="137"/>
  <c r="V80" i="137"/>
  <c r="F123" i="137"/>
  <c r="N116" i="137"/>
  <c r="O332" i="137"/>
  <c r="J150" i="137"/>
  <c r="H368" i="137"/>
  <c r="K17" i="137"/>
  <c r="J118" i="137"/>
  <c r="O409" i="137"/>
  <c r="L376" i="137"/>
  <c r="K276" i="137"/>
  <c r="C111" i="137"/>
  <c r="X137" i="137"/>
  <c r="E25" i="137"/>
  <c r="R234" i="137"/>
  <c r="E216" i="137"/>
  <c r="V314" i="137"/>
  <c r="U263" i="137"/>
  <c r="J276" i="137"/>
  <c r="E10" i="137"/>
  <c r="X102" i="137"/>
  <c r="N277" i="137"/>
  <c r="I34" i="137"/>
  <c r="W34" i="137"/>
  <c r="X131" i="137"/>
  <c r="I31" i="137"/>
  <c r="U405" i="137"/>
  <c r="H172" i="137"/>
  <c r="O27" i="137"/>
  <c r="B137" i="137"/>
  <c r="W312" i="137"/>
  <c r="L229" i="137"/>
  <c r="U132" i="137"/>
  <c r="N81" i="137"/>
  <c r="C354" i="137"/>
  <c r="F320" i="137"/>
  <c r="R236" i="137"/>
  <c r="B81" i="137"/>
  <c r="F242" i="137"/>
  <c r="I395" i="137"/>
  <c r="P279" i="137"/>
  <c r="Q249" i="137"/>
  <c r="L104" i="137"/>
  <c r="F381" i="137"/>
  <c r="Q277" i="137"/>
  <c r="W116" i="137"/>
  <c r="V87" i="137"/>
  <c r="F257" i="137"/>
  <c r="H53" i="137"/>
  <c r="L396" i="137"/>
  <c r="C300" i="137"/>
  <c r="C81" i="137"/>
  <c r="W73" i="137"/>
  <c r="E95" i="137"/>
  <c r="X59" i="137"/>
  <c r="F45" i="137"/>
  <c r="L230" i="137"/>
  <c r="R243" i="137"/>
  <c r="Q216" i="137"/>
  <c r="Q188" i="137"/>
  <c r="U46" i="137"/>
  <c r="U11" i="137"/>
  <c r="O319" i="137"/>
  <c r="I81" i="137"/>
  <c r="F87" i="137"/>
  <c r="F383" i="137"/>
  <c r="X306" i="137"/>
  <c r="F347" i="137"/>
  <c r="L348" i="137"/>
  <c r="X349" i="137"/>
  <c r="T326" i="137"/>
  <c r="Q227" i="137"/>
  <c r="O258" i="137"/>
  <c r="U24" i="137"/>
  <c r="F88" i="137"/>
  <c r="N410" i="137"/>
  <c r="U235" i="137"/>
  <c r="X68" i="137"/>
  <c r="O354" i="137"/>
  <c r="R194" i="137"/>
  <c r="J307" i="137"/>
  <c r="D290" i="137"/>
  <c r="O228" i="137"/>
  <c r="Q298" i="137"/>
  <c r="E389" i="137"/>
  <c r="L111" i="137"/>
  <c r="O195" i="137"/>
  <c r="D129" i="137"/>
  <c r="H249" i="137"/>
  <c r="R332" i="137"/>
  <c r="R132" i="137"/>
  <c r="K417" i="137"/>
  <c r="R47" i="137"/>
  <c r="L221" i="137"/>
  <c r="C304" i="137"/>
  <c r="I319" i="137"/>
  <c r="L237" i="137"/>
  <c r="F395" i="137"/>
  <c r="K73" i="137"/>
  <c r="O62" i="137"/>
  <c r="K62" i="137"/>
  <c r="K195" i="137"/>
  <c r="X96" i="137"/>
  <c r="X391" i="137"/>
  <c r="V157" i="137"/>
  <c r="Q66" i="137"/>
  <c r="D73" i="137"/>
  <c r="I311" i="137"/>
  <c r="C125" i="137"/>
  <c r="L368" i="137"/>
  <c r="E311" i="137"/>
  <c r="U417" i="137"/>
  <c r="D342" i="137"/>
  <c r="W251" i="137"/>
  <c r="N403" i="137"/>
  <c r="P150" i="137"/>
  <c r="K129" i="137"/>
  <c r="D419" i="137"/>
  <c r="U314" i="137"/>
  <c r="W45" i="137"/>
  <c r="X101" i="137"/>
  <c r="W207" i="137"/>
  <c r="L195" i="137"/>
  <c r="F339" i="137"/>
  <c r="L419" i="137"/>
  <c r="F108" i="137"/>
  <c r="F326" i="137"/>
  <c r="X54" i="137"/>
  <c r="U104" i="137"/>
  <c r="T298" i="137"/>
  <c r="J391" i="137"/>
  <c r="X383" i="137"/>
  <c r="R202" i="137"/>
  <c r="N333" i="137"/>
  <c r="O384" i="137"/>
  <c r="O381" i="137"/>
  <c r="J80" i="137"/>
  <c r="X46" i="137"/>
  <c r="I412" i="137"/>
  <c r="P118" i="137"/>
  <c r="D34" i="137"/>
  <c r="J220" i="137"/>
  <c r="F97" i="137"/>
  <c r="J265" i="137"/>
  <c r="X150" i="137"/>
  <c r="L109" i="137"/>
  <c r="L61" i="137"/>
  <c r="I32" i="137"/>
  <c r="K179" i="137"/>
  <c r="X234" i="137"/>
  <c r="F313" i="137"/>
  <c r="U277" i="137"/>
  <c r="Q340" i="137"/>
  <c r="C129" i="137"/>
  <c r="J90" i="137"/>
  <c r="O59" i="137"/>
  <c r="W55" i="137"/>
  <c r="E340" i="137"/>
  <c r="K279" i="137"/>
  <c r="I130" i="137"/>
  <c r="L39" i="137"/>
  <c r="O284" i="137"/>
  <c r="X124" i="137"/>
  <c r="F230" i="137"/>
  <c r="C234" i="137"/>
  <c r="K48" i="137"/>
  <c r="W340" i="137"/>
  <c r="O269" i="137"/>
  <c r="R153" i="137"/>
  <c r="V59" i="137"/>
  <c r="U419" i="137"/>
  <c r="O402" i="137"/>
  <c r="Q129" i="137"/>
  <c r="K419" i="137"/>
  <c r="U276" i="137"/>
  <c r="R412" i="137"/>
  <c r="R318" i="137"/>
  <c r="K193" i="137"/>
  <c r="L409" i="137"/>
  <c r="U60" i="137"/>
  <c r="R160" i="137"/>
  <c r="R391" i="137"/>
  <c r="K111" i="137"/>
  <c r="W353" i="137"/>
  <c r="F291" i="137"/>
  <c r="P304" i="137"/>
  <c r="I73" i="137"/>
  <c r="O374" i="137"/>
  <c r="X305" i="137"/>
  <c r="O18" i="137"/>
  <c r="F166" i="137"/>
  <c r="R27" i="137"/>
  <c r="W409" i="137"/>
  <c r="J27" i="137"/>
  <c r="W41" i="137"/>
  <c r="P202" i="137"/>
  <c r="U286" i="137"/>
  <c r="W227" i="137"/>
  <c r="F144" i="137"/>
  <c r="I356" i="137"/>
  <c r="D325" i="137"/>
  <c r="Q377" i="137"/>
  <c r="P230" i="137"/>
  <c r="I95" i="137"/>
  <c r="D27" i="137"/>
  <c r="I269" i="137"/>
  <c r="E356" i="137"/>
  <c r="O185" i="137"/>
  <c r="I179" i="137"/>
  <c r="Q90" i="137"/>
  <c r="O389" i="137"/>
  <c r="L172" i="137"/>
  <c r="H389" i="137"/>
  <c r="X111" i="137"/>
  <c r="K34" i="137"/>
  <c r="X118" i="137"/>
  <c r="F234" i="137"/>
  <c r="H25" i="137"/>
  <c r="R185" i="137"/>
  <c r="V94" i="137"/>
  <c r="L279" i="137"/>
  <c r="N158" i="137"/>
  <c r="I307" i="137"/>
  <c r="V220" i="137"/>
  <c r="C227" i="137"/>
  <c r="K353" i="137"/>
  <c r="U270" i="137"/>
  <c r="T88" i="137"/>
  <c r="Q283" i="137"/>
  <c r="W319" i="137"/>
  <c r="V209" i="137"/>
  <c r="F94" i="137"/>
  <c r="L102" i="137"/>
  <c r="C388" i="137"/>
  <c r="F353" i="137"/>
  <c r="W202" i="137"/>
  <c r="X297" i="137"/>
  <c r="T109" i="137"/>
  <c r="R306" i="137"/>
  <c r="R278" i="137"/>
  <c r="F411" i="137"/>
  <c r="N326" i="137"/>
  <c r="O417" i="137"/>
  <c r="C67" i="137"/>
  <c r="Q74" i="137"/>
  <c r="R61" i="137"/>
  <c r="L95" i="137"/>
  <c r="N109" i="137"/>
  <c r="K24" i="137"/>
  <c r="R87" i="137"/>
  <c r="D111" i="137"/>
  <c r="C94" i="137"/>
  <c r="O167" i="137"/>
  <c r="K340" i="137"/>
  <c r="X76" i="137"/>
  <c r="K123" i="137"/>
  <c r="C146" i="137"/>
  <c r="L11" i="137"/>
  <c r="X237" i="137"/>
  <c r="F285" i="137"/>
  <c r="K297" i="137"/>
  <c r="B305" i="137"/>
  <c r="K230" i="137"/>
  <c r="C326" i="137"/>
  <c r="K242" i="137"/>
  <c r="X339" i="137"/>
  <c r="X307" i="137"/>
  <c r="D335" i="137"/>
  <c r="I18" i="137"/>
  <c r="W335" i="137"/>
  <c r="F89" i="137"/>
  <c r="O353" i="137"/>
  <c r="N4" i="137"/>
  <c r="R256" i="137"/>
  <c r="C206" i="137"/>
  <c r="F174" i="137"/>
  <c r="P153" i="137"/>
  <c r="L40" i="137"/>
  <c r="C116" i="137"/>
  <c r="O179" i="137"/>
  <c r="F34" i="137"/>
  <c r="L62" i="137"/>
  <c r="N53" i="137"/>
  <c r="C46" i="137"/>
  <c r="W402" i="137"/>
  <c r="W25" i="137"/>
  <c r="V115" i="137"/>
  <c r="R143" i="137"/>
  <c r="U10" i="137"/>
  <c r="F368" i="137"/>
  <c r="V391" i="137"/>
  <c r="T333" i="137"/>
  <c r="R206" i="137"/>
  <c r="K25" i="137"/>
  <c r="U109" i="137"/>
  <c r="X263" i="137"/>
  <c r="D416" i="137"/>
  <c r="R199" i="137"/>
  <c r="H312" i="137"/>
  <c r="I160" i="137"/>
  <c r="N88" i="137"/>
  <c r="X26" i="137"/>
  <c r="X278" i="137"/>
  <c r="W27" i="137"/>
  <c r="D115" i="137"/>
  <c r="Q326" i="137"/>
  <c r="R187" i="137"/>
  <c r="R53" i="137"/>
  <c r="O223" i="137"/>
  <c r="L5" i="137"/>
  <c r="K325" i="137"/>
  <c r="L32" i="137"/>
  <c r="R383" i="137"/>
  <c r="Q255" i="137"/>
  <c r="X236" i="137"/>
  <c r="N389" i="137"/>
  <c r="C325" i="137"/>
  <c r="U188" i="137"/>
  <c r="F111" i="137"/>
  <c r="E382" i="137"/>
  <c r="O95" i="137"/>
  <c r="P321" i="137"/>
  <c r="K262" i="137"/>
  <c r="I193" i="137"/>
  <c r="U228" i="137"/>
  <c r="W361" i="137"/>
  <c r="D395" i="137"/>
  <c r="V377" i="137"/>
  <c r="T249" i="137"/>
  <c r="Q97" i="137"/>
  <c r="O108" i="137"/>
  <c r="O370" i="137"/>
  <c r="R328" i="137"/>
  <c r="P409" i="137"/>
  <c r="V251" i="137"/>
  <c r="H333" i="137"/>
  <c r="R101" i="137"/>
  <c r="U391" i="137"/>
  <c r="E11" i="137"/>
  <c r="V202" i="137"/>
  <c r="X377" i="137"/>
  <c r="K209" i="137"/>
  <c r="X348" i="137"/>
  <c r="N396" i="137"/>
  <c r="X265" i="137"/>
  <c r="P13" i="137"/>
  <c r="X129" i="137"/>
  <c r="U244" i="137"/>
  <c r="Q139" i="137"/>
  <c r="Q374" i="137"/>
  <c r="U367" i="137"/>
  <c r="V367" i="137"/>
  <c r="R229" i="137"/>
  <c r="E13" i="137"/>
  <c r="K346" i="137"/>
  <c r="X45" i="137"/>
  <c r="D230" i="137"/>
  <c r="Q398" i="137"/>
  <c r="T347" i="137"/>
  <c r="N102" i="137"/>
  <c r="W11" i="137"/>
  <c r="P328" i="137"/>
  <c r="E419" i="137"/>
  <c r="D146" i="137"/>
  <c r="X69" i="137"/>
  <c r="V300" i="137"/>
  <c r="U172" i="137"/>
  <c r="J223" i="137"/>
  <c r="E146" i="137"/>
  <c r="W311" i="137"/>
  <c r="C335" i="137"/>
  <c r="O242" i="137"/>
  <c r="C90" i="137"/>
  <c r="C144" i="137"/>
  <c r="C340" i="137"/>
  <c r="Q370" i="137"/>
  <c r="P104" i="137"/>
  <c r="W137" i="137"/>
  <c r="R32" i="137"/>
  <c r="E237" i="137"/>
  <c r="R221" i="137"/>
  <c r="E48" i="137"/>
  <c r="R12" i="137"/>
  <c r="R172" i="137"/>
  <c r="F74" i="137"/>
  <c r="B158" i="137"/>
  <c r="T242" i="137"/>
  <c r="P69" i="137"/>
  <c r="V395" i="137"/>
  <c r="W318" i="137"/>
  <c r="X362" i="137"/>
  <c r="F279" i="137"/>
  <c r="I276" i="137"/>
  <c r="D90" i="137"/>
  <c r="L48" i="137"/>
  <c r="Q256" i="137"/>
  <c r="F82" i="137"/>
  <c r="W31" i="137"/>
  <c r="W412" i="137"/>
  <c r="C258" i="137"/>
  <c r="C164" i="137"/>
  <c r="C192" i="137"/>
  <c r="W325" i="137"/>
  <c r="C382" i="137"/>
  <c r="K167" i="137"/>
  <c r="E388" i="137"/>
  <c r="X405" i="137"/>
  <c r="U304" i="137"/>
  <c r="P395" i="137"/>
  <c r="F269" i="137"/>
  <c r="C123" i="137"/>
  <c r="D398" i="137"/>
  <c r="R327" i="137"/>
  <c r="H67" i="137"/>
  <c r="W216" i="137"/>
  <c r="K87" i="137"/>
  <c r="W20" i="137"/>
  <c r="E368" i="137"/>
  <c r="J188" i="137"/>
  <c r="O395" i="137"/>
  <c r="X200" i="137"/>
  <c r="R223" i="137"/>
  <c r="W242" i="137"/>
  <c r="O171" i="137"/>
  <c r="R370" i="137"/>
  <c r="W377" i="137"/>
  <c r="H291" i="137"/>
  <c r="H158" i="137"/>
  <c r="U283" i="137"/>
  <c r="R222" i="137"/>
  <c r="W24" i="137"/>
  <c r="X347" i="137"/>
  <c r="L320" i="137"/>
  <c r="C367" i="137"/>
  <c r="U158" i="137"/>
  <c r="R20" i="137"/>
  <c r="J104" i="137"/>
  <c r="R173" i="137"/>
  <c r="H410" i="137"/>
  <c r="F193" i="137"/>
  <c r="F319" i="137"/>
  <c r="V76" i="137"/>
  <c r="L101" i="137"/>
  <c r="J255" i="137"/>
  <c r="W263" i="137"/>
  <c r="F375" i="137"/>
  <c r="O25" i="137"/>
  <c r="Q17" i="137"/>
  <c r="J101" i="137"/>
  <c r="R299" i="137"/>
  <c r="I227" i="137"/>
  <c r="I279" i="137"/>
  <c r="E17" i="137"/>
  <c r="K319" i="137"/>
  <c r="E269" i="137"/>
  <c r="J136" i="137"/>
  <c r="Q409" i="137"/>
  <c r="C18" i="137"/>
  <c r="X136" i="137"/>
  <c r="R103" i="137"/>
  <c r="D157" i="137"/>
  <c r="F90" i="137"/>
  <c r="I248" i="137"/>
  <c r="J279" i="137"/>
  <c r="I209" i="137"/>
  <c r="P346" i="137"/>
  <c r="X31" i="137"/>
  <c r="F342" i="137"/>
  <c r="E111" i="137"/>
  <c r="F325" i="137"/>
  <c r="H109" i="137"/>
  <c r="C76" i="137"/>
  <c r="J230" i="137"/>
  <c r="D167" i="137"/>
  <c r="U361" i="137"/>
  <c r="D150" i="137"/>
  <c r="O382" i="137"/>
  <c r="O244" i="137"/>
  <c r="R230" i="137"/>
  <c r="Q279" i="137"/>
  <c r="Q181" i="137"/>
  <c r="K314" i="137"/>
  <c r="F139" i="137"/>
  <c r="C416" i="137"/>
  <c r="I122" i="137"/>
  <c r="D262" i="137"/>
  <c r="W76" i="137"/>
  <c r="R33" i="137"/>
  <c r="K83" i="137"/>
  <c r="T39" i="137"/>
  <c r="E24" i="137"/>
  <c r="E305" i="137"/>
  <c r="U102" i="137"/>
  <c r="L389" i="137"/>
  <c r="F263" i="137"/>
  <c r="K46" i="137"/>
  <c r="U319" i="137"/>
  <c r="U284" i="137"/>
  <c r="I165" i="137"/>
  <c r="O314" i="137"/>
  <c r="T130" i="137"/>
  <c r="I137" i="137"/>
  <c r="L278" i="137"/>
  <c r="I206" i="137"/>
  <c r="K248" i="137"/>
  <c r="N270" i="137"/>
  <c r="J17" i="137"/>
  <c r="W214" i="137"/>
  <c r="L398" i="137"/>
  <c r="C417" i="137"/>
  <c r="W321" i="137"/>
  <c r="F146" i="137"/>
  <c r="K160" i="137"/>
  <c r="D388" i="137"/>
  <c r="X115" i="137"/>
  <c r="T228" i="137"/>
  <c r="L66" i="137"/>
  <c r="C228" i="137"/>
  <c r="H340" i="137"/>
  <c r="B11" i="137"/>
  <c r="X139" i="137"/>
  <c r="F419" i="137"/>
  <c r="O256" i="137"/>
  <c r="U396" i="137"/>
  <c r="U97" i="137"/>
  <c r="I111" i="137"/>
  <c r="V206" i="137"/>
  <c r="O403" i="137"/>
  <c r="U311" i="137"/>
  <c r="L332" i="137"/>
  <c r="D108" i="137"/>
  <c r="O290" i="137"/>
  <c r="U248" i="137"/>
  <c r="W158" i="137"/>
  <c r="X298" i="137"/>
  <c r="C160" i="137"/>
  <c r="C395" i="137"/>
  <c r="O80" i="137"/>
  <c r="W185" i="137"/>
  <c r="Q269" i="137"/>
  <c r="E195" i="137"/>
  <c r="T137" i="137"/>
  <c r="E353" i="137"/>
  <c r="F172" i="137"/>
  <c r="J349" i="137"/>
  <c r="F131" i="137"/>
  <c r="C235" i="137"/>
  <c r="W108" i="137"/>
  <c r="C384" i="137"/>
  <c r="R360" i="137"/>
  <c r="L361" i="137"/>
  <c r="F167" i="137"/>
  <c r="D272" i="137"/>
  <c r="F228" i="137"/>
  <c r="X174" i="137"/>
  <c r="X360" i="137"/>
  <c r="L326" i="137"/>
  <c r="R214" i="137"/>
  <c r="Q251" i="137"/>
  <c r="L305" i="137"/>
  <c r="L151" i="137"/>
  <c r="F256" i="137"/>
  <c r="E62" i="137"/>
  <c r="O368" i="137"/>
  <c r="U81" i="137"/>
  <c r="E265" i="137"/>
  <c r="F180" i="137"/>
  <c r="I262" i="137"/>
  <c r="I116" i="137"/>
  <c r="K300" i="137"/>
  <c r="X388" i="137"/>
  <c r="H81" i="137"/>
  <c r="K375" i="137"/>
  <c r="T158" i="137"/>
  <c r="B347" i="137"/>
  <c r="C104" i="137"/>
  <c r="K32" i="137"/>
  <c r="I228" i="137"/>
  <c r="W69" i="137"/>
  <c r="D24" i="137"/>
  <c r="K291" i="137"/>
  <c r="P367" i="137"/>
  <c r="K307" i="137"/>
  <c r="R409" i="137"/>
  <c r="F284" i="137"/>
  <c r="X186" i="137"/>
  <c r="R297" i="137"/>
  <c r="F304" i="137"/>
  <c r="W53" i="137"/>
  <c r="N193" i="137"/>
  <c r="K60" i="137"/>
  <c r="J332" i="137"/>
  <c r="C269" i="137"/>
  <c r="U94" i="137"/>
  <c r="P388" i="137"/>
  <c r="C305" i="137"/>
  <c r="X363" i="137"/>
  <c r="C284" i="137"/>
  <c r="F26" i="137"/>
  <c r="J234" i="137"/>
  <c r="B340" i="137"/>
  <c r="V101" i="137"/>
  <c r="F229" i="137"/>
  <c r="Q115" i="137"/>
  <c r="J122" i="137"/>
  <c r="I143" i="137"/>
  <c r="J62" i="137"/>
  <c r="L297" i="137"/>
  <c r="F216" i="137"/>
  <c r="Q83" i="137"/>
  <c r="L243" i="137"/>
  <c r="W172" i="137"/>
  <c r="H228" i="137"/>
  <c r="R188" i="137"/>
  <c r="O60" i="137"/>
  <c r="W300" i="137"/>
  <c r="X335" i="137"/>
  <c r="E66" i="137"/>
  <c r="E367" i="137"/>
  <c r="L411" i="137"/>
  <c r="E318" i="137"/>
  <c r="P66" i="137"/>
  <c r="K249" i="137"/>
  <c r="F389" i="137"/>
  <c r="P31" i="137"/>
  <c r="D20" i="137"/>
  <c r="O10" i="137"/>
  <c r="L236" i="137"/>
  <c r="R227" i="137"/>
  <c r="H95" i="137"/>
  <c r="T375" i="137"/>
  <c r="O347" i="137"/>
  <c r="K53" i="137"/>
  <c r="Q410" i="137"/>
  <c r="W405" i="137"/>
  <c r="I118" i="137"/>
  <c r="W95" i="137"/>
  <c r="F292" i="137"/>
  <c r="E192" i="137"/>
  <c r="I270" i="137"/>
  <c r="F285" i="136" l="1"/>
  <c r="B123" i="136"/>
  <c r="J168" i="136"/>
  <c r="M224" i="136"/>
  <c r="F244" i="136"/>
  <c r="L57" i="136"/>
  <c r="C67" i="136"/>
  <c r="C247" i="136"/>
  <c r="M218" i="136"/>
  <c r="F114" i="136"/>
  <c r="D70" i="136"/>
  <c r="D283" i="136"/>
  <c r="I203" i="136"/>
  <c r="F212" i="136"/>
  <c r="B62" i="136"/>
  <c r="B67" i="136"/>
  <c r="F205" i="136"/>
  <c r="D240" i="136"/>
  <c r="M127" i="136"/>
  <c r="G123" i="136"/>
  <c r="J107" i="136"/>
  <c r="M193" i="136"/>
  <c r="B93" i="136"/>
  <c r="B112" i="136"/>
  <c r="H60" i="136"/>
  <c r="I217" i="136"/>
  <c r="B226" i="136"/>
  <c r="J130" i="136"/>
  <c r="G124" i="136"/>
  <c r="L178" i="136"/>
  <c r="D216" i="136"/>
  <c r="K224" i="136"/>
  <c r="J128" i="136"/>
  <c r="K70" i="136"/>
  <c r="C176" i="136"/>
  <c r="I213" i="136"/>
  <c r="B222" i="136"/>
  <c r="I139" i="136"/>
  <c r="K98" i="136"/>
  <c r="G198" i="136"/>
  <c r="J276" i="136"/>
  <c r="K117" i="136"/>
  <c r="C267" i="136"/>
  <c r="H225" i="136"/>
  <c r="J242" i="136"/>
  <c r="H205" i="136"/>
  <c r="F77" i="136"/>
  <c r="G308" i="136"/>
  <c r="F254" i="136"/>
  <c r="B254" i="136"/>
  <c r="F168" i="136"/>
  <c r="L129" i="136"/>
  <c r="I262" i="136"/>
  <c r="F295" i="136"/>
  <c r="I269" i="136"/>
  <c r="L198" i="136"/>
  <c r="D159" i="136"/>
  <c r="L309" i="136"/>
  <c r="G260" i="136"/>
  <c r="C61" i="136"/>
  <c r="K281" i="136"/>
  <c r="H310" i="136"/>
  <c r="L263" i="136"/>
  <c r="M156" i="136"/>
  <c r="G77" i="136"/>
  <c r="B298" i="136"/>
  <c r="M268" i="136"/>
  <c r="B305" i="136"/>
  <c r="D222" i="136"/>
  <c r="F240" i="136"/>
  <c r="G97" i="136"/>
  <c r="C275" i="136"/>
  <c r="H233" i="136"/>
  <c r="M252" i="136"/>
  <c r="H213" i="136"/>
  <c r="H114" i="136"/>
  <c r="H277" i="136"/>
  <c r="H308" i="136"/>
  <c r="B259" i="136"/>
  <c r="D287" i="136"/>
  <c r="J194" i="136"/>
  <c r="G225" i="136"/>
  <c r="F125" i="136"/>
  <c r="J301" i="136"/>
  <c r="D255" i="136"/>
  <c r="B219" i="136"/>
  <c r="M134" i="136"/>
  <c r="D99" i="136"/>
  <c r="I298" i="136"/>
  <c r="H261" i="136"/>
  <c r="H238" i="136"/>
  <c r="B161" i="136"/>
  <c r="M55" i="136"/>
  <c r="B306" i="136"/>
  <c r="B277" i="136"/>
  <c r="L284" i="136"/>
  <c r="D75" i="136"/>
  <c r="I254" i="136"/>
  <c r="F283" i="136"/>
  <c r="I261" i="136"/>
  <c r="G186" i="136"/>
  <c r="B78" i="136"/>
  <c r="K268" i="136"/>
  <c r="H298" i="136"/>
  <c r="K275" i="136"/>
  <c r="M144" i="136"/>
  <c r="L70" i="136"/>
  <c r="F308" i="136"/>
  <c r="C254" i="136"/>
  <c r="K287" i="136"/>
  <c r="M204" i="136"/>
  <c r="F214" i="136"/>
  <c r="D127" i="136"/>
  <c r="L298" i="136"/>
  <c r="G282" i="136"/>
  <c r="K126" i="136"/>
  <c r="B163" i="136"/>
  <c r="D173" i="136"/>
  <c r="H85" i="136"/>
  <c r="L139" i="136"/>
  <c r="G125" i="136"/>
  <c r="K161" i="136"/>
  <c r="M171" i="136"/>
  <c r="L102" i="136"/>
  <c r="D117" i="136"/>
  <c r="L224" i="136"/>
  <c r="K137" i="136"/>
  <c r="M147" i="136"/>
  <c r="L110" i="136"/>
  <c r="D93" i="136"/>
  <c r="K131" i="136"/>
  <c r="G216" i="136"/>
  <c r="G230" i="136"/>
  <c r="F137" i="136"/>
  <c r="L156" i="136"/>
  <c r="M92" i="136"/>
  <c r="F120" i="136"/>
  <c r="B229" i="136"/>
  <c r="F135" i="136"/>
  <c r="H155" i="136"/>
  <c r="D110" i="136"/>
  <c r="F106" i="136"/>
  <c r="G226" i="136"/>
  <c r="F131" i="136"/>
  <c r="L152" i="136"/>
  <c r="M96" i="136"/>
  <c r="F70" i="136"/>
  <c r="B187" i="136"/>
  <c r="H212" i="136"/>
  <c r="M222" i="136"/>
  <c r="G231" i="136"/>
  <c r="J138" i="136"/>
  <c r="K105" i="136"/>
  <c r="H184" i="136"/>
  <c r="I221" i="136"/>
  <c r="B230" i="136"/>
  <c r="J136" i="136"/>
  <c r="J181" i="136"/>
  <c r="C161" i="136"/>
  <c r="M223" i="136"/>
  <c r="B63" i="136"/>
  <c r="C87" i="136"/>
  <c r="J179" i="136"/>
  <c r="L159" i="136"/>
  <c r="I222" i="136"/>
  <c r="H53" i="136"/>
  <c r="L109" i="136"/>
  <c r="J175" i="136"/>
  <c r="C157" i="136"/>
  <c r="M219" i="136"/>
  <c r="D67" i="136"/>
  <c r="L85" i="136"/>
  <c r="B216" i="136"/>
  <c r="H255" i="136"/>
  <c r="M273" i="136"/>
  <c r="B60" i="136"/>
  <c r="F280" i="136"/>
  <c r="M308" i="136"/>
  <c r="J290" i="136"/>
  <c r="C184" i="136"/>
  <c r="B127" i="136"/>
  <c r="H296" i="136"/>
  <c r="J266" i="136"/>
  <c r="H303" i="136"/>
  <c r="L250" i="136"/>
  <c r="G213" i="136"/>
  <c r="F119" i="136"/>
  <c r="J307" i="136"/>
  <c r="D259" i="136"/>
  <c r="B223" i="136"/>
  <c r="D141" i="136"/>
  <c r="C65" i="136"/>
  <c r="M276" i="136"/>
  <c r="H306" i="136"/>
  <c r="D107" i="136"/>
  <c r="I290" i="136"/>
  <c r="K277" i="136"/>
  <c r="H230" i="136"/>
  <c r="B153" i="136"/>
  <c r="H106" i="136"/>
  <c r="F251" i="136"/>
  <c r="K294" i="136"/>
  <c r="J261" i="136"/>
  <c r="L165" i="136"/>
  <c r="B52" i="136"/>
  <c r="F292" i="136"/>
  <c r="L241" i="136"/>
  <c r="J302" i="136"/>
  <c r="C196" i="136"/>
  <c r="F198" i="136"/>
  <c r="F97" i="136"/>
  <c r="B295" i="136"/>
  <c r="I66" i="136"/>
  <c r="G275" i="136"/>
  <c r="C305" i="136"/>
  <c r="H258" i="136"/>
  <c r="I151" i="136"/>
  <c r="J52" i="136"/>
  <c r="K292" i="136"/>
  <c r="I263" i="136"/>
  <c r="K299" i="136"/>
  <c r="M216" i="136"/>
  <c r="F232" i="136"/>
  <c r="B108" i="136"/>
  <c r="L269" i="136"/>
  <c r="C228" i="136"/>
  <c r="H246" i="136"/>
  <c r="C208" i="136"/>
  <c r="H98" i="136"/>
  <c r="F263" i="136"/>
  <c r="K302" i="136"/>
  <c r="J273" i="136"/>
  <c r="I96" i="136"/>
  <c r="D301" i="136"/>
  <c r="C264" i="136"/>
  <c r="C241" i="136"/>
  <c r="K163" i="136"/>
  <c r="L95" i="136"/>
  <c r="F267" i="136"/>
  <c r="G305" i="136"/>
  <c r="I277" i="136"/>
  <c r="H176" i="136"/>
  <c r="K62" i="136"/>
  <c r="F276" i="136"/>
  <c r="D306" i="136"/>
  <c r="J286" i="136"/>
  <c r="M180" i="136"/>
  <c r="C257" i="136"/>
  <c r="F81" i="136"/>
  <c r="K305" i="136"/>
  <c r="F250" i="136"/>
  <c r="L232" i="136"/>
  <c r="K141" i="136"/>
  <c r="M151" i="136"/>
  <c r="L106" i="136"/>
  <c r="I94" i="136"/>
  <c r="C230" i="136"/>
  <c r="G140" i="136"/>
  <c r="I150" i="136"/>
  <c r="C124" i="136"/>
  <c r="F66" i="136"/>
  <c r="C201" i="136"/>
  <c r="F171" i="136"/>
  <c r="H179" i="136"/>
  <c r="C134" i="136"/>
  <c r="I114" i="136"/>
  <c r="F148" i="136"/>
  <c r="K237" i="136"/>
  <c r="B209" i="136"/>
  <c r="K123" i="136"/>
  <c r="L186" i="136"/>
  <c r="D114" i="136"/>
  <c r="F194" i="136"/>
  <c r="K207" i="136"/>
  <c r="G122" i="136"/>
  <c r="L184" i="136"/>
  <c r="D132" i="136"/>
  <c r="F186" i="136"/>
  <c r="B205" i="136"/>
  <c r="K119" i="136"/>
  <c r="G181" i="136"/>
  <c r="D118" i="136"/>
  <c r="F102" i="136"/>
  <c r="B149" i="136"/>
  <c r="H226" i="136"/>
  <c r="I201" i="136"/>
  <c r="B210" i="136"/>
  <c r="K124" i="136"/>
  <c r="D63" i="136"/>
  <c r="L162" i="136"/>
  <c r="D200" i="136"/>
  <c r="K208" i="136"/>
  <c r="B241" i="136"/>
  <c r="F153" i="136"/>
  <c r="H167" i="136"/>
  <c r="D82" i="136"/>
  <c r="F88" i="136"/>
  <c r="K239" i="136"/>
  <c r="F151" i="136"/>
  <c r="C166" i="136"/>
  <c r="I99" i="136"/>
  <c r="F90" i="136"/>
  <c r="B237" i="136"/>
  <c r="F147" i="136"/>
  <c r="H163" i="136"/>
  <c r="J115" i="136"/>
  <c r="M115" i="136"/>
  <c r="H152" i="136"/>
  <c r="J265" i="136"/>
  <c r="I80" i="136"/>
  <c r="B251" i="136"/>
  <c r="C282" i="136"/>
  <c r="D256" i="136"/>
  <c r="K179" i="136"/>
  <c r="L79" i="136"/>
  <c r="G263" i="136"/>
  <c r="C293" i="136"/>
  <c r="G270" i="136"/>
  <c r="H194" i="136"/>
  <c r="G81" i="136"/>
  <c r="K296" i="136"/>
  <c r="I267" i="136"/>
  <c r="K303" i="136"/>
  <c r="M220" i="136"/>
  <c r="F238" i="136"/>
  <c r="D111" i="136"/>
  <c r="I286" i="136"/>
  <c r="L74" i="136"/>
  <c r="F304" i="136"/>
  <c r="K250" i="136"/>
  <c r="B285" i="136"/>
  <c r="D202" i="136"/>
  <c r="K89" i="136"/>
  <c r="D284" i="136"/>
  <c r="B263" i="136"/>
  <c r="D291" i="136"/>
  <c r="J200" i="136"/>
  <c r="G229" i="136"/>
  <c r="F95" i="136"/>
  <c r="G296" i="136"/>
  <c r="D275" i="136"/>
  <c r="B239" i="136"/>
  <c r="F150" i="136"/>
  <c r="I72" i="136"/>
  <c r="G271" i="136"/>
  <c r="K93" i="136"/>
  <c r="I278" i="136"/>
  <c r="C236" i="136"/>
  <c r="B199" i="136"/>
  <c r="C216" i="136"/>
  <c r="D300" i="136"/>
  <c r="K279" i="136"/>
  <c r="D307" i="136"/>
  <c r="J224" i="136"/>
  <c r="G245" i="136"/>
  <c r="F71" i="136"/>
  <c r="C284" i="136"/>
  <c r="F260" i="136"/>
  <c r="C203" i="136"/>
  <c r="F174" i="136"/>
  <c r="K58" i="136"/>
  <c r="F282" i="136"/>
  <c r="D310" i="136"/>
  <c r="J292" i="136"/>
  <c r="M117" i="136"/>
  <c r="C308" i="136"/>
  <c r="K266" i="136"/>
  <c r="C234" i="136"/>
  <c r="G142" i="136"/>
  <c r="C117" i="136"/>
  <c r="I274" i="136"/>
  <c r="B284" i="136"/>
  <c r="J245" i="136"/>
  <c r="C155" i="136"/>
  <c r="H58" i="136"/>
  <c r="H259" i="136"/>
  <c r="M284" i="136"/>
  <c r="H266" i="136"/>
  <c r="I159" i="136"/>
  <c r="D231" i="136"/>
  <c r="F113" i="136"/>
  <c r="G284" i="136"/>
  <c r="D263" i="136"/>
  <c r="C205" i="136"/>
  <c r="F177" i="136"/>
  <c r="K183" i="136"/>
  <c r="C128" i="136"/>
  <c r="D121" i="136"/>
  <c r="L203" i="136"/>
  <c r="F175" i="136"/>
  <c r="C182" i="136"/>
  <c r="I83" i="136"/>
  <c r="F98" i="136"/>
  <c r="K231" i="136"/>
  <c r="F139" i="136"/>
  <c r="C158" i="136"/>
  <c r="I91" i="136"/>
  <c r="I137" i="136"/>
  <c r="F180" i="136"/>
  <c r="C207" i="136"/>
  <c r="J241" i="136"/>
  <c r="G102" i="136"/>
  <c r="B164" i="136"/>
  <c r="B137" i="136"/>
  <c r="M217" i="136"/>
  <c r="J239" i="136"/>
  <c r="B101" i="136"/>
  <c r="K162" i="136"/>
  <c r="J87" i="136"/>
  <c r="M213" i="136"/>
  <c r="J235" i="136"/>
  <c r="G98" i="136"/>
  <c r="B160" i="136"/>
  <c r="J67" i="136"/>
  <c r="G134" i="136"/>
  <c r="G170" i="136"/>
  <c r="G255" i="136"/>
  <c r="I177" i="136"/>
  <c r="F243" i="136"/>
  <c r="G103" i="136"/>
  <c r="J61" i="136"/>
  <c r="I195" i="136"/>
  <c r="D176" i="136"/>
  <c r="F241" i="136"/>
  <c r="B102" i="136"/>
  <c r="K64" i="136"/>
  <c r="I191" i="136"/>
  <c r="I173" i="136"/>
  <c r="B166" i="136"/>
  <c r="M150" i="136"/>
  <c r="F203" i="136"/>
  <c r="K68" i="136"/>
  <c r="G63" i="136"/>
  <c r="K164" i="136"/>
  <c r="I149" i="136"/>
  <c r="F201" i="136"/>
  <c r="G78" i="136"/>
  <c r="L65" i="136"/>
  <c r="B162" i="136"/>
  <c r="M146" i="136"/>
  <c r="F197" i="136"/>
  <c r="H73" i="136"/>
  <c r="K67" i="136"/>
  <c r="F220" i="136"/>
  <c r="M208" i="136"/>
  <c r="I288" i="136"/>
  <c r="D68" i="136"/>
  <c r="K304" i="136"/>
  <c r="I275" i="136"/>
  <c r="H283" i="136"/>
  <c r="M228" i="136"/>
  <c r="D249" i="136"/>
  <c r="M310" i="136"/>
  <c r="L265" i="136"/>
  <c r="C224" i="136"/>
  <c r="J240" i="136"/>
  <c r="C204" i="136"/>
  <c r="M131" i="136"/>
  <c r="L294" i="136"/>
  <c r="G276" i="136"/>
  <c r="L213" i="136"/>
  <c r="K188" i="136"/>
  <c r="L72" i="136"/>
  <c r="F298" i="136"/>
  <c r="M245" i="136"/>
  <c r="F83" i="136"/>
  <c r="G304" i="136"/>
  <c r="F248" i="136"/>
  <c r="L247" i="136"/>
  <c r="F162" i="136"/>
  <c r="D87" i="136"/>
  <c r="I310" i="136"/>
  <c r="H273" i="136"/>
  <c r="H251" i="136"/>
  <c r="B173" i="136"/>
  <c r="I70" i="136"/>
  <c r="K272" i="136"/>
  <c r="H302" i="136"/>
  <c r="H280" i="136"/>
  <c r="M148" i="136"/>
  <c r="I220" i="136"/>
  <c r="B290" i="136"/>
  <c r="M260" i="136"/>
  <c r="I301" i="136"/>
  <c r="D281" i="136"/>
  <c r="I308" i="136"/>
  <c r="J226" i="136"/>
  <c r="G247" i="136"/>
  <c r="F93" i="136"/>
  <c r="K297" i="136"/>
  <c r="K276" i="136"/>
  <c r="G240" i="136"/>
  <c r="F152" i="136"/>
  <c r="M77" i="136"/>
  <c r="L254" i="136"/>
  <c r="F279" i="136"/>
  <c r="M258" i="136"/>
  <c r="G182" i="136"/>
  <c r="G93" i="136"/>
  <c r="C299" i="136"/>
  <c r="J270" i="136"/>
  <c r="C306" i="136"/>
  <c r="K54" i="136"/>
  <c r="F288" i="136"/>
  <c r="C239" i="136"/>
  <c r="J298" i="136"/>
  <c r="C192" i="136"/>
  <c r="B107" i="136"/>
  <c r="L301" i="136"/>
  <c r="J274" i="136"/>
  <c r="L308" i="136"/>
  <c r="J184" i="136"/>
  <c r="K218" i="136"/>
  <c r="B83" i="136"/>
  <c r="J283" i="136"/>
  <c r="C244" i="136"/>
  <c r="B207" i="136"/>
  <c r="H228" i="136"/>
  <c r="H82" i="136"/>
  <c r="K260" i="136"/>
  <c r="H290" i="136"/>
  <c r="B182" i="136"/>
  <c r="M166" i="136"/>
  <c r="F227" i="136"/>
  <c r="D52" i="136"/>
  <c r="K79" i="136"/>
  <c r="K180" i="136"/>
  <c r="I165" i="136"/>
  <c r="F225" i="136"/>
  <c r="M58" i="136"/>
  <c r="L73" i="136"/>
  <c r="K156" i="136"/>
  <c r="C197" i="136"/>
  <c r="F189" i="136"/>
  <c r="B74" i="136"/>
  <c r="F228" i="136"/>
  <c r="D214" i="136"/>
  <c r="M293" i="136"/>
  <c r="H150" i="136"/>
  <c r="D213" i="136"/>
  <c r="G75" i="136"/>
  <c r="L97" i="136"/>
  <c r="J163" i="136"/>
  <c r="L275" i="136"/>
  <c r="D191" i="136"/>
  <c r="B84" i="136"/>
  <c r="B119" i="136"/>
  <c r="J132" i="136"/>
  <c r="G227" i="136"/>
  <c r="B221" i="136"/>
  <c r="H104" i="136"/>
  <c r="M194" i="136"/>
  <c r="K267" i="136"/>
  <c r="H168" i="136"/>
  <c r="F80" i="136"/>
  <c r="I140" i="136"/>
  <c r="J164" i="136"/>
  <c r="C250" i="136"/>
  <c r="L211" i="136"/>
  <c r="C83" i="136"/>
  <c r="D125" i="136"/>
  <c r="M80" i="136"/>
  <c r="L168" i="136"/>
  <c r="G148" i="136"/>
  <c r="G167" i="136"/>
  <c r="J95" i="136"/>
  <c r="K144" i="136"/>
  <c r="H182" i="136"/>
  <c r="D245" i="136"/>
  <c r="C69" i="136"/>
  <c r="H64" i="136"/>
  <c r="G143" i="136"/>
  <c r="C181" i="136"/>
  <c r="M243" i="136"/>
  <c r="K53" i="136"/>
  <c r="H88" i="136"/>
  <c r="K140" i="136"/>
  <c r="H178" i="136"/>
  <c r="D241" i="136"/>
  <c r="C75" i="136"/>
  <c r="C63" i="136"/>
  <c r="M250" i="136"/>
  <c r="D230" i="136"/>
  <c r="C232" i="136"/>
  <c r="L66" i="136"/>
  <c r="G283" i="136"/>
  <c r="D254" i="136"/>
  <c r="G290" i="136"/>
  <c r="I207" i="136"/>
  <c r="K82" i="136"/>
  <c r="I289" i="136"/>
  <c r="G268" i="136"/>
  <c r="I296" i="136"/>
  <c r="J208" i="136"/>
  <c r="K234" i="136"/>
  <c r="F87" i="136"/>
  <c r="K301" i="136"/>
  <c r="H281" i="136"/>
  <c r="G244" i="136"/>
  <c r="F158" i="136"/>
  <c r="B70" i="136"/>
  <c r="C274" i="136"/>
  <c r="I299" i="136"/>
  <c r="M85" i="136"/>
  <c r="L244" i="136"/>
  <c r="L274" i="136"/>
  <c r="B253" i="136"/>
  <c r="G174" i="136"/>
  <c r="C85" i="136"/>
  <c r="B258" i="136"/>
  <c r="L287" i="136"/>
  <c r="B265" i="136"/>
  <c r="B188" i="136"/>
  <c r="J54" i="136"/>
  <c r="G291" i="136"/>
  <c r="D262" i="136"/>
  <c r="G298" i="136"/>
  <c r="I215" i="136"/>
  <c r="F230" i="136"/>
  <c r="I141" i="136"/>
  <c r="C288" i="136"/>
  <c r="K71" i="136"/>
  <c r="L272" i="136"/>
  <c r="D298" i="136"/>
  <c r="L281" i="136"/>
  <c r="M172" i="136"/>
  <c r="I58" i="136"/>
  <c r="L285" i="136"/>
  <c r="J250" i="136"/>
  <c r="L292" i="136"/>
  <c r="D238" i="136"/>
  <c r="K202" i="136"/>
  <c r="C135" i="136"/>
  <c r="J291" i="136"/>
  <c r="D250" i="136"/>
  <c r="G212" i="136"/>
  <c r="C242" i="136"/>
  <c r="C77" i="136"/>
  <c r="B266" i="136"/>
  <c r="L295" i="136"/>
  <c r="B273" i="136"/>
  <c r="F99" i="136"/>
  <c r="K293" i="136"/>
  <c r="I272" i="136"/>
  <c r="G236" i="136"/>
  <c r="F146" i="136"/>
  <c r="M97" i="136"/>
  <c r="M299" i="136"/>
  <c r="L262" i="136"/>
  <c r="L239" i="136"/>
  <c r="G162" i="136"/>
  <c r="H102" i="136"/>
  <c r="F257" i="136"/>
  <c r="K298" i="136"/>
  <c r="J267" i="136"/>
  <c r="L169" i="136"/>
  <c r="L187" i="136"/>
  <c r="D308" i="136"/>
  <c r="C263" i="136"/>
  <c r="H221" i="136"/>
  <c r="G214" i="136"/>
  <c r="D129" i="136"/>
  <c r="L194" i="136"/>
  <c r="M108" i="136"/>
  <c r="K109" i="136"/>
  <c r="B213" i="136"/>
  <c r="K127" i="136"/>
  <c r="L192" i="136"/>
  <c r="D126" i="136"/>
  <c r="D223" i="136"/>
  <c r="J243" i="136"/>
  <c r="K103" i="136"/>
  <c r="G165" i="136"/>
  <c r="H135" i="136"/>
  <c r="F126" i="136"/>
  <c r="B165" i="136"/>
  <c r="D248" i="136"/>
  <c r="I251" i="136"/>
  <c r="C206" i="136"/>
  <c r="J178" i="136"/>
  <c r="J125" i="136"/>
  <c r="M157" i="136"/>
  <c r="I249" i="136"/>
  <c r="L204" i="136"/>
  <c r="J176" i="136"/>
  <c r="K90" i="136"/>
  <c r="D155" i="136"/>
  <c r="I245" i="136"/>
  <c r="C202" i="136"/>
  <c r="J172" i="136"/>
  <c r="I131" i="136"/>
  <c r="M139" i="136"/>
  <c r="C163" i="136"/>
  <c r="G262" i="136"/>
  <c r="M188" i="136"/>
  <c r="C253" i="136"/>
  <c r="F61" i="136"/>
  <c r="C59" i="136"/>
  <c r="K148" i="136"/>
  <c r="D187" i="136"/>
  <c r="C251" i="136"/>
  <c r="C71" i="136"/>
  <c r="H210" i="136"/>
  <c r="K184" i="136"/>
  <c r="B190" i="136"/>
  <c r="L122" i="136"/>
  <c r="I110" i="136"/>
  <c r="C209" i="136"/>
  <c r="B183" i="136"/>
  <c r="H188" i="136"/>
  <c r="D78" i="136"/>
  <c r="D134" i="136"/>
  <c r="H206" i="136"/>
  <c r="F179" i="136"/>
  <c r="D185" i="136"/>
  <c r="L126" i="136"/>
  <c r="D109" i="136"/>
  <c r="F140" i="136"/>
  <c r="G232" i="136"/>
  <c r="C121" i="136"/>
  <c r="I270" i="136"/>
  <c r="F307" i="136"/>
  <c r="M277" i="136"/>
  <c r="C151" i="136"/>
  <c r="C57" i="136"/>
  <c r="L260" i="136"/>
  <c r="D286" i="136"/>
  <c r="L267" i="136"/>
  <c r="M160" i="136"/>
  <c r="I54" i="136"/>
  <c r="L289" i="136"/>
  <c r="J256" i="136"/>
  <c r="L296" i="136"/>
  <c r="D242" i="136"/>
  <c r="K206" i="136"/>
  <c r="M89" i="136"/>
  <c r="M307" i="136"/>
  <c r="K86" i="136"/>
  <c r="J279" i="136"/>
  <c r="H241" i="136"/>
  <c r="G204" i="136"/>
  <c r="C223" i="136"/>
  <c r="D130" i="136"/>
  <c r="C296" i="136"/>
  <c r="G278" i="136"/>
  <c r="C215" i="136"/>
  <c r="D190" i="136"/>
  <c r="C113" i="136"/>
  <c r="B279" i="136"/>
  <c r="B288" i="136"/>
  <c r="J251" i="136"/>
  <c r="C159" i="136"/>
  <c r="D175" i="136"/>
  <c r="H304" i="136"/>
  <c r="L278" i="136"/>
  <c r="D91" i="136"/>
  <c r="I306" i="136"/>
  <c r="H269" i="136"/>
  <c r="K246" i="136"/>
  <c r="B169" i="136"/>
  <c r="H90" i="136"/>
  <c r="F275" i="136"/>
  <c r="K310" i="136"/>
  <c r="K259" i="136"/>
  <c r="L181" i="136"/>
  <c r="J62" i="136"/>
  <c r="B286" i="136"/>
  <c r="M256" i="136"/>
  <c r="B293" i="136"/>
  <c r="D210" i="136"/>
  <c r="F222" i="136"/>
  <c r="M121" i="136"/>
  <c r="C304" i="136"/>
  <c r="K262" i="136"/>
  <c r="C131" i="136"/>
  <c r="J295" i="136"/>
  <c r="K253" i="136"/>
  <c r="B215" i="136"/>
  <c r="B130" i="136"/>
  <c r="D119" i="136"/>
  <c r="L306" i="136"/>
  <c r="G265" i="136"/>
  <c r="H231" i="136"/>
  <c r="B141" i="136"/>
  <c r="L123" i="136"/>
  <c r="M267" i="136"/>
  <c r="F303" i="136"/>
  <c r="M274" i="136"/>
  <c r="H148" i="136"/>
  <c r="I164" i="136"/>
  <c r="M286" i="136"/>
  <c r="K265" i="136"/>
  <c r="I232" i="136"/>
  <c r="M248" i="136"/>
  <c r="K107" i="136"/>
  <c r="G169" i="136"/>
  <c r="K130" i="136"/>
  <c r="L231" i="136"/>
  <c r="G154" i="136"/>
  <c r="F110" i="136"/>
  <c r="I123" i="136"/>
  <c r="B176" i="136"/>
  <c r="D137" i="136"/>
  <c r="H183" i="136"/>
  <c r="I64" i="136"/>
  <c r="M309" i="136"/>
  <c r="C218" i="136"/>
  <c r="H193" i="136"/>
  <c r="F78" i="136"/>
  <c r="D102" i="136"/>
  <c r="H147" i="136"/>
  <c r="D186" i="136"/>
  <c r="B146" i="136"/>
  <c r="K97" i="136"/>
  <c r="L101" i="136"/>
  <c r="C56" i="136"/>
  <c r="M203" i="136"/>
  <c r="D152" i="136"/>
  <c r="D207" i="136"/>
  <c r="C92" i="136"/>
  <c r="K110" i="136"/>
  <c r="B147" i="136"/>
  <c r="D157" i="136"/>
  <c r="H101" i="136"/>
  <c r="D89" i="136"/>
  <c r="G109" i="136"/>
  <c r="K145" i="136"/>
  <c r="M155" i="136"/>
  <c r="L118" i="136"/>
  <c r="M111" i="136"/>
  <c r="H235" i="136"/>
  <c r="B143" i="136"/>
  <c r="D153" i="136"/>
  <c r="H105" i="136"/>
  <c r="M87" i="136"/>
  <c r="L236" i="136"/>
  <c r="B211" i="136"/>
  <c r="L99" i="136"/>
  <c r="F261" i="136"/>
  <c r="G301" i="136"/>
  <c r="J271" i="136"/>
  <c r="H172" i="136"/>
  <c r="G61" i="136"/>
  <c r="F278" i="136"/>
  <c r="I307" i="136"/>
  <c r="J288" i="136"/>
  <c r="D182" i="136"/>
  <c r="G91" i="136"/>
  <c r="M282" i="136"/>
  <c r="K261" i="136"/>
  <c r="M289" i="136"/>
  <c r="J198" i="136"/>
  <c r="B228" i="136"/>
  <c r="L131" i="136"/>
  <c r="D261" i="136"/>
  <c r="F293" i="136"/>
  <c r="F115" i="136"/>
  <c r="B283" i="136"/>
  <c r="M261" i="136"/>
  <c r="K225" i="136"/>
  <c r="F130" i="136"/>
  <c r="I108" i="136"/>
  <c r="D289" i="136"/>
  <c r="B276" i="136"/>
  <c r="C229" i="136"/>
  <c r="K151" i="136"/>
  <c r="L91" i="136"/>
  <c r="F273" i="136"/>
  <c r="G309" i="136"/>
  <c r="G258" i="136"/>
  <c r="H180" i="136"/>
  <c r="D199" i="136"/>
  <c r="I297" i="136"/>
  <c r="H276" i="136"/>
  <c r="L133" i="136"/>
  <c r="M259" i="136"/>
  <c r="F291" i="136"/>
  <c r="M266" i="136"/>
  <c r="G194" i="136"/>
  <c r="I68" i="136"/>
  <c r="B274" i="136"/>
  <c r="L303" i="136"/>
  <c r="B282" i="136"/>
  <c r="D150" i="136"/>
  <c r="D65" i="136"/>
  <c r="G307" i="136"/>
  <c r="K278" i="136"/>
  <c r="C286" i="136"/>
  <c r="I231" i="136"/>
  <c r="H252" i="136"/>
  <c r="I100" i="136"/>
  <c r="D297" i="136"/>
  <c r="C260" i="136"/>
  <c r="C237" i="136"/>
  <c r="C303" i="136"/>
  <c r="L276" i="136"/>
  <c r="C310" i="136"/>
  <c r="J186" i="136"/>
  <c r="B220" i="136"/>
  <c r="C133" i="136"/>
  <c r="J293" i="136"/>
  <c r="M251" i="136"/>
  <c r="K213" i="136"/>
  <c r="H128" i="136"/>
  <c r="M125" i="136"/>
  <c r="C300" i="136"/>
  <c r="K258" i="136"/>
  <c r="L219" i="136"/>
  <c r="B195" i="136"/>
  <c r="J64" i="136"/>
  <c r="F306" i="136"/>
  <c r="D252" i="136"/>
  <c r="D143" i="136"/>
  <c r="I233" i="136"/>
  <c r="B242" i="136"/>
  <c r="J154" i="136"/>
  <c r="K88" i="136"/>
  <c r="L197" i="136"/>
  <c r="D232" i="136"/>
  <c r="K240" i="136"/>
  <c r="J152" i="136"/>
  <c r="M53" i="136"/>
  <c r="L170" i="136"/>
  <c r="D208" i="136"/>
  <c r="K216" i="136"/>
  <c r="B132" i="136"/>
  <c r="I56" i="136"/>
  <c r="D219" i="136"/>
  <c r="I147" i="136"/>
  <c r="J284" i="136"/>
  <c r="I161" i="136"/>
  <c r="F219" i="136"/>
  <c r="I57" i="136"/>
  <c r="K52" i="136"/>
  <c r="G175" i="136"/>
  <c r="D160" i="136"/>
  <c r="F217" i="136"/>
  <c r="D64" i="136"/>
  <c r="C55" i="136"/>
  <c r="K172" i="136"/>
  <c r="I157" i="136"/>
  <c r="F213" i="136"/>
  <c r="I61" i="136"/>
  <c r="K56" i="136"/>
  <c r="F204" i="136"/>
  <c r="D198" i="136"/>
  <c r="L300" i="136"/>
  <c r="G152" i="136"/>
  <c r="I162" i="136"/>
  <c r="C96" i="136"/>
  <c r="M83" i="136"/>
  <c r="K114" i="136"/>
  <c r="B151" i="136"/>
  <c r="D161" i="136"/>
  <c r="H113" i="136"/>
  <c r="J225" i="136"/>
  <c r="K91" i="136"/>
  <c r="G153" i="136"/>
  <c r="J77" i="136"/>
  <c r="D203" i="136"/>
  <c r="J223" i="136"/>
  <c r="G90" i="136"/>
  <c r="B152" i="136"/>
  <c r="J103" i="136"/>
  <c r="I200" i="136"/>
  <c r="J219" i="136"/>
  <c r="K87" i="136"/>
  <c r="G149" i="136"/>
  <c r="J83" i="136"/>
  <c r="G89" i="136"/>
  <c r="B181" i="136"/>
  <c r="D268" i="136"/>
  <c r="F75" i="136"/>
  <c r="K309" i="136"/>
  <c r="F256" i="136"/>
  <c r="G256" i="136"/>
  <c r="F170" i="136"/>
  <c r="M81" i="136"/>
  <c r="H249" i="136"/>
  <c r="C280" i="136"/>
  <c r="M254" i="136"/>
  <c r="G178" i="136"/>
  <c r="L63" i="136"/>
  <c r="H278" i="136"/>
  <c r="L307" i="136"/>
  <c r="C261" i="136"/>
  <c r="D154" i="136"/>
  <c r="M225" i="136"/>
  <c r="F121" i="136"/>
  <c r="J305" i="136"/>
  <c r="K74" i="136"/>
  <c r="G299" i="136"/>
  <c r="D270" i="136"/>
  <c r="G306" i="136"/>
  <c r="I223" i="136"/>
  <c r="F242" i="136"/>
  <c r="I305" i="136"/>
  <c r="H260" i="136"/>
  <c r="L218" i="136"/>
  <c r="J232" i="136"/>
  <c r="H253" i="136"/>
  <c r="L138" i="136"/>
  <c r="H289" i="136"/>
  <c r="F268" i="136"/>
  <c r="H208" i="136"/>
  <c r="F182" i="136"/>
  <c r="G53" i="136"/>
  <c r="L268" i="136"/>
  <c r="D294" i="136"/>
  <c r="F123" i="136"/>
  <c r="J303" i="136"/>
  <c r="I256" i="136"/>
  <c r="G220" i="136"/>
  <c r="H136" i="136"/>
  <c r="M113" i="136"/>
  <c r="M283" i="136"/>
  <c r="K270" i="136"/>
  <c r="L223" i="136"/>
  <c r="G146" i="136"/>
  <c r="C97" i="136"/>
  <c r="F265" i="136"/>
  <c r="B304" i="136"/>
  <c r="J275" i="136"/>
  <c r="C175" i="136"/>
  <c r="L195" i="136"/>
  <c r="G112" i="136"/>
  <c r="H268" i="136"/>
  <c r="L226" i="136"/>
  <c r="I62" i="136"/>
  <c r="B310" i="136"/>
  <c r="M281" i="136"/>
  <c r="L288" i="136"/>
  <c r="D234" i="136"/>
  <c r="G257" i="136"/>
  <c r="G105" i="136"/>
  <c r="C271" i="136"/>
  <c r="H229" i="136"/>
  <c r="B248" i="136"/>
  <c r="H209" i="136"/>
  <c r="F79" i="136"/>
  <c r="B307" i="136"/>
  <c r="F252" i="136"/>
  <c r="L251" i="136"/>
  <c r="F166" i="136"/>
  <c r="B64" i="136"/>
  <c r="G281" i="136"/>
  <c r="M304" i="136"/>
  <c r="L174" i="136"/>
  <c r="D212" i="136"/>
  <c r="K220" i="136"/>
  <c r="M136" i="136"/>
  <c r="I52" i="136"/>
  <c r="H173" i="136"/>
  <c r="M210" i="136"/>
  <c r="G219" i="136"/>
  <c r="D135" i="136"/>
  <c r="G79" i="136"/>
  <c r="H149" i="136"/>
  <c r="G185" i="136"/>
  <c r="K251" i="136"/>
  <c r="B110" i="136"/>
  <c r="I240" i="136"/>
  <c r="M168" i="136"/>
  <c r="B297" i="136"/>
  <c r="D195" i="136"/>
  <c r="F187" i="136"/>
  <c r="F53" i="136"/>
  <c r="L53" i="136"/>
  <c r="B154" i="136"/>
  <c r="K193" i="136"/>
  <c r="F185" i="136"/>
  <c r="F63" i="136"/>
  <c r="L77" i="136"/>
  <c r="G151" i="136"/>
  <c r="H190" i="136"/>
  <c r="B256" i="136"/>
  <c r="F59" i="136"/>
  <c r="H52" i="136"/>
  <c r="F236" i="136"/>
  <c r="I219" i="136"/>
  <c r="I304" i="136"/>
  <c r="B191" i="136"/>
  <c r="K196" i="136"/>
  <c r="H117" i="136"/>
  <c r="D105" i="136"/>
  <c r="H214" i="136"/>
  <c r="H189" i="136"/>
  <c r="I189" i="136"/>
  <c r="D172" i="136"/>
  <c r="F235" i="136"/>
  <c r="B98" i="136"/>
  <c r="I69" i="136"/>
  <c r="I187" i="136"/>
  <c r="M170" i="136"/>
  <c r="F233" i="136"/>
  <c r="I53" i="136"/>
  <c r="M70" i="136"/>
  <c r="I183" i="136"/>
  <c r="D168" i="136"/>
  <c r="F229" i="136"/>
  <c r="H61" i="136"/>
  <c r="C107" i="136"/>
  <c r="G237" i="136"/>
  <c r="J212" i="136"/>
  <c r="B268" i="136"/>
  <c r="K121" i="136"/>
  <c r="L297" i="136"/>
  <c r="J268" i="136"/>
  <c r="L304" i="136"/>
  <c r="L252" i="136"/>
  <c r="K214" i="136"/>
  <c r="D142" i="136"/>
  <c r="J285" i="136"/>
  <c r="H245" i="136"/>
  <c r="G208" i="136"/>
  <c r="C231" i="136"/>
  <c r="M109" i="136"/>
  <c r="M287" i="136"/>
  <c r="K274" i="136"/>
  <c r="L227" i="136"/>
  <c r="G150" i="136"/>
  <c r="K66" i="136"/>
  <c r="G295" i="136"/>
  <c r="D266" i="136"/>
  <c r="K128" i="136"/>
  <c r="H297" i="136"/>
  <c r="G280" i="136"/>
  <c r="H216" i="136"/>
  <c r="M191" i="136"/>
  <c r="L127" i="136"/>
  <c r="M263" i="136"/>
  <c r="F297" i="136"/>
  <c r="M270" i="136"/>
  <c r="H144" i="136"/>
  <c r="M74" i="136"/>
  <c r="C270" i="136"/>
  <c r="I295" i="136"/>
  <c r="L277" i="136"/>
  <c r="D170" i="136"/>
  <c r="M241" i="136"/>
  <c r="C129" i="136"/>
  <c r="J297" i="136"/>
  <c r="C89" i="136"/>
  <c r="C277" i="136"/>
  <c r="L283" i="136"/>
  <c r="B261" i="136"/>
  <c r="D183" i="136"/>
  <c r="L111" i="136"/>
  <c r="K280" i="136"/>
  <c r="G289" i="136"/>
  <c r="J253" i="136"/>
  <c r="H160" i="136"/>
  <c r="G57" i="136"/>
  <c r="F284" i="136"/>
  <c r="H236" i="136"/>
  <c r="J294" i="136"/>
  <c r="C188" i="136"/>
  <c r="F190" i="136"/>
  <c r="F73" i="136"/>
  <c r="L282" i="136"/>
  <c r="F258" i="136"/>
  <c r="J58" i="136"/>
  <c r="K288" i="136"/>
  <c r="I259" i="136"/>
  <c r="K295" i="136"/>
  <c r="M212" i="136"/>
  <c r="F226" i="136"/>
  <c r="M294" i="136"/>
  <c r="K273" i="136"/>
  <c r="M301" i="136"/>
  <c r="J216" i="136"/>
  <c r="B240" i="136"/>
  <c r="F111" i="136"/>
  <c r="K285" i="136"/>
  <c r="I264" i="136"/>
  <c r="G228" i="136"/>
  <c r="F134" i="136"/>
  <c r="L59" i="136"/>
  <c r="C258" i="136"/>
  <c r="I283" i="136"/>
  <c r="H153" i="136"/>
  <c r="G191" i="136"/>
  <c r="G199" i="136"/>
  <c r="B114" i="136"/>
  <c r="K75" i="136"/>
  <c r="C152" i="136"/>
  <c r="G189" i="136"/>
  <c r="C256" i="136"/>
  <c r="K112" i="136"/>
  <c r="B54" i="136"/>
  <c r="B178" i="136"/>
  <c r="M162" i="136"/>
  <c r="F221" i="136"/>
  <c r="D56" i="136"/>
  <c r="F196" i="136"/>
  <c r="C194" i="136"/>
  <c r="H295" i="136"/>
  <c r="L171" i="136"/>
  <c r="I234" i="136"/>
  <c r="G52" i="136"/>
  <c r="H76" i="136"/>
  <c r="B193" i="136"/>
  <c r="H170" i="136"/>
  <c r="D233" i="136"/>
  <c r="G64" i="136"/>
  <c r="C99" i="136"/>
  <c r="M189" i="136"/>
  <c r="L167" i="136"/>
  <c r="I230" i="136"/>
  <c r="G56" i="136"/>
  <c r="B80" i="136"/>
  <c r="G205" i="136"/>
  <c r="M240" i="136"/>
  <c r="H256" i="136"/>
  <c r="F161" i="136"/>
  <c r="L172" i="136"/>
  <c r="M76" i="136"/>
  <c r="F72" i="136"/>
  <c r="B245" i="136"/>
  <c r="F159" i="136"/>
  <c r="H171" i="136"/>
  <c r="D94" i="136"/>
  <c r="F82" i="136"/>
  <c r="G242" i="136"/>
  <c r="F155" i="136"/>
  <c r="K219" i="136"/>
  <c r="K135" i="136"/>
  <c r="C146" i="136"/>
  <c r="I103" i="136"/>
  <c r="B91" i="136"/>
  <c r="G218" i="136"/>
  <c r="B134" i="136"/>
  <c r="L144" i="136"/>
  <c r="M120" i="136"/>
  <c r="F122" i="136"/>
  <c r="K215" i="136"/>
  <c r="M130" i="136"/>
  <c r="B197" i="136"/>
  <c r="I107" i="136"/>
  <c r="F86" i="136"/>
  <c r="G138" i="136"/>
  <c r="C226" i="136"/>
  <c r="M101" i="136"/>
  <c r="M295" i="136"/>
  <c r="L258" i="136"/>
  <c r="L235" i="136"/>
  <c r="G158" i="136"/>
  <c r="C101" i="136"/>
  <c r="F259" i="136"/>
  <c r="B300" i="136"/>
  <c r="J269" i="136"/>
  <c r="C171" i="136"/>
  <c r="K81" i="136"/>
  <c r="F300" i="136"/>
  <c r="H247" i="136"/>
  <c r="J310" i="136"/>
  <c r="I199" i="136"/>
  <c r="F206" i="136"/>
  <c r="H133" i="136"/>
  <c r="H293" i="136"/>
  <c r="G65" i="136"/>
  <c r="G279" i="136"/>
  <c r="I303" i="136"/>
  <c r="J282" i="136"/>
  <c r="D178" i="136"/>
  <c r="D53" i="136"/>
  <c r="C291" i="136"/>
  <c r="J258" i="136"/>
  <c r="C298" i="136"/>
  <c r="I243" i="136"/>
  <c r="B208" i="136"/>
  <c r="F127" i="136"/>
  <c r="J299" i="136"/>
  <c r="M253" i="136"/>
  <c r="K217" i="136"/>
  <c r="D133" i="136"/>
  <c r="I116" i="136"/>
  <c r="H309" i="136"/>
  <c r="H110" i="136"/>
  <c r="D282" i="136"/>
  <c r="K290" i="136"/>
  <c r="J255" i="136"/>
  <c r="L161" i="136"/>
  <c r="D73" i="136"/>
  <c r="H271" i="136"/>
  <c r="M296" i="136"/>
  <c r="L279" i="136"/>
  <c r="I171" i="136"/>
  <c r="B111" i="136"/>
  <c r="H300" i="136"/>
  <c r="J272" i="136"/>
  <c r="H307" i="136"/>
  <c r="J182" i="136"/>
  <c r="G217" i="136"/>
  <c r="D79" i="136"/>
  <c r="K252" i="136"/>
  <c r="F277" i="136"/>
  <c r="I257" i="136"/>
  <c r="F67" i="136"/>
  <c r="L286" i="136"/>
  <c r="F264" i="136"/>
  <c r="L205" i="136"/>
  <c r="F178" i="136"/>
  <c r="I76" i="136"/>
  <c r="D253" i="136"/>
  <c r="F281" i="136"/>
  <c r="D260" i="136"/>
  <c r="G184" i="136"/>
  <c r="C81" i="136"/>
  <c r="B262" i="136"/>
  <c r="L291" i="136"/>
  <c r="B269" i="136"/>
  <c r="M192" i="136"/>
  <c r="M209" i="136"/>
  <c r="K84" i="136"/>
  <c r="J281" i="136"/>
  <c r="L242" i="136"/>
  <c r="K235" i="136"/>
  <c r="F145" i="136"/>
  <c r="C162" i="136"/>
  <c r="I87" i="136"/>
  <c r="F104" i="136"/>
  <c r="G234" i="136"/>
  <c r="F143" i="136"/>
  <c r="L160" i="136"/>
  <c r="M104" i="136"/>
  <c r="F210" i="136"/>
  <c r="G210" i="136"/>
  <c r="B125" i="136"/>
  <c r="L188" i="136"/>
  <c r="M112" i="136"/>
  <c r="F94" i="136"/>
  <c r="K143" i="136"/>
  <c r="C238" i="136"/>
  <c r="J209" i="136"/>
  <c r="C235" i="136"/>
  <c r="K142" i="136"/>
  <c r="J93" i="136"/>
  <c r="L189" i="136"/>
  <c r="J207" i="136"/>
  <c r="H232" i="136"/>
  <c r="G141" i="136"/>
  <c r="J119" i="136"/>
  <c r="L183" i="136"/>
  <c r="J203" i="136"/>
  <c r="C227" i="136"/>
  <c r="K138" i="136"/>
  <c r="J59" i="136"/>
  <c r="G246" i="136"/>
  <c r="D174" i="136"/>
  <c r="G302" i="136"/>
  <c r="K173" i="136"/>
  <c r="I184" i="136"/>
  <c r="B79" i="136"/>
  <c r="H124" i="136"/>
  <c r="M137" i="136"/>
  <c r="G172" i="136"/>
  <c r="I182" i="136"/>
  <c r="M262" i="136"/>
  <c r="K175" i="136"/>
  <c r="G82" i="136"/>
  <c r="J75" i="136"/>
  <c r="K154" i="136"/>
  <c r="G114" i="136"/>
  <c r="K205" i="136"/>
  <c r="L225" i="136"/>
  <c r="I82" i="136"/>
  <c r="C100" i="136"/>
  <c r="I158" i="136"/>
  <c r="H162" i="136"/>
  <c r="H181" i="136"/>
  <c r="I115" i="136"/>
  <c r="L270" i="136"/>
  <c r="J236" i="136"/>
  <c r="H201" i="136"/>
  <c r="C123" i="136"/>
  <c r="L78" i="136"/>
  <c r="M179" i="136"/>
  <c r="B184" i="136"/>
  <c r="M149" i="136"/>
  <c r="C139" i="136"/>
  <c r="I67" i="136"/>
  <c r="G99" i="136"/>
  <c r="F237" i="136"/>
  <c r="J227" i="136"/>
  <c r="I106" i="136"/>
  <c r="L256" i="136"/>
  <c r="B113" i="136"/>
  <c r="K174" i="136"/>
  <c r="M124" i="136"/>
  <c r="D239" i="136"/>
  <c r="H254" i="136"/>
  <c r="K111" i="136"/>
  <c r="G173" i="136"/>
  <c r="J71" i="136"/>
  <c r="M233" i="136"/>
  <c r="H250" i="136"/>
  <c r="B109" i="136"/>
  <c r="K170" i="136"/>
  <c r="B129" i="136"/>
  <c r="F118" i="136"/>
  <c r="K159" i="136"/>
  <c r="H242" i="136"/>
  <c r="D123" i="136"/>
  <c r="L302" i="136"/>
  <c r="G261" i="136"/>
  <c r="H223" i="136"/>
  <c r="H200" i="136"/>
  <c r="H122" i="136"/>
  <c r="D269" i="136"/>
  <c r="F305" i="136"/>
  <c r="D276" i="136"/>
  <c r="L149" i="136"/>
  <c r="H68" i="136"/>
  <c r="H275" i="136"/>
  <c r="M300" i="136"/>
  <c r="J278" i="136"/>
  <c r="I175" i="136"/>
  <c r="G248" i="136"/>
  <c r="F89" i="136"/>
  <c r="G300" i="136"/>
  <c r="H292" i="136"/>
  <c r="J260" i="136"/>
  <c r="H299" i="136"/>
  <c r="M244" i="136"/>
  <c r="G209" i="136"/>
  <c r="G88" i="136"/>
  <c r="J277" i="136"/>
  <c r="C240" i="136"/>
  <c r="B203" i="136"/>
  <c r="C221" i="136"/>
  <c r="D115" i="136"/>
  <c r="L310" i="136"/>
  <c r="G269" i="136"/>
  <c r="H243" i="136"/>
  <c r="B145" i="136"/>
  <c r="B73" i="136"/>
  <c r="F290" i="136"/>
  <c r="H240" i="136"/>
  <c r="F91" i="136"/>
  <c r="B299" i="136"/>
  <c r="D278" i="136"/>
  <c r="K241" i="136"/>
  <c r="F154" i="136"/>
  <c r="I92" i="136"/>
  <c r="D305" i="136"/>
  <c r="C268" i="136"/>
  <c r="C245" i="136"/>
  <c r="K167" i="136"/>
  <c r="B82" i="136"/>
  <c r="G267" i="136"/>
  <c r="C297" i="136"/>
  <c r="G274" i="136"/>
  <c r="I143" i="136"/>
  <c r="D215" i="136"/>
  <c r="C137" i="136"/>
  <c r="J289" i="136"/>
  <c r="K248" i="136"/>
  <c r="G104" i="136"/>
  <c r="H267" i="136"/>
  <c r="M292" i="136"/>
  <c r="H274" i="136"/>
  <c r="I167" i="136"/>
  <c r="M63" i="136"/>
  <c r="K308" i="136"/>
  <c r="D280" i="136"/>
  <c r="H287" i="136"/>
  <c r="M232" i="136"/>
  <c r="B255" i="136"/>
  <c r="I309" i="136"/>
  <c r="H264" i="136"/>
  <c r="L222" i="136"/>
  <c r="J238" i="136"/>
  <c r="L202" i="136"/>
  <c r="L103" i="136"/>
  <c r="F255" i="136"/>
  <c r="G297" i="136"/>
  <c r="K160" i="136"/>
  <c r="I145" i="136"/>
  <c r="F195" i="136"/>
  <c r="B75" i="136"/>
  <c r="D69" i="136"/>
  <c r="G159" i="136"/>
  <c r="D144" i="136"/>
  <c r="F193" i="136"/>
  <c r="F55" i="136"/>
  <c r="L93" i="136"/>
  <c r="G196" i="136"/>
  <c r="C173" i="136"/>
  <c r="M235" i="136"/>
  <c r="L69" i="136"/>
  <c r="B200" i="136"/>
  <c r="I235" i="136"/>
  <c r="H237" i="136"/>
  <c r="B179" i="136"/>
  <c r="I192" i="136"/>
  <c r="G69" i="136"/>
  <c r="C119" i="136"/>
  <c r="J131" i="136"/>
  <c r="K177" i="136"/>
  <c r="I190" i="136"/>
  <c r="L86" i="136"/>
  <c r="M79" i="136"/>
  <c r="H143" i="136"/>
  <c r="B175" i="136"/>
  <c r="I186" i="136"/>
  <c r="H75" i="136"/>
  <c r="L117" i="136"/>
  <c r="G249" i="136"/>
  <c r="J228" i="136"/>
  <c r="H265" i="136"/>
  <c r="G118" i="136"/>
  <c r="B180" i="136"/>
  <c r="I119" i="136"/>
  <c r="G252" i="136"/>
  <c r="G202" i="136"/>
  <c r="B117" i="136"/>
  <c r="K178" i="136"/>
  <c r="L158" i="136"/>
  <c r="D196" i="136"/>
  <c r="K204" i="136"/>
  <c r="G119" i="136"/>
  <c r="B69" i="136"/>
  <c r="H157" i="136"/>
  <c r="G197" i="136"/>
  <c r="G203" i="136"/>
  <c r="B118" i="136"/>
  <c r="I71" i="136"/>
  <c r="L154" i="136"/>
  <c r="G193" i="136"/>
  <c r="K200" i="136"/>
  <c r="G115" i="136"/>
  <c r="M73" i="136"/>
  <c r="D235" i="136"/>
  <c r="I163" i="136"/>
  <c r="G286" i="136"/>
  <c r="M290" i="136"/>
  <c r="K269" i="136"/>
  <c r="M297" i="136"/>
  <c r="J210" i="136"/>
  <c r="B236" i="136"/>
  <c r="F109" i="136"/>
  <c r="B287" i="136"/>
  <c r="M265" i="136"/>
  <c r="K229" i="136"/>
  <c r="F136" i="136"/>
  <c r="I88" i="136"/>
  <c r="D309" i="136"/>
  <c r="C272" i="136"/>
  <c r="M249" i="136"/>
  <c r="K171" i="136"/>
  <c r="G116" i="136"/>
  <c r="H288" i="136"/>
  <c r="J254" i="136"/>
  <c r="L83" i="136"/>
  <c r="G259" i="136"/>
  <c r="C289" i="136"/>
  <c r="G266" i="136"/>
  <c r="K189" i="136"/>
  <c r="K77" i="136"/>
  <c r="F302" i="136"/>
  <c r="B249" i="136"/>
  <c r="K283" i="136"/>
  <c r="M200" i="136"/>
  <c r="F208" i="136"/>
  <c r="M298" i="136"/>
  <c r="B278" i="136"/>
  <c r="M305" i="136"/>
  <c r="J222" i="136"/>
  <c r="B244" i="136"/>
  <c r="M140" i="136"/>
  <c r="M255" i="136"/>
  <c r="B95" i="136"/>
  <c r="C287" i="136"/>
  <c r="J252" i="136"/>
  <c r="C294" i="136"/>
  <c r="I239" i="136"/>
  <c r="B204" i="136"/>
  <c r="G95" i="136"/>
  <c r="I276" i="136"/>
  <c r="L234" i="136"/>
  <c r="K255" i="136"/>
  <c r="L214" i="136"/>
  <c r="I120" i="136"/>
  <c r="H305" i="136"/>
  <c r="B264" i="136"/>
  <c r="L228" i="136"/>
  <c r="K139" i="136"/>
  <c r="J56" i="136"/>
  <c r="K284" i="136"/>
  <c r="I255" i="136"/>
  <c r="K291" i="136"/>
  <c r="I74" i="136"/>
  <c r="B270" i="136"/>
  <c r="L299" i="136"/>
  <c r="D277" i="136"/>
  <c r="D146" i="136"/>
  <c r="J60" i="136"/>
  <c r="G287" i="136"/>
  <c r="D258" i="136"/>
  <c r="G294" i="136"/>
  <c r="I211" i="136"/>
  <c r="F224" i="136"/>
  <c r="D288" i="136"/>
  <c r="B267" i="136"/>
  <c r="D295" i="136"/>
  <c r="J206" i="136"/>
  <c r="G233" i="136"/>
  <c r="C125" i="136"/>
  <c r="I266" i="136"/>
  <c r="F301" i="136"/>
  <c r="G139" i="136"/>
  <c r="C177" i="136"/>
  <c r="M239" i="136"/>
  <c r="K78" i="136"/>
  <c r="L71" i="136"/>
  <c r="B138" i="136"/>
  <c r="L175" i="136"/>
  <c r="I238" i="136"/>
  <c r="B59" i="136"/>
  <c r="C115" i="136"/>
  <c r="J167" i="136"/>
  <c r="L151" i="136"/>
  <c r="I214" i="136"/>
  <c r="K73" i="136"/>
  <c r="C91" i="136"/>
  <c r="G221" i="136"/>
  <c r="J188" i="136"/>
  <c r="M279" i="136"/>
  <c r="K157" i="136"/>
  <c r="M167" i="136"/>
  <c r="L90" i="136"/>
  <c r="I78" i="136"/>
  <c r="B120" i="136"/>
  <c r="G156" i="136"/>
  <c r="I166" i="136"/>
  <c r="C108" i="136"/>
  <c r="D101" i="136"/>
  <c r="G117" i="136"/>
  <c r="K153" i="136"/>
  <c r="M163" i="136"/>
  <c r="L94" i="136"/>
  <c r="D77" i="136"/>
  <c r="L217" i="136"/>
  <c r="G200" i="136"/>
  <c r="B308" i="136"/>
  <c r="B97" i="136"/>
  <c r="K158" i="136"/>
  <c r="J69" i="136"/>
  <c r="D211" i="136"/>
  <c r="J231" i="136"/>
  <c r="K95" i="136"/>
  <c r="J149" i="136"/>
  <c r="C193" i="136"/>
  <c r="I202" i="136"/>
  <c r="H57" i="136"/>
  <c r="H108" i="136"/>
  <c r="J147" i="136"/>
  <c r="C191" i="136"/>
  <c r="D201" i="136"/>
  <c r="C76" i="136"/>
  <c r="I132" i="136"/>
  <c r="J143" i="136"/>
  <c r="C187" i="136"/>
  <c r="I198" i="136"/>
  <c r="D86" i="136"/>
  <c r="B131" i="136"/>
  <c r="F172" i="136"/>
  <c r="L201" i="136"/>
  <c r="L55" i="136"/>
  <c r="C262" i="136"/>
  <c r="I287" i="136"/>
  <c r="C269" i="136"/>
  <c r="D162" i="136"/>
  <c r="M69" i="136"/>
  <c r="G303" i="136"/>
  <c r="D274" i="136"/>
  <c r="G310" i="136"/>
  <c r="I227" i="136"/>
  <c r="K247" i="136"/>
  <c r="B90" i="136"/>
  <c r="I282" i="136"/>
  <c r="L238" i="136"/>
  <c r="K201" i="136"/>
  <c r="H219" i="136"/>
  <c r="L87" i="136"/>
  <c r="C279" i="136"/>
  <c r="C285" i="136"/>
  <c r="M306" i="136"/>
  <c r="L261" i="136"/>
  <c r="C220" i="136"/>
  <c r="J234" i="136"/>
  <c r="L255" i="136"/>
  <c r="F85" i="136"/>
  <c r="B303" i="136"/>
  <c r="F246" i="136"/>
  <c r="L245" i="136"/>
  <c r="F160" i="136"/>
  <c r="I138" i="136"/>
  <c r="D257" i="136"/>
  <c r="F287" i="136"/>
  <c r="D264" i="136"/>
  <c r="G190" i="136"/>
  <c r="B86" i="136"/>
  <c r="C283" i="136"/>
  <c r="J246" i="136"/>
  <c r="I112" i="136"/>
  <c r="D285" i="136"/>
  <c r="B272" i="136"/>
  <c r="C225" i="136"/>
  <c r="K147" i="136"/>
  <c r="K136" i="136"/>
  <c r="L290" i="136"/>
  <c r="F270" i="136"/>
  <c r="L209" i="136"/>
  <c r="M183" i="136"/>
  <c r="H118" i="136"/>
  <c r="D273" i="136"/>
  <c r="K282" i="136"/>
  <c r="B281" i="136"/>
  <c r="L153" i="136"/>
  <c r="M169" i="136"/>
  <c r="D292" i="136"/>
  <c r="B271" i="136"/>
  <c r="D299" i="136"/>
  <c r="H94" i="136"/>
  <c r="F269" i="136"/>
  <c r="K306" i="136"/>
  <c r="I279" i="136"/>
  <c r="L177" i="136"/>
  <c r="B56" i="136"/>
  <c r="F286" i="136"/>
  <c r="L237" i="136"/>
  <c r="J296" i="136"/>
  <c r="C190" i="136"/>
  <c r="G84" i="136"/>
  <c r="C295" i="136"/>
  <c r="J264" i="136"/>
  <c r="C302" i="136"/>
  <c r="L248" i="136"/>
  <c r="B212" i="136"/>
  <c r="I84" i="136"/>
  <c r="D246" i="136"/>
  <c r="C276" i="136"/>
  <c r="J173" i="136"/>
  <c r="L155" i="136"/>
  <c r="I218" i="136"/>
  <c r="M68" i="136"/>
  <c r="H92" i="136"/>
  <c r="J171" i="136"/>
  <c r="H154" i="136"/>
  <c r="D217" i="136"/>
  <c r="L58" i="136"/>
  <c r="L142" i="136"/>
  <c r="J135" i="136"/>
  <c r="G180" i="136"/>
  <c r="I194" i="136"/>
  <c r="G67" i="136"/>
  <c r="H112" i="136"/>
  <c r="K242" i="136"/>
  <c r="J220" i="136"/>
  <c r="G273" i="136"/>
  <c r="K198" i="136"/>
  <c r="I146" i="136"/>
  <c r="C112" i="136"/>
  <c r="M99" i="136"/>
  <c r="L220" i="136"/>
  <c r="M195" i="136"/>
  <c r="D145" i="136"/>
  <c r="C130" i="136"/>
  <c r="I122" i="136"/>
  <c r="C217" i="136"/>
  <c r="K192" i="136"/>
  <c r="I142" i="136"/>
  <c r="C116" i="136"/>
  <c r="I98" i="136"/>
  <c r="H138" i="136"/>
  <c r="K221" i="136"/>
  <c r="J201" i="136"/>
  <c r="H224" i="136"/>
  <c r="G137" i="136"/>
  <c r="J101" i="136"/>
  <c r="D179" i="136"/>
  <c r="J199" i="136"/>
  <c r="C222" i="136"/>
  <c r="B198" i="136"/>
  <c r="J127" i="136"/>
  <c r="I176" i="136"/>
  <c r="J195" i="136"/>
  <c r="H218" i="136"/>
  <c r="M238" i="136"/>
  <c r="C248" i="136"/>
  <c r="J162" i="136"/>
  <c r="C143" i="136"/>
  <c r="D147" i="136"/>
  <c r="I237" i="136"/>
  <c r="C246" i="136"/>
  <c r="J160" i="136"/>
  <c r="G108" i="136"/>
  <c r="I144" i="136"/>
  <c r="M234" i="136"/>
  <c r="G243" i="136"/>
  <c r="J156" i="136"/>
  <c r="B87" i="136"/>
  <c r="F96" i="136"/>
  <c r="L173" i="136"/>
  <c r="M278" i="136"/>
  <c r="H139" i="136"/>
  <c r="J287" i="136"/>
  <c r="B247" i="136"/>
  <c r="K209" i="136"/>
  <c r="L233" i="136"/>
  <c r="I124" i="136"/>
  <c r="H301" i="136"/>
  <c r="B260" i="136"/>
  <c r="L221" i="136"/>
  <c r="H197" i="136"/>
  <c r="L107" i="136"/>
  <c r="F249" i="136"/>
  <c r="G293" i="136"/>
  <c r="J259" i="136"/>
  <c r="H164" i="136"/>
  <c r="I180" i="136"/>
  <c r="M302" i="136"/>
  <c r="L257" i="136"/>
  <c r="H126" i="136"/>
  <c r="D265" i="136"/>
  <c r="F299" i="136"/>
  <c r="D272" i="136"/>
  <c r="L145" i="136"/>
  <c r="H62" i="136"/>
  <c r="B280" i="136"/>
  <c r="C309" i="136"/>
  <c r="H262" i="136"/>
  <c r="I155" i="136"/>
  <c r="M59" i="136"/>
  <c r="H284" i="136"/>
  <c r="J248" i="136"/>
  <c r="H291" i="136"/>
  <c r="M236" i="136"/>
  <c r="G201" i="136"/>
  <c r="B100" i="136"/>
  <c r="L273" i="136"/>
  <c r="B135" i="136"/>
  <c r="C292" i="136"/>
  <c r="F272" i="136"/>
  <c r="C211" i="136"/>
  <c r="H185" i="136"/>
  <c r="L135" i="136"/>
  <c r="I258" i="136"/>
  <c r="F289" i="136"/>
  <c r="I265" i="136"/>
  <c r="G192" i="136"/>
  <c r="C53" i="136"/>
  <c r="L264" i="136"/>
  <c r="D290" i="136"/>
  <c r="L271" i="136"/>
  <c r="M164" i="136"/>
  <c r="I236" i="136"/>
  <c r="F105" i="136"/>
  <c r="K289" i="136"/>
  <c r="I268" i="136"/>
  <c r="D296" i="136"/>
  <c r="B275" i="136"/>
  <c r="D303" i="136"/>
  <c r="J218" i="136"/>
  <c r="G241" i="136"/>
  <c r="F101" i="136"/>
  <c r="G292" i="136"/>
  <c r="D271" i="136"/>
  <c r="B235" i="136"/>
  <c r="F144" i="136"/>
  <c r="I104" i="136"/>
  <c r="D293" i="136"/>
  <c r="M280" i="136"/>
  <c r="C233" i="136"/>
  <c r="K155" i="136"/>
  <c r="D61" i="136"/>
  <c r="K300" i="136"/>
  <c r="I271" i="136"/>
  <c r="D167" i="136"/>
  <c r="J185" i="136"/>
  <c r="H211" i="136"/>
  <c r="M185" i="136"/>
  <c r="J117" i="136"/>
  <c r="M165" i="136"/>
  <c r="J183" i="136"/>
  <c r="C210" i="136"/>
  <c r="D184" i="136"/>
  <c r="G83" i="136"/>
  <c r="B194" i="136"/>
  <c r="I229" i="136"/>
  <c r="B238" i="136"/>
  <c r="J148" i="136"/>
  <c r="B94" i="136"/>
  <c r="F112" i="136"/>
  <c r="B168" i="136"/>
  <c r="H239" i="136"/>
  <c r="G96" i="136"/>
  <c r="K236" i="136"/>
  <c r="M226" i="136"/>
  <c r="K187" i="136"/>
  <c r="B103" i="136"/>
  <c r="H166" i="136"/>
  <c r="K186" i="136"/>
  <c r="L216" i="136"/>
  <c r="J191" i="136"/>
  <c r="I168" i="136"/>
  <c r="L75" i="136"/>
  <c r="F107" i="136"/>
  <c r="F138" i="136"/>
  <c r="H234" i="136"/>
  <c r="H286" i="136"/>
  <c r="B92" i="136"/>
  <c r="J263" i="136"/>
  <c r="D302" i="136"/>
  <c r="L305" i="136"/>
  <c r="K222" i="136"/>
  <c r="M264" i="136"/>
  <c r="F294" i="136"/>
  <c r="F200" i="136"/>
  <c r="J214" i="136"/>
  <c r="F309" i="136"/>
  <c r="K249" i="136"/>
  <c r="F262" i="136"/>
  <c r="M247" i="136"/>
  <c r="K101" i="136"/>
  <c r="J217" i="136"/>
  <c r="I196" i="136"/>
  <c r="J111" i="136"/>
  <c r="J180" i="136"/>
  <c r="L157" i="136"/>
  <c r="H130" i="136"/>
  <c r="B214" i="136"/>
  <c r="M202" i="136"/>
  <c r="I224" i="136"/>
  <c r="M207" i="136"/>
  <c r="L200" i="136"/>
  <c r="J151" i="136"/>
  <c r="I178" i="136"/>
  <c r="B167" i="136"/>
  <c r="B128" i="136"/>
  <c r="I128" i="136"/>
  <c r="K264" i="136"/>
  <c r="L68" i="136"/>
  <c r="D206" i="136"/>
  <c r="H217" i="136"/>
  <c r="F247" i="136"/>
  <c r="B88" i="136"/>
  <c r="J202" i="136"/>
  <c r="I260" i="136"/>
  <c r="M303" i="136"/>
  <c r="C93" i="136"/>
  <c r="J306" i="136"/>
  <c r="K257" i="136"/>
  <c r="F103" i="136"/>
  <c r="F142" i="136"/>
  <c r="H270" i="136"/>
  <c r="L115" i="136"/>
  <c r="H156" i="136"/>
  <c r="C273" i="136"/>
  <c r="M272" i="136"/>
  <c r="M105" i="136"/>
  <c r="C185" i="136"/>
  <c r="J139" i="136"/>
  <c r="M95" i="136"/>
  <c r="C179" i="136"/>
  <c r="G183" i="136"/>
  <c r="K108" i="136"/>
  <c r="L146" i="136"/>
  <c r="F167" i="136"/>
  <c r="G107" i="136"/>
  <c r="H120" i="136"/>
  <c r="I248" i="136"/>
  <c r="F245" i="136"/>
  <c r="I75" i="136"/>
  <c r="K106" i="136"/>
  <c r="J196" i="136"/>
  <c r="D244" i="136"/>
  <c r="F211" i="136"/>
  <c r="D98" i="136"/>
  <c r="I152" i="136"/>
  <c r="M154" i="136"/>
  <c r="C150" i="136"/>
  <c r="L246" i="136"/>
  <c r="M229" i="136"/>
  <c r="H121" i="136"/>
  <c r="D225" i="136"/>
  <c r="K199" i="136"/>
  <c r="D85" i="136"/>
  <c r="G157" i="136"/>
  <c r="H134" i="136"/>
  <c r="D59" i="136"/>
  <c r="L81" i="136"/>
  <c r="I135" i="136"/>
  <c r="H282" i="136"/>
  <c r="G277" i="136"/>
  <c r="F234" i="136"/>
  <c r="M271" i="136"/>
  <c r="H285" i="136"/>
  <c r="M197" i="136"/>
  <c r="H207" i="136"/>
  <c r="I205" i="136"/>
  <c r="C145" i="136"/>
  <c r="G168" i="136"/>
  <c r="C84" i="136"/>
  <c r="H78" i="136"/>
  <c r="C259" i="136"/>
  <c r="J309" i="136"/>
  <c r="C307" i="136"/>
  <c r="M288" i="136"/>
  <c r="B302" i="136"/>
  <c r="L113" i="136"/>
  <c r="C212" i="136"/>
  <c r="K132" i="136"/>
  <c r="G59" i="136"/>
  <c r="K104" i="136"/>
  <c r="F266" i="136"/>
  <c r="G136" i="136"/>
  <c r="B227" i="136"/>
  <c r="H67" i="136"/>
  <c r="I197" i="136"/>
  <c r="I228" i="136"/>
  <c r="J79" i="136"/>
  <c r="B144" i="136"/>
  <c r="G188" i="136"/>
  <c r="J146" i="136"/>
  <c r="G235" i="136"/>
  <c r="D224" i="136"/>
  <c r="G128" i="136"/>
  <c r="D229" i="136"/>
  <c r="C165" i="136"/>
  <c r="D192" i="136"/>
  <c r="H215" i="136"/>
  <c r="J187" i="136"/>
  <c r="F188" i="136"/>
  <c r="G288" i="136"/>
  <c r="D103" i="136"/>
  <c r="B157" i="136"/>
  <c r="K263" i="136"/>
  <c r="I280" i="136"/>
  <c r="C105" i="136"/>
  <c r="C167" i="136"/>
  <c r="J280" i="136"/>
  <c r="L280" i="136"/>
  <c r="D95" i="136"/>
  <c r="B301" i="136"/>
  <c r="C243" i="136"/>
  <c r="I293" i="136"/>
  <c r="K238" i="136"/>
  <c r="H279" i="136"/>
  <c r="K102" i="136"/>
  <c r="L210" i="136"/>
  <c r="H204" i="136"/>
  <c r="C278" i="136"/>
  <c r="L293" i="136"/>
  <c r="G86" i="136"/>
  <c r="J215" i="136"/>
  <c r="M161" i="136"/>
  <c r="J123" i="136"/>
  <c r="I281" i="136"/>
  <c r="M57" i="136"/>
  <c r="M128" i="136"/>
  <c r="G211" i="136"/>
  <c r="M152" i="136"/>
  <c r="C52" i="136"/>
  <c r="I206" i="136"/>
  <c r="C195" i="136"/>
  <c r="C80" i="136"/>
  <c r="D177" i="136"/>
  <c r="G164" i="136"/>
  <c r="L206" i="136"/>
  <c r="H294" i="136"/>
  <c r="F310" i="136"/>
  <c r="F216" i="136"/>
  <c r="J230" i="136"/>
  <c r="B292" i="136"/>
  <c r="I285" i="136"/>
  <c r="K230" i="136"/>
  <c r="G224" i="136"/>
  <c r="L266" i="136"/>
  <c r="F271" i="136"/>
  <c r="M196" i="136"/>
  <c r="M285" i="136"/>
  <c r="B291" i="136"/>
  <c r="H54" i="136"/>
  <c r="M275" i="136"/>
  <c r="D166" i="136"/>
  <c r="B309" i="136"/>
  <c r="M291" i="136"/>
  <c r="D197" i="136"/>
  <c r="C183" i="136"/>
  <c r="K122" i="136"/>
  <c r="H89" i="136"/>
  <c r="D251" i="136"/>
  <c r="F169" i="136"/>
  <c r="C136" i="136"/>
  <c r="I252" i="136"/>
  <c r="H248" i="136"/>
  <c r="C64" i="136"/>
  <c r="F74" i="136"/>
  <c r="M178" i="136"/>
  <c r="D209" i="136"/>
  <c r="J99" i="136"/>
  <c r="K226" i="136"/>
  <c r="B243" i="136"/>
  <c r="D156" i="136"/>
  <c r="H151" i="136"/>
  <c r="I133" i="136"/>
  <c r="B170" i="136"/>
  <c r="H142" i="136"/>
  <c r="M257" i="136"/>
  <c r="D158" i="136"/>
  <c r="M103" i="136"/>
  <c r="K61" i="136"/>
  <c r="B206" i="136"/>
  <c r="J63" i="136"/>
  <c r="M190" i="136"/>
  <c r="C265" i="136"/>
  <c r="I172" i="136"/>
  <c r="C290" i="136"/>
  <c r="C281" i="136"/>
  <c r="B296" i="136"/>
  <c r="J190" i="136"/>
  <c r="C199" i="136"/>
  <c r="D83" i="136"/>
  <c r="J85" i="136"/>
  <c r="I126" i="136"/>
  <c r="H165" i="136"/>
  <c r="J155" i="136"/>
  <c r="D131" i="136"/>
  <c r="B196" i="136"/>
  <c r="C109" i="136"/>
  <c r="M93" i="136"/>
  <c r="H244" i="136"/>
  <c r="K233" i="136"/>
  <c r="J247" i="136"/>
  <c r="B246" i="136"/>
  <c r="H81" i="136"/>
  <c r="K286" i="136"/>
  <c r="C149" i="136"/>
  <c r="J159" i="136"/>
  <c r="M119" i="136"/>
  <c r="H257" i="136"/>
  <c r="F209" i="136"/>
  <c r="K191" i="136"/>
  <c r="H70" i="136"/>
  <c r="D247" i="136"/>
  <c r="L193" i="136"/>
  <c r="J91" i="136"/>
  <c r="I273" i="136"/>
  <c r="B96" i="136"/>
  <c r="J144" i="136"/>
  <c r="K232" i="136"/>
  <c r="M184" i="136"/>
  <c r="K57" i="136"/>
  <c r="M227" i="136"/>
  <c r="J109" i="136"/>
  <c r="K190" i="136"/>
  <c r="L212" i="136"/>
  <c r="C186" i="136"/>
  <c r="D267" i="136"/>
  <c r="I294" i="136"/>
  <c r="H86" i="136"/>
  <c r="H186" i="136"/>
  <c r="F253" i="136"/>
  <c r="M66" i="136"/>
  <c r="M176" i="136"/>
  <c r="I284" i="136"/>
  <c r="I302" i="136"/>
  <c r="D57" i="136"/>
  <c r="D218" i="136"/>
  <c r="J304" i="136"/>
  <c r="G272" i="136"/>
  <c r="L119" i="136"/>
  <c r="H272" i="136"/>
  <c r="F69" i="136"/>
  <c r="F176" i="136"/>
  <c r="I253" i="136"/>
  <c r="J262" i="136"/>
  <c r="B148" i="136"/>
  <c r="B85" i="136"/>
  <c r="L253" i="136"/>
  <c r="M206" i="136"/>
  <c r="C168" i="136"/>
  <c r="J55" i="136"/>
  <c r="B126" i="136"/>
  <c r="J300" i="136"/>
  <c r="C103" i="136"/>
  <c r="G71" i="136"/>
  <c r="M132" i="136"/>
  <c r="I130" i="136"/>
  <c r="H97" i="136"/>
  <c r="I174" i="136"/>
  <c r="J244" i="136"/>
  <c r="K271" i="136"/>
  <c r="B257" i="136"/>
  <c r="D304" i="136"/>
  <c r="G251" i="136"/>
  <c r="G264" i="136"/>
  <c r="F117" i="136"/>
  <c r="F128" i="136"/>
  <c r="L243" i="136"/>
  <c r="F296" i="136"/>
  <c r="K96" i="136"/>
  <c r="J192" i="136"/>
  <c r="M269" i="136"/>
  <c r="H263" i="136"/>
  <c r="G285" i="136"/>
  <c r="C266" i="136"/>
  <c r="H71" i="136"/>
  <c r="D226" i="136"/>
  <c r="D279" i="136"/>
  <c r="L62" i="136"/>
  <c r="C200" i="136"/>
  <c r="B159" i="136"/>
  <c r="I136" i="136"/>
  <c r="L259" i="136"/>
  <c r="B250" i="136"/>
  <c r="J53" i="136"/>
  <c r="I181" i="136"/>
  <c r="M211" i="136"/>
  <c r="M88" i="136"/>
  <c r="C144" i="136"/>
  <c r="H146" i="136"/>
  <c r="C174" i="136"/>
  <c r="H96" i="136"/>
  <c r="F156" i="136"/>
  <c r="J249" i="136"/>
  <c r="F129" i="136"/>
  <c r="J170" i="136"/>
  <c r="B58" i="136"/>
  <c r="K223" i="136"/>
  <c r="K254" i="136"/>
  <c r="J308" i="136"/>
  <c r="F132" i="136"/>
  <c r="H80" i="136"/>
  <c r="K120" i="136"/>
  <c r="K169" i="136"/>
  <c r="C160" i="136"/>
  <c r="D139" i="136"/>
  <c r="G106" i="136"/>
  <c r="J211" i="136"/>
  <c r="D228" i="136"/>
  <c r="J140" i="136"/>
  <c r="J193" i="136"/>
  <c r="H187" i="136"/>
  <c r="B231" i="136"/>
  <c r="I204" i="136"/>
  <c r="B99" i="136"/>
  <c r="B294" i="136"/>
  <c r="I300" i="136"/>
  <c r="L230" i="136"/>
  <c r="B177" i="136"/>
  <c r="K146" i="136"/>
  <c r="G215" i="136"/>
  <c r="M61" i="136"/>
  <c r="L125" i="136"/>
  <c r="I90" i="136"/>
  <c r="B289" i="136"/>
  <c r="I292" i="136"/>
  <c r="G166" i="136"/>
  <c r="B224" i="136"/>
  <c r="I291" i="136"/>
  <c r="J141" i="136"/>
  <c r="D169" i="136"/>
  <c r="C178" i="136"/>
  <c r="L176" i="136"/>
  <c r="F163" i="136"/>
  <c r="H196" i="136"/>
  <c r="M62" i="136"/>
  <c r="M242" i="136"/>
  <c r="K210" i="136"/>
  <c r="I244" i="136"/>
  <c r="D163" i="136"/>
  <c r="D140" i="136"/>
  <c r="I129" i="136"/>
  <c r="D66" i="136"/>
  <c r="H141" i="136"/>
  <c r="M106" i="136"/>
  <c r="G145" i="136"/>
  <c r="D205" i="136"/>
  <c r="J204" i="136"/>
  <c r="K307" i="136"/>
  <c r="C301" i="136"/>
  <c r="C198" i="136"/>
  <c r="I246" i="136"/>
  <c r="M221" i="136"/>
  <c r="B136" i="136"/>
  <c r="I102" i="136"/>
  <c r="F84" i="136"/>
  <c r="D113" i="136"/>
  <c r="K60" i="136"/>
  <c r="M64" i="136"/>
  <c r="J68" i="136"/>
  <c r="C118" i="136"/>
  <c r="L166" i="136"/>
  <c r="L190" i="136"/>
  <c r="I188" i="136"/>
  <c r="D193" i="136"/>
  <c r="F231" i="136"/>
  <c r="J110" i="136"/>
  <c r="C122" i="136"/>
  <c r="H66" i="136"/>
  <c r="B124" i="136"/>
  <c r="G60" i="136"/>
  <c r="J142" i="136"/>
  <c r="K100" i="136"/>
  <c r="L199" i="136"/>
  <c r="H55" i="136"/>
  <c r="L128" i="136"/>
  <c r="F64" i="136"/>
  <c r="I193" i="136"/>
  <c r="F173" i="136"/>
  <c r="C169" i="136"/>
  <c r="B171" i="136"/>
  <c r="M214" i="136"/>
  <c r="J106" i="136"/>
  <c r="C68" i="136"/>
  <c r="C62" i="136"/>
  <c r="B225" i="136"/>
  <c r="L191" i="136"/>
  <c r="C164" i="136"/>
  <c r="B233" i="136"/>
  <c r="C141" i="136"/>
  <c r="B201" i="136"/>
  <c r="K94" i="136"/>
  <c r="H116" i="136"/>
  <c r="L60" i="136"/>
  <c r="I113" i="136"/>
  <c r="F192" i="136"/>
  <c r="M230" i="136"/>
  <c r="K227" i="136"/>
  <c r="J229" i="136"/>
  <c r="G120" i="136"/>
  <c r="M75" i="136"/>
  <c r="J124" i="136"/>
  <c r="L56" i="136"/>
  <c r="J120" i="136"/>
  <c r="F184" i="136"/>
  <c r="G171" i="136"/>
  <c r="G101" i="136"/>
  <c r="K256" i="136"/>
  <c r="I250" i="136"/>
  <c r="D220" i="136"/>
  <c r="L207" i="136"/>
  <c r="F68" i="136"/>
  <c r="M138" i="136"/>
  <c r="L80" i="136"/>
  <c r="K55" i="136"/>
  <c r="H191" i="136"/>
  <c r="H100" i="136"/>
  <c r="K113" i="136"/>
  <c r="J65" i="136"/>
  <c r="I111" i="136"/>
  <c r="H103" i="136"/>
  <c r="I59" i="136"/>
  <c r="M110" i="136"/>
  <c r="K195" i="136"/>
  <c r="J97" i="136"/>
  <c r="C120" i="136"/>
  <c r="M84" i="136"/>
  <c r="F65" i="136"/>
  <c r="J88" i="136"/>
  <c r="C106" i="136"/>
  <c r="J96" i="136"/>
  <c r="J177" i="136"/>
  <c r="G111" i="136"/>
  <c r="G161" i="136"/>
  <c r="J166" i="136"/>
  <c r="I154" i="136"/>
  <c r="L104" i="136"/>
  <c r="I101" i="136"/>
  <c r="K72" i="136"/>
  <c r="D188" i="136"/>
  <c r="M205" i="136"/>
  <c r="H169" i="136"/>
  <c r="G147" i="136"/>
  <c r="C79" i="136"/>
  <c r="L137" i="136"/>
  <c r="L89" i="136"/>
  <c r="J121" i="136"/>
  <c r="C54" i="136"/>
  <c r="F54" i="136"/>
  <c r="M126" i="136"/>
  <c r="K85" i="136"/>
  <c r="L114" i="136"/>
  <c r="M54" i="136"/>
  <c r="B72" i="136"/>
  <c r="B189" i="136"/>
  <c r="F56" i="136"/>
  <c r="G133" i="136"/>
  <c r="C102" i="136"/>
  <c r="K129" i="136"/>
  <c r="B218" i="136"/>
  <c r="B121" i="136"/>
  <c r="H220" i="136"/>
  <c r="K165" i="136"/>
  <c r="C114" i="136"/>
  <c r="G74" i="136"/>
  <c r="H79" i="136"/>
  <c r="D151" i="136"/>
  <c r="C153" i="136"/>
  <c r="D204" i="136"/>
  <c r="I153" i="136"/>
  <c r="B252" i="136"/>
  <c r="B104" i="136"/>
  <c r="D80" i="136"/>
  <c r="L96" i="136"/>
  <c r="J116" i="136"/>
  <c r="L179" i="136"/>
  <c r="B185" i="136"/>
  <c r="L134" i="136"/>
  <c r="B139" i="136"/>
  <c r="L76" i="136"/>
  <c r="B55" i="136"/>
  <c r="H177" i="136"/>
  <c r="J158" i="136"/>
  <c r="F218" i="136"/>
  <c r="I242" i="136"/>
  <c r="I185" i="136"/>
  <c r="F183" i="136"/>
  <c r="F274" i="136"/>
  <c r="K125" i="136"/>
  <c r="F164" i="136"/>
  <c r="C255" i="136"/>
  <c r="I212" i="136"/>
  <c r="D189" i="136"/>
  <c r="K181" i="136"/>
  <c r="D180" i="136"/>
  <c r="K149" i="136"/>
  <c r="G195" i="136"/>
  <c r="J80" i="136"/>
  <c r="C126" i="136"/>
  <c r="J78" i="136"/>
  <c r="L124" i="136"/>
  <c r="I156" i="136"/>
  <c r="C142" i="136"/>
  <c r="L98" i="136"/>
  <c r="H125" i="136"/>
  <c r="I65" i="136"/>
  <c r="B65" i="136"/>
  <c r="J169" i="136"/>
  <c r="L121" i="136"/>
  <c r="M133" i="136"/>
  <c r="C86" i="136"/>
  <c r="M231" i="136"/>
  <c r="J114" i="136"/>
  <c r="M153" i="136"/>
  <c r="F141" i="136"/>
  <c r="H158" i="136"/>
  <c r="F133" i="136"/>
  <c r="J108" i="136"/>
  <c r="G121" i="136"/>
  <c r="L208" i="136"/>
  <c r="F181" i="136"/>
  <c r="H111" i="136"/>
  <c r="I247" i="136"/>
  <c r="F100" i="136"/>
  <c r="J70" i="136"/>
  <c r="K243" i="136"/>
  <c r="C94" i="136"/>
  <c r="G163" i="136"/>
  <c r="G85" i="136"/>
  <c r="D92" i="136"/>
  <c r="B186" i="136"/>
  <c r="J205" i="136"/>
  <c r="L105" i="136"/>
  <c r="J94" i="136"/>
  <c r="H72" i="136"/>
  <c r="B68" i="136"/>
  <c r="H199" i="136"/>
  <c r="H195" i="136"/>
  <c r="M60" i="136"/>
  <c r="M215" i="136"/>
  <c r="G110" i="136"/>
  <c r="H127" i="136"/>
  <c r="H69" i="136"/>
  <c r="J92" i="136"/>
  <c r="D106" i="136"/>
  <c r="G72" i="136"/>
  <c r="C60" i="136"/>
  <c r="C70" i="136"/>
  <c r="L148" i="136"/>
  <c r="J76" i="136"/>
  <c r="D149" i="136"/>
  <c r="G254" i="136"/>
  <c r="C147" i="136"/>
  <c r="L249" i="136"/>
  <c r="J165" i="136"/>
  <c r="M173" i="136"/>
  <c r="I208" i="136"/>
  <c r="L196" i="136"/>
  <c r="M246" i="136"/>
  <c r="M159" i="136"/>
  <c r="B202" i="136"/>
  <c r="J90" i="136"/>
  <c r="L116" i="136"/>
  <c r="J122" i="136"/>
  <c r="I93" i="136"/>
  <c r="K211" i="136"/>
  <c r="H84" i="136"/>
  <c r="C219" i="136"/>
  <c r="M135" i="136"/>
  <c r="B133" i="136"/>
  <c r="G58" i="136"/>
  <c r="I97" i="136"/>
  <c r="D171" i="136"/>
  <c r="H174" i="136"/>
  <c r="I225" i="136"/>
  <c r="M174" i="136"/>
  <c r="B217" i="136"/>
  <c r="G132" i="136"/>
  <c r="J100" i="136"/>
  <c r="J126" i="136"/>
  <c r="L92" i="136"/>
  <c r="M201" i="136"/>
  <c r="I95" i="136"/>
  <c r="L54" i="136"/>
  <c r="L82" i="136"/>
  <c r="M141" i="136"/>
  <c r="H140" i="136"/>
  <c r="K76" i="136"/>
  <c r="M78" i="136"/>
  <c r="H222" i="136"/>
  <c r="H192" i="136"/>
  <c r="M182" i="136"/>
  <c r="H159" i="136"/>
  <c r="I210" i="136"/>
  <c r="G177" i="136"/>
  <c r="D221" i="136"/>
  <c r="M90" i="136"/>
  <c r="D76" i="136"/>
  <c r="H59" i="136"/>
  <c r="K152" i="136"/>
  <c r="J150" i="136"/>
  <c r="C154" i="136"/>
  <c r="B156" i="136"/>
  <c r="M199" i="136"/>
  <c r="L143" i="136"/>
  <c r="L141" i="136"/>
  <c r="H95" i="136"/>
  <c r="F58" i="136"/>
  <c r="G155" i="136"/>
  <c r="L215" i="136"/>
  <c r="K168" i="136"/>
  <c r="K182" i="136"/>
  <c r="H175" i="136"/>
  <c r="J134" i="136"/>
  <c r="M186" i="136"/>
  <c r="L88" i="136"/>
  <c r="G70" i="136"/>
  <c r="I55" i="136"/>
  <c r="K92" i="136"/>
  <c r="F191" i="136"/>
  <c r="H203" i="136"/>
  <c r="G207" i="136"/>
  <c r="F149" i="136"/>
  <c r="L64" i="136"/>
  <c r="M102" i="136"/>
  <c r="K59" i="136"/>
  <c r="B142" i="136"/>
  <c r="B105" i="136"/>
  <c r="B155" i="136"/>
  <c r="F157" i="136"/>
  <c r="D148" i="136"/>
  <c r="D116" i="136"/>
  <c r="L84" i="136"/>
  <c r="I81" i="136"/>
  <c r="D227" i="136"/>
  <c r="G187" i="136"/>
  <c r="J237" i="136"/>
  <c r="I241" i="136"/>
  <c r="F116" i="136"/>
  <c r="I118" i="136"/>
  <c r="J74" i="136"/>
  <c r="M98" i="136"/>
  <c r="M72" i="136"/>
  <c r="J133" i="136"/>
  <c r="C180" i="136"/>
  <c r="G130" i="136"/>
  <c r="F223" i="136"/>
  <c r="L229" i="136"/>
  <c r="C249" i="136"/>
  <c r="B89" i="136"/>
  <c r="G66" i="136"/>
  <c r="M118" i="136"/>
  <c r="H74" i="136"/>
  <c r="C172" i="136"/>
  <c r="G160" i="136"/>
  <c r="M158" i="136"/>
  <c r="L163" i="136"/>
  <c r="J189" i="136"/>
  <c r="H129" i="136"/>
  <c r="C110" i="136"/>
  <c r="H131" i="136"/>
  <c r="I77" i="136"/>
  <c r="G179" i="136"/>
  <c r="B66" i="136"/>
  <c r="J73" i="136"/>
  <c r="J113" i="136"/>
  <c r="H109" i="136"/>
  <c r="I89" i="136"/>
  <c r="B61" i="136"/>
  <c r="M94" i="136"/>
  <c r="L240" i="136"/>
  <c r="G73" i="136"/>
  <c r="G127" i="136"/>
  <c r="D60" i="136"/>
  <c r="B172" i="136"/>
  <c r="G62" i="136"/>
  <c r="H99" i="136"/>
  <c r="C138" i="136"/>
  <c r="L136" i="136"/>
  <c r="D194" i="136"/>
  <c r="M114" i="136"/>
  <c r="K197" i="136"/>
  <c r="C73" i="136"/>
  <c r="B122" i="136"/>
  <c r="C74" i="136"/>
  <c r="D104" i="136"/>
  <c r="K166" i="136"/>
  <c r="C170" i="136"/>
  <c r="M122" i="136"/>
  <c r="J86" i="136"/>
  <c r="G253" i="136"/>
  <c r="C252" i="136"/>
  <c r="C98" i="136"/>
  <c r="M129" i="136"/>
  <c r="K176" i="136"/>
  <c r="J153" i="136"/>
  <c r="B140" i="136"/>
  <c r="K150" i="136"/>
  <c r="J82" i="136"/>
  <c r="L185" i="136"/>
  <c r="F215" i="136"/>
  <c r="C214" i="136"/>
  <c r="L100" i="136"/>
  <c r="M237" i="136"/>
  <c r="G206" i="136"/>
  <c r="I86" i="136"/>
  <c r="F60" i="136"/>
  <c r="H123" i="136"/>
  <c r="D81" i="136"/>
  <c r="L67" i="136"/>
  <c r="J72" i="136"/>
  <c r="K83" i="136"/>
  <c r="B192" i="136"/>
  <c r="B81" i="136"/>
  <c r="G55" i="136"/>
  <c r="H87" i="136"/>
  <c r="M145" i="136"/>
  <c r="D181" i="136"/>
  <c r="K63" i="136"/>
  <c r="J157" i="136"/>
  <c r="L147" i="136"/>
  <c r="D84" i="136"/>
  <c r="J137" i="136"/>
  <c r="G94" i="136"/>
  <c r="G131" i="136"/>
  <c r="D54" i="136"/>
  <c r="J161" i="136"/>
  <c r="K228" i="136"/>
  <c r="D62" i="136"/>
  <c r="M142" i="136"/>
  <c r="G238" i="136"/>
  <c r="G76" i="136"/>
  <c r="M107" i="136"/>
  <c r="B76" i="136"/>
  <c r="I125" i="136"/>
  <c r="J105" i="136"/>
  <c r="C72" i="136"/>
  <c r="I160" i="136"/>
  <c r="D164" i="136"/>
  <c r="J221" i="136"/>
  <c r="G68" i="136"/>
  <c r="M123" i="136"/>
  <c r="G92" i="136"/>
  <c r="L108" i="136"/>
  <c r="L182" i="136"/>
  <c r="L120" i="136"/>
  <c r="G250" i="136"/>
  <c r="F207" i="136"/>
  <c r="G135" i="136"/>
  <c r="C140" i="136"/>
  <c r="C156" i="136"/>
  <c r="I63" i="136"/>
  <c r="I79" i="136"/>
  <c r="D96" i="136"/>
  <c r="K65" i="136"/>
  <c r="D74" i="136"/>
  <c r="M143" i="136"/>
  <c r="K244" i="136"/>
  <c r="B232" i="136"/>
  <c r="I179" i="136"/>
  <c r="J257" i="136"/>
  <c r="K203" i="136"/>
  <c r="C148" i="136"/>
  <c r="B150" i="136"/>
  <c r="C213" i="136"/>
  <c r="H93" i="136"/>
  <c r="B106" i="136"/>
  <c r="C104" i="136"/>
  <c r="K116" i="136"/>
  <c r="L130" i="136"/>
  <c r="I85" i="136"/>
  <c r="M56" i="136"/>
  <c r="B158" i="136"/>
  <c r="G126" i="136"/>
  <c r="G176" i="136"/>
  <c r="M187" i="136"/>
  <c r="I169" i="136"/>
  <c r="J66" i="136"/>
  <c r="C66" i="136"/>
  <c r="B57" i="136"/>
  <c r="B115" i="136"/>
  <c r="D237" i="136"/>
  <c r="B234" i="136"/>
  <c r="F239" i="136"/>
  <c r="H132" i="136"/>
  <c r="K69" i="136"/>
  <c r="J84" i="136"/>
  <c r="D58" i="136"/>
  <c r="C58" i="136"/>
  <c r="H202" i="136"/>
  <c r="F108" i="136"/>
  <c r="C127" i="136"/>
  <c r="M91" i="136"/>
  <c r="I73" i="136"/>
  <c r="C78" i="136"/>
  <c r="G54" i="136"/>
  <c r="I109" i="136"/>
  <c r="K194" i="136"/>
  <c r="D243" i="136"/>
  <c r="M177" i="136"/>
  <c r="M116" i="136"/>
  <c r="H77" i="136"/>
  <c r="I127" i="136"/>
  <c r="H65" i="136"/>
  <c r="I121" i="136"/>
  <c r="M82" i="136"/>
  <c r="H91" i="136"/>
  <c r="H145" i="136"/>
  <c r="D55" i="136"/>
  <c r="D122" i="136"/>
  <c r="J81" i="136"/>
  <c r="C88" i="136"/>
  <c r="I105" i="136"/>
  <c r="G80" i="136"/>
  <c r="J112" i="136"/>
  <c r="B116" i="136"/>
  <c r="I148" i="136"/>
  <c r="M181" i="136"/>
  <c r="H161" i="136"/>
  <c r="G100" i="136"/>
  <c r="M100" i="136"/>
  <c r="M65" i="136"/>
  <c r="D90" i="136"/>
  <c r="H119" i="136"/>
  <c r="B77" i="136"/>
  <c r="B71" i="136"/>
  <c r="J129" i="136"/>
  <c r="J174" i="136"/>
  <c r="L164" i="136"/>
  <c r="K134" i="136"/>
  <c r="L150" i="136"/>
  <c r="D165" i="136"/>
  <c r="F199" i="136"/>
  <c r="H115" i="136"/>
  <c r="G113" i="136"/>
  <c r="K99" i="136"/>
  <c r="G144" i="136"/>
  <c r="D136" i="136"/>
  <c r="J233" i="136"/>
  <c r="L140" i="136"/>
  <c r="M71" i="136"/>
  <c r="F57" i="136"/>
  <c r="K80" i="136"/>
  <c r="D120" i="136"/>
  <c r="I170" i="136"/>
  <c r="I226" i="136"/>
  <c r="M67" i="136"/>
  <c r="J98" i="136"/>
  <c r="I209" i="136"/>
  <c r="J197" i="136"/>
  <c r="D97" i="136"/>
  <c r="D71" i="136"/>
  <c r="J145" i="136"/>
  <c r="J57" i="136"/>
  <c r="J89" i="136"/>
  <c r="C90" i="136"/>
  <c r="D100" i="136"/>
  <c r="I117" i="136"/>
  <c r="G129" i="136"/>
  <c r="I60" i="136"/>
  <c r="J118" i="136"/>
  <c r="L180" i="136"/>
  <c r="G223" i="136"/>
  <c r="H137" i="136"/>
  <c r="B174" i="136"/>
  <c r="K115" i="136"/>
  <c r="H83" i="136"/>
  <c r="G239" i="136"/>
  <c r="C189" i="136"/>
  <c r="H63" i="136"/>
  <c r="F202" i="136"/>
  <c r="F165" i="136"/>
  <c r="C82" i="136"/>
  <c r="H198" i="136"/>
  <c r="M198" i="136"/>
  <c r="D112" i="136"/>
  <c r="K245" i="136"/>
  <c r="F92" i="136"/>
  <c r="L112" i="136"/>
  <c r="H56" i="136"/>
  <c r="C132" i="136"/>
  <c r="F62" i="136"/>
  <c r="I216" i="136"/>
  <c r="K185" i="136"/>
  <c r="D128" i="136"/>
  <c r="K118" i="136"/>
  <c r="C111" i="136"/>
  <c r="D124" i="136"/>
  <c r="K133" i="136"/>
  <c r="M175" i="136"/>
  <c r="D88" i="136"/>
  <c r="K212" i="136"/>
  <c r="D236" i="136"/>
  <c r="H227" i="136"/>
  <c r="D108" i="136"/>
  <c r="D138" i="136"/>
  <c r="L61" i="136"/>
  <c r="G222" i="136"/>
  <c r="J213" i="136"/>
  <c r="G87" i="136"/>
  <c r="H107" i="136"/>
  <c r="D72" i="136"/>
  <c r="J102" i="136"/>
  <c r="F124" i="136"/>
  <c r="C95" i="136"/>
  <c r="I134" i="136"/>
  <c r="M86" i="136"/>
  <c r="L132" i="136"/>
  <c r="F76" i="136"/>
  <c r="J104" i="136"/>
  <c r="D79" i="62"/>
  <c r="D69" i="62"/>
  <c r="B55" i="62"/>
  <c r="D66" i="62"/>
  <c r="D10" i="62"/>
  <c r="D75" i="62"/>
  <c r="D11" i="62"/>
  <c r="D78" i="62"/>
  <c r="D76" i="62"/>
  <c r="D65" i="62"/>
  <c r="H75" i="62"/>
  <c r="D64" i="62"/>
  <c r="D63" i="62"/>
  <c r="D12" i="62"/>
  <c r="N263" i="137"/>
  <c r="W363" i="137"/>
  <c r="J388" i="137"/>
  <c r="X389" i="137"/>
  <c r="T410" i="137"/>
  <c r="Q335" i="137"/>
  <c r="L160" i="137"/>
  <c r="P286" i="137"/>
  <c r="W241" i="137"/>
  <c r="L89" i="137"/>
  <c r="E361" i="137"/>
  <c r="F243" i="137"/>
  <c r="N172" i="137"/>
  <c r="Q111" i="137"/>
  <c r="I104" i="137"/>
  <c r="O144" i="137"/>
  <c r="R402" i="137"/>
  <c r="L124" i="137"/>
  <c r="X146" i="137"/>
  <c r="L136" i="137"/>
  <c r="K244" i="137"/>
  <c r="L298" i="137"/>
  <c r="F363" i="137"/>
  <c r="E132" i="137"/>
  <c r="H375" i="137"/>
  <c r="X326" i="137"/>
  <c r="J111" i="137"/>
  <c r="U207" i="137"/>
  <c r="C248" i="137"/>
  <c r="E377" i="137"/>
  <c r="U363" i="137"/>
  <c r="C374" i="137"/>
  <c r="O419" i="137"/>
</calcChain>
</file>

<file path=xl/sharedStrings.xml><?xml version="1.0" encoding="utf-8"?>
<sst xmlns="http://schemas.openxmlformats.org/spreadsheetml/2006/main" count="7654" uniqueCount="367">
  <si>
    <t>FICHA DE CADASTRO DE BEM ARQUEOLÓGICO MÓVEL</t>
  </si>
  <si>
    <t>1.2 Nº do processo:</t>
  </si>
  <si>
    <t>3. Categoria</t>
  </si>
  <si>
    <t>9. Integridade</t>
  </si>
  <si>
    <t xml:space="preserve">10. Estado de conservação (condições físicas, grau de deterioração e a necessidade de intervenção):
</t>
  </si>
  <si>
    <t>11. Intervenções sofridas:</t>
  </si>
  <si>
    <t>12. Recomendações de conservação:</t>
  </si>
  <si>
    <t>13. Invólucro/acondicionamento</t>
  </si>
  <si>
    <t>Cerâmica</t>
  </si>
  <si>
    <t>Faiança</t>
  </si>
  <si>
    <t>Porcelana</t>
  </si>
  <si>
    <t>Vidro</t>
  </si>
  <si>
    <t>Modelado</t>
  </si>
  <si>
    <t>4. Subcategoria (s)</t>
  </si>
  <si>
    <t>5. Material</t>
  </si>
  <si>
    <t>6. Cor (es)</t>
  </si>
  <si>
    <t>7. Técnica (s) de Produção:</t>
  </si>
  <si>
    <t>Lítico</t>
  </si>
  <si>
    <t>14. Armazenamento</t>
  </si>
  <si>
    <t>Caixa de Papelão</t>
  </si>
  <si>
    <t>Caixa de Papelão com pH neutro</t>
  </si>
  <si>
    <t>Caixa de polipropileno colorida (polionda)</t>
  </si>
  <si>
    <t>Caixa de polipropileno s/ coloração (polionda)</t>
  </si>
  <si>
    <t>Não possui</t>
  </si>
  <si>
    <t>1.4 Instituição:</t>
  </si>
  <si>
    <t>Construção/arquitetônico</t>
  </si>
  <si>
    <t>Objetos cerimoniais</t>
  </si>
  <si>
    <t>2.2. Denominação</t>
  </si>
  <si>
    <t>2.3 Descrição</t>
  </si>
  <si>
    <t>Objetos Pessoais</t>
  </si>
  <si>
    <t>Embalagens/ Recipientes</t>
  </si>
  <si>
    <t>Borracha</t>
  </si>
  <si>
    <t>Carvão</t>
  </si>
  <si>
    <t>Fóssil</t>
  </si>
  <si>
    <t>Madeira</t>
  </si>
  <si>
    <t>Malacológico</t>
  </si>
  <si>
    <t>Couro</t>
  </si>
  <si>
    <t>Papel</t>
  </si>
  <si>
    <t>Sedimento</t>
  </si>
  <si>
    <t>Plástico</t>
  </si>
  <si>
    <t>Metal</t>
  </si>
  <si>
    <t>Flora</t>
  </si>
  <si>
    <t>Fauna</t>
  </si>
  <si>
    <t>Indeterminado</t>
  </si>
  <si>
    <t>Têxtil</t>
  </si>
  <si>
    <t>Perfurado</t>
  </si>
  <si>
    <t xml:space="preserve">8. Decoração </t>
  </si>
  <si>
    <t>Pintado</t>
  </si>
  <si>
    <t>19. Fotografias coloridas e com escala:</t>
  </si>
  <si>
    <t>Osso</t>
  </si>
  <si>
    <t>20. Observações Gerais:</t>
  </si>
  <si>
    <t>2.1. Número de Registros</t>
  </si>
  <si>
    <t>15. Inscrições e Marcas de Uso:</t>
  </si>
  <si>
    <t>18. Peso:</t>
  </si>
  <si>
    <t xml:space="preserve">16. Filiação Cultural: </t>
  </si>
  <si>
    <t>17. Medidas :</t>
  </si>
  <si>
    <t>Acervo Geral</t>
  </si>
  <si>
    <t>Coleção de Referência</t>
  </si>
  <si>
    <t>3.Categoria</t>
  </si>
  <si>
    <t>Outros:</t>
  </si>
  <si>
    <t>Comentários Adicionais</t>
  </si>
  <si>
    <t>Cerâmica Histórica</t>
  </si>
  <si>
    <t>Cerâmica Pré-Colonial</t>
  </si>
  <si>
    <t>Lítico Pré-Colonial</t>
  </si>
  <si>
    <t>Lítico Histórico</t>
  </si>
  <si>
    <t>Vidro Plano</t>
  </si>
  <si>
    <t>Metal construtivo</t>
  </si>
  <si>
    <t>Pedras construtivas</t>
  </si>
  <si>
    <t>2. Dados gerais</t>
  </si>
  <si>
    <t>Amostras/fragmentos</t>
  </si>
  <si>
    <t>Alimentação</t>
  </si>
  <si>
    <t>Medicinal</t>
  </si>
  <si>
    <t>Pintura</t>
  </si>
  <si>
    <t>Escultura</t>
  </si>
  <si>
    <t>SIGLA</t>
  </si>
  <si>
    <t>30.Caixa:</t>
  </si>
  <si>
    <t>32.Responsável pelo preenchimento:</t>
  </si>
  <si>
    <t>28.Tipo de Acervo</t>
  </si>
  <si>
    <t>33.Data de Preenchimento</t>
  </si>
  <si>
    <t>Descrição de caixa</t>
  </si>
  <si>
    <t>Outros caixa:</t>
  </si>
  <si>
    <t>Faiança Fina</t>
  </si>
  <si>
    <t>Cerâmica Vidrada</t>
  </si>
  <si>
    <t>4. Subcategoria</t>
  </si>
  <si>
    <t>6. Cor</t>
  </si>
  <si>
    <t>7. Técnica(s) de produção</t>
  </si>
  <si>
    <t>8. Decoração</t>
  </si>
  <si>
    <t>10. Estado de conservação</t>
  </si>
  <si>
    <t>11. Intervenções sofridas</t>
  </si>
  <si>
    <t>13. Invólucro/Acondicionamento</t>
  </si>
  <si>
    <t>28. Tipo de Acervo</t>
  </si>
  <si>
    <t>Sub-Categoria</t>
  </si>
  <si>
    <t>5.1. Subcategoria</t>
  </si>
  <si>
    <t>Categoria</t>
  </si>
  <si>
    <t>Descrição (outros):</t>
  </si>
  <si>
    <t>1.5 Endereço da instituição:</t>
  </si>
  <si>
    <t>1.3 Endereço (do bem):</t>
  </si>
  <si>
    <t>22. Projeto</t>
  </si>
  <si>
    <t>29. Universo de ação e uso:</t>
  </si>
  <si>
    <t>1. Procedência e Localização Atual</t>
  </si>
  <si>
    <t>1.1. Bem arqueológico ("Sítio na Ficha IPHAN)</t>
  </si>
  <si>
    <t>1.2. Nº do processo:</t>
  </si>
  <si>
    <t>1.3. Endereço (do bem):</t>
  </si>
  <si>
    <t>1.4. Instituição:</t>
  </si>
  <si>
    <t>1.5. Endereço:</t>
  </si>
  <si>
    <t xml:space="preserve">2.1. Número de Registros </t>
  </si>
  <si>
    <t>2.3. Descrição (consultar quadro de referência)</t>
  </si>
  <si>
    <t>Zooarqueológico</t>
  </si>
  <si>
    <t>Plástico bolha</t>
  </si>
  <si>
    <t>Caixa de papelão livre de ácido ou ph neutro</t>
  </si>
  <si>
    <t>17. Medidas:</t>
  </si>
  <si>
    <t>21. Número da Ficha (Lote):</t>
  </si>
  <si>
    <t>22. Projeto:</t>
  </si>
  <si>
    <t>23. Município onde está localizado o bem arqueológico:</t>
  </si>
  <si>
    <t>24. Coordernadas UTM (do bem):</t>
  </si>
  <si>
    <t>25. Proveniência (as):</t>
  </si>
  <si>
    <t>26.  Nível:</t>
  </si>
  <si>
    <t>27. Coordernadas UTM (da coleta/intervenção):</t>
  </si>
  <si>
    <t>28. Tipo de Acervo:</t>
  </si>
  <si>
    <t>30. Número de caixa:</t>
  </si>
  <si>
    <t>31. Responsável pelo preenchimento:</t>
  </si>
  <si>
    <t>32. Data:</t>
  </si>
  <si>
    <t>1.1 Bem Arqueológico:</t>
  </si>
  <si>
    <t>24. Coordenada (do bem)</t>
  </si>
  <si>
    <t>Higiene pessoal, saúde e cuidados corporais</t>
  </si>
  <si>
    <t>Utilidades domésticas, manutenção da casa e trabalho</t>
  </si>
  <si>
    <t>Lúdico/Lazer</t>
  </si>
  <si>
    <t>Vestuário e adornos</t>
  </si>
  <si>
    <t>Escritório/Papelaria</t>
  </si>
  <si>
    <t>Armamentos/Munição</t>
  </si>
  <si>
    <t>Numismática</t>
  </si>
  <si>
    <t>Amostras/Fragmentos</t>
  </si>
  <si>
    <t>D</t>
  </si>
  <si>
    <t>ND</t>
  </si>
  <si>
    <t>Total</t>
  </si>
  <si>
    <t>Material 2</t>
  </si>
  <si>
    <t>Material 1</t>
  </si>
  <si>
    <t>Material 3</t>
  </si>
  <si>
    <t>Material 4</t>
  </si>
  <si>
    <t>Técnica 1</t>
  </si>
  <si>
    <t>Técnica 2</t>
  </si>
  <si>
    <t>Técnica 3</t>
  </si>
  <si>
    <t>Técnica 4</t>
  </si>
  <si>
    <t>Técnica 5</t>
  </si>
  <si>
    <t>Técnica 6</t>
  </si>
  <si>
    <t>Cor 1</t>
  </si>
  <si>
    <t>Cor 2</t>
  </si>
  <si>
    <t>Decoração 1</t>
  </si>
  <si>
    <t>Decoração 2</t>
  </si>
  <si>
    <t>Decoração 3</t>
  </si>
  <si>
    <t>Decoração 4</t>
  </si>
  <si>
    <t>Decoração 5</t>
  </si>
  <si>
    <t>Decoração 6</t>
  </si>
  <si>
    <t>Decoração 7</t>
  </si>
  <si>
    <t>Decoração 8</t>
  </si>
  <si>
    <t>Decoração 9</t>
  </si>
  <si>
    <t>Decoração 10</t>
  </si>
  <si>
    <t>Decoração 11</t>
  </si>
  <si>
    <t>Decoração 12</t>
  </si>
  <si>
    <t>Decoração 13</t>
  </si>
  <si>
    <t>Decoração 14</t>
  </si>
  <si>
    <t>Decoração 15</t>
  </si>
  <si>
    <t>Decoração 16</t>
  </si>
  <si>
    <t>Estado 1</t>
  </si>
  <si>
    <t>Estado 2</t>
  </si>
  <si>
    <t>Estado 3</t>
  </si>
  <si>
    <t>Estado 4</t>
  </si>
  <si>
    <t>Intervenções 1</t>
  </si>
  <si>
    <t>Intervenções 2</t>
  </si>
  <si>
    <t>Intervenções 3</t>
  </si>
  <si>
    <t>Acondicionamento 1</t>
  </si>
  <si>
    <t>Acondicionamento 2</t>
  </si>
  <si>
    <t>Acondicionamento 3</t>
  </si>
  <si>
    <t>Armazenamento 1</t>
  </si>
  <si>
    <t>Armazenamento 2</t>
  </si>
  <si>
    <t>Artefato</t>
  </si>
  <si>
    <t>Ecofato</t>
  </si>
  <si>
    <t>Estrutura/feição</t>
  </si>
  <si>
    <t>Bioarqueológico</t>
  </si>
  <si>
    <t>Sedimento/solo</t>
  </si>
  <si>
    <t>Arqueobotânico</t>
  </si>
  <si>
    <t>Insígnias</t>
  </si>
  <si>
    <t>Transporte</t>
  </si>
  <si>
    <t>Castigo/penitência</t>
  </si>
  <si>
    <t>Embalagens/Recipientes</t>
  </si>
  <si>
    <t>Medição/registro/observação/processamento</t>
  </si>
  <si>
    <t>16. Filiação Cultural</t>
  </si>
  <si>
    <t>Histórico</t>
  </si>
  <si>
    <t>Pré-Colonial</t>
  </si>
  <si>
    <t>Multicomponencial</t>
  </si>
  <si>
    <t>21.Ficha/Lote Nº:</t>
  </si>
  <si>
    <t>Policromático</t>
  </si>
  <si>
    <t>Monocromático</t>
  </si>
  <si>
    <t>Lascado</t>
  </si>
  <si>
    <t>Picoteado</t>
  </si>
  <si>
    <t>Polido</t>
  </si>
  <si>
    <t>Roletado</t>
  </si>
  <si>
    <t>Torneado</t>
  </si>
  <si>
    <t>Moldado</t>
  </si>
  <si>
    <t>Taxidermizado</t>
  </si>
  <si>
    <t>Tecido</t>
  </si>
  <si>
    <t>Assoprado</t>
  </si>
  <si>
    <t>Fundido</t>
  </si>
  <si>
    <t>Forjado</t>
  </si>
  <si>
    <t>Alisado</t>
  </si>
  <si>
    <t>Brunido</t>
  </si>
  <si>
    <t>Corrugado</t>
  </si>
  <si>
    <t>Escovado</t>
  </si>
  <si>
    <t>Ungulado</t>
  </si>
  <si>
    <t>Incisão</t>
  </si>
  <si>
    <t>Impressão</t>
  </si>
  <si>
    <t>Plástica</t>
  </si>
  <si>
    <t>Punção</t>
  </si>
  <si>
    <t>Aplique</t>
  </si>
  <si>
    <t>Engobe</t>
  </si>
  <si>
    <t>Estêncil</t>
  </si>
  <si>
    <t>Entalhe</t>
  </si>
  <si>
    <t>Não se aplica</t>
  </si>
  <si>
    <t>Íntegro</t>
  </si>
  <si>
    <t>Fragmentado</t>
  </si>
  <si>
    <t>Reconstituído</t>
  </si>
  <si>
    <t>Dessalinização</t>
  </si>
  <si>
    <t>Estabilização</t>
  </si>
  <si>
    <t>Remoção</t>
  </si>
  <si>
    <t>Colagem/refixação</t>
  </si>
  <si>
    <t>Consolidação</t>
  </si>
  <si>
    <t>Restauração/reconstituição</t>
  </si>
  <si>
    <t>Bom (sem deterioração)</t>
  </si>
  <si>
    <t>Regular (não compromete o todo. Ex.: fissuras, esmaecimento, afloramento de sais, esfarelamento etc.</t>
  </si>
  <si>
    <t>Ruim (compromete o todo. Ex.: quebradiço, com manchas, alto grau de corrosão)</t>
  </si>
  <si>
    <t>Péssimo (perdas irreversíveis)</t>
  </si>
  <si>
    <t>Higienização a seco</t>
  </si>
  <si>
    <t>Higienização com água</t>
  </si>
  <si>
    <t>Saco Plástico (Polietileno ou poliéster)</t>
  </si>
  <si>
    <t>Tecido não tecido de polipropileno (TNT)</t>
  </si>
  <si>
    <t>Não tecido de polietileno de alta densidade (Tyvek)</t>
  </si>
  <si>
    <t>Papel livre de ácido ou ph neutro</t>
  </si>
  <si>
    <t>Espuma de polietileno</t>
  </si>
  <si>
    <t>Manta acrílica</t>
  </si>
  <si>
    <t>23. Município</t>
  </si>
  <si>
    <t>Plástico Bolha</t>
  </si>
  <si>
    <t>INSTRUÇÕES:</t>
  </si>
  <si>
    <t>1.</t>
  </si>
  <si>
    <t>Esta planilha foi automatizada para gerar todas as fichas dos bens de uma vez.</t>
  </si>
  <si>
    <t>Para que ela funcione corretamente, por favor, leia as instruções abaixo:</t>
  </si>
  <si>
    <t>Preencha o cabeçalho que está nesta aba;</t>
  </si>
  <si>
    <t>2.</t>
  </si>
  <si>
    <t>Preencha a aba "Preenchimento" normalmente, conforme os procedimentos do laboratório;</t>
  </si>
  <si>
    <t>3.</t>
  </si>
  <si>
    <t>Se precisar incluir mais linhas na tabela de preenchimento, apenas copie e cole a última linha formatada e cole na linha abaixo;</t>
  </si>
  <si>
    <t>4.</t>
  </si>
  <si>
    <t>5.</t>
  </si>
  <si>
    <t>6.</t>
  </si>
  <si>
    <t>7.</t>
  </si>
  <si>
    <t>8.</t>
  </si>
  <si>
    <t>9.</t>
  </si>
  <si>
    <t>Ao terminar de preencher todas as linhas da aba "Preenchimento", exclua as linhas que não foram preenchidas com dados;</t>
  </si>
  <si>
    <t>Tenha certeza de que TODOS os números de ficha estão preenchidos;</t>
  </si>
  <si>
    <t>Aperte o botão "Gerar Fichas" e AGUARDE. Esse processo pode demorar mesmo.</t>
  </si>
  <si>
    <t>Não faça:</t>
  </si>
  <si>
    <t>10.</t>
  </si>
  <si>
    <t>Por outro lado, você pode tranquilamente:</t>
  </si>
  <si>
    <t>11.</t>
  </si>
  <si>
    <t>12.</t>
  </si>
  <si>
    <t>13.</t>
  </si>
  <si>
    <t>14.</t>
  </si>
  <si>
    <t>15.</t>
  </si>
  <si>
    <t>Essa planilha está em versão Beta, e portanto não está devidamente travada . Por isso, tem algumas coisas que não podem ser feitas.</t>
  </si>
  <si>
    <t>Apertar o botão gerador de fichas duas vezes; Se precisar gerar novamente as fichas, exclua as que já foram geradas e aí sim pode apertar o botão;</t>
  </si>
  <si>
    <t>Alterar os nomes de qualquer uma das abas da planilha;</t>
  </si>
  <si>
    <t>Inserir ou deletar colunas;</t>
  </si>
  <si>
    <t>Inserir ou deletar linhas - a não ser que sejam as  linhas sem dados da tabela "preenchimento";</t>
  </si>
  <si>
    <t>Mexer de qualquer forma na aba "FICHA";</t>
  </si>
  <si>
    <t>Reexibir abas ocultas.</t>
  </si>
  <si>
    <t>Mudar o tamanho das linhas e das colunas das abas "preenchimento" e "Sítio";</t>
  </si>
  <si>
    <t>Mudar quantas vezes quiser os dados das abas "Sítio" e "Preenchimento";</t>
  </si>
  <si>
    <t>Falar comigo (Aurélia) sobre todo e qualquer problema que aparecer durante o uso da planilha!</t>
  </si>
  <si>
    <t>Habilite as execuções de macro no botão "Habilitar Conteúdo" ao abrir a planilha:</t>
  </si>
  <si>
    <t>16.</t>
  </si>
  <si>
    <t>17.</t>
  </si>
  <si>
    <t>Alterar a altura da linha onde entram as fotos nas fichas</t>
  </si>
  <si>
    <t>1.1. Bem arqueológico</t>
  </si>
  <si>
    <t>25. Proveniência</t>
  </si>
  <si>
    <t xml:space="preserve">27. Coordernadas UTM </t>
  </si>
  <si>
    <t>26.  Nível</t>
  </si>
  <si>
    <t>28. Tipo de Acervo: geral ou referência</t>
  </si>
  <si>
    <t>25.Proveniência (as):</t>
  </si>
  <si>
    <t>26.Nível</t>
  </si>
  <si>
    <t>21. Nº da Ficha (Lote):</t>
  </si>
  <si>
    <t>2.2. Denominação (Nºs individuais)</t>
  </si>
  <si>
    <t>29. Universo de ação e uso</t>
  </si>
  <si>
    <t>Universo de ação e uso:</t>
  </si>
  <si>
    <t>Indeterminada</t>
  </si>
  <si>
    <t>[23. Projeto:]</t>
  </si>
  <si>
    <t>Sítio:</t>
  </si>
  <si>
    <t>Proveniência:</t>
  </si>
  <si>
    <t>Nível:</t>
  </si>
  <si>
    <t>Data:</t>
  </si>
  <si>
    <t>Lote:</t>
  </si>
  <si>
    <t>Nº Individual:</t>
  </si>
  <si>
    <t>Matéria-prima:</t>
  </si>
  <si>
    <t xml:space="preserve">Obs.:                          </t>
  </si>
  <si>
    <t>1.1. Sítio:</t>
  </si>
  <si>
    <t>26. Proveniência:</t>
  </si>
  <si>
    <t>27. Nível:</t>
  </si>
  <si>
    <t>29. Lote:</t>
  </si>
  <si>
    <t>5. Matéria-prima:</t>
  </si>
  <si>
    <r>
      <t xml:space="preserve">27.Coordernadas
</t>
    </r>
    <r>
      <rPr>
        <b/>
        <sz val="7"/>
        <color theme="1"/>
        <rFont val="Arial"/>
        <family val="2"/>
      </rPr>
      <t>(da coleta)</t>
    </r>
  </si>
  <si>
    <r>
      <t xml:space="preserve">Data da Coleta
</t>
    </r>
    <r>
      <rPr>
        <b/>
        <sz val="7"/>
        <color theme="1"/>
        <rFont val="Arial"/>
        <family val="2"/>
      </rPr>
      <t>(da etiqueta)</t>
    </r>
  </si>
  <si>
    <r>
      <t xml:space="preserve">Observações
</t>
    </r>
    <r>
      <rPr>
        <b/>
        <sz val="7"/>
        <rFont val="Arial"/>
        <family val="2"/>
      </rPr>
      <t>(da etiqueta)</t>
    </r>
  </si>
  <si>
    <t>Col. Sup 4</t>
  </si>
  <si>
    <t>Superfície</t>
  </si>
  <si>
    <t>Quadra de coleta 7</t>
  </si>
  <si>
    <t>10</t>
  </si>
  <si>
    <t>Quadra de coleta 8</t>
  </si>
  <si>
    <t>11-15</t>
  </si>
  <si>
    <t>33</t>
  </si>
  <si>
    <t>16-40</t>
  </si>
  <si>
    <t>8 Frag menor de 3cm</t>
  </si>
  <si>
    <t>5</t>
  </si>
  <si>
    <t>41-45</t>
  </si>
  <si>
    <t>Faiança fina</t>
  </si>
  <si>
    <t>UUE 1</t>
  </si>
  <si>
    <t>3</t>
  </si>
  <si>
    <t>46-48</t>
  </si>
  <si>
    <t>49-51</t>
  </si>
  <si>
    <t>1</t>
  </si>
  <si>
    <t>UUE 2</t>
  </si>
  <si>
    <t>0-10cm</t>
  </si>
  <si>
    <t>30</t>
  </si>
  <si>
    <t>53-73</t>
  </si>
  <si>
    <t>9 Frag menor de 3cm</t>
  </si>
  <si>
    <t>3 Frag menor de 3cm</t>
  </si>
  <si>
    <t>Fa</t>
  </si>
  <si>
    <t xml:space="preserve"> -</t>
  </si>
  <si>
    <t>10-20cm</t>
  </si>
  <si>
    <t>75-78</t>
  </si>
  <si>
    <t>79-80</t>
  </si>
  <si>
    <t>2 Frag menor de 3cm</t>
  </si>
  <si>
    <t>20-30cm</t>
  </si>
  <si>
    <t>81-83</t>
  </si>
  <si>
    <t>7 Frag menor de 3cm</t>
  </si>
  <si>
    <t>30-40cm</t>
  </si>
  <si>
    <t>84-94</t>
  </si>
  <si>
    <t>95-100</t>
  </si>
  <si>
    <t>xxx</t>
  </si>
  <si>
    <t>yyy</t>
  </si>
  <si>
    <t>xx</t>
  </si>
  <si>
    <t>yy</t>
  </si>
  <si>
    <t>zz</t>
  </si>
  <si>
    <t>jjjj</t>
  </si>
  <si>
    <t>Projeto 01</t>
  </si>
  <si>
    <t>XXX</t>
  </si>
  <si>
    <t>xxxxxxx</t>
  </si>
  <si>
    <t>Técnico 1</t>
  </si>
  <si>
    <t>X</t>
  </si>
  <si>
    <t>Para gerar inventário:</t>
  </si>
  <si>
    <t>Apenas preencha o cabeçalho e as informações da aba 'Preenchimento", e clique no botão ao lado "Gerar Inventário"</t>
  </si>
  <si>
    <t>Para inserir fotos:</t>
  </si>
  <si>
    <t>Clique em inserir fotos, selecione a pasta onde as fotos estão, selecione as fotos.</t>
  </si>
  <si>
    <t>Para gerar etiquetas:</t>
  </si>
  <si>
    <t>Apenas clique em gerar etiquetas, após ter preenchido o cabeçalho e a aba "Preenchimento".</t>
  </si>
  <si>
    <t>18.</t>
  </si>
  <si>
    <t>19.</t>
  </si>
  <si>
    <t>20.</t>
  </si>
  <si>
    <t>21.</t>
  </si>
  <si>
    <t>Garanta que todas as fichas já foram geradas e que as fotos que você precisa inserir nas fichas estão na mesma pasta, e nomeadas por Lote: "Lote1", por exemplo, vai para a ficha 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</si>
</sst>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/mm/yy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Arial"/>
      <family val="2"/>
    </font>
    <font>
      <b/>
      <u/>
      <sz val="8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8"/>
      <color rgb="FF000000"/>
      <name val="Arial"/>
      <family val="2"/>
    </font>
    <font>
      <sz val="11"/>
      <color rgb="FF000000"/>
      <name val="Calibri"/>
      <family val="2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7"/>
      <color theme="1"/>
      <name val="Arial"/>
      <family val="2"/>
    </font>
    <font>
      <b/>
      <sz val="7"/>
      <name val="Arial"/>
      <family val="2"/>
    </font>
    <font>
      <u/>
      <sz val="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77947"/>
        <bgColor indexed="64"/>
      </patternFill>
    </fill>
    <fill>
      <patternFill patternType="solid">
        <fgColor rgb="FFE74C2D"/>
        <bgColor indexed="64"/>
      </patternFill>
    </fill>
    <fill>
      <patternFill patternType="solid">
        <fgColor rgb="FFEA643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49998474074526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5" fillId="0" borderId="0"/>
    <xf numFmtId="0" fontId="5" fillId="0" borderId="0"/>
    <xf numFmtId="0" fontId="8" fillId="0" borderId="0"/>
  </cellStyleXfs>
  <cellXfs count="278">
    <xf numFmtId="0" fontId="0" fillId="0" borderId="0" xfId="0"/>
    <xf numFmtId="0" fontId="5" fillId="3" borderId="0" xfId="0" applyFont="1" applyFill="1" applyAlignment="1">
      <alignment vertical="center" wrapText="1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6" fillId="3" borderId="0" xfId="0" applyFont="1" applyFill="1" applyAlignment="1">
      <alignment vertical="center" textRotation="90" wrapText="1"/>
    </xf>
    <xf numFmtId="0" fontId="5" fillId="0" borderId="5" xfId="0" applyFont="1" applyBorder="1" applyAlignment="1" applyProtection="1">
      <alignment horizontal="center" vertical="center" wrapText="1"/>
      <protection locked="0"/>
    </xf>
    <xf numFmtId="0" fontId="3" fillId="7" borderId="16" xfId="0" applyFont="1" applyFill="1" applyBorder="1" applyAlignment="1">
      <alignment vertical="center" wrapText="1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1" xfId="0" applyBorder="1"/>
    <xf numFmtId="0" fontId="9" fillId="7" borderId="3" xfId="0" applyFont="1" applyFill="1" applyBorder="1" applyAlignment="1">
      <alignment horizontal="center" vertical="center" wrapText="1"/>
    </xf>
    <xf numFmtId="0" fontId="5" fillId="0" borderId="0" xfId="0" applyFont="1"/>
    <xf numFmtId="0" fontId="6" fillId="2" borderId="13" xfId="0" applyFont="1" applyFill="1" applyBorder="1"/>
    <xf numFmtId="0" fontId="6" fillId="2" borderId="14" xfId="0" applyFont="1" applyFill="1" applyBorder="1"/>
    <xf numFmtId="0" fontId="6" fillId="2" borderId="15" xfId="0" applyFont="1" applyFill="1" applyBorder="1"/>
    <xf numFmtId="0" fontId="6" fillId="10" borderId="13" xfId="0" applyFont="1" applyFill="1" applyBorder="1"/>
    <xf numFmtId="0" fontId="6" fillId="10" borderId="15" xfId="0" applyFont="1" applyFill="1" applyBorder="1"/>
    <xf numFmtId="0" fontId="6" fillId="10" borderId="13" xfId="0" applyFont="1" applyFill="1" applyBorder="1" applyAlignment="1">
      <alignment vertical="center"/>
    </xf>
    <xf numFmtId="0" fontId="6" fillId="10" borderId="15" xfId="0" applyFont="1" applyFill="1" applyBorder="1" applyAlignment="1">
      <alignment vertical="center"/>
    </xf>
    <xf numFmtId="0" fontId="6" fillId="10" borderId="3" xfId="0" applyFont="1" applyFill="1" applyBorder="1"/>
    <xf numFmtId="0" fontId="6" fillId="10" borderId="1" xfId="0" applyFont="1" applyFill="1" applyBorder="1"/>
    <xf numFmtId="0" fontId="9" fillId="10" borderId="13" xfId="0" applyFont="1" applyFill="1" applyBorder="1" applyAlignment="1">
      <alignment vertical="center"/>
    </xf>
    <xf numFmtId="0" fontId="9" fillId="10" borderId="15" xfId="0" applyFont="1" applyFill="1" applyBorder="1"/>
    <xf numFmtId="0" fontId="4" fillId="0" borderId="14" xfId="0" applyFont="1" applyBorder="1" applyAlignment="1">
      <alignment horizontal="left" vertical="center"/>
    </xf>
    <xf numFmtId="0" fontId="4" fillId="0" borderId="14" xfId="0" applyFont="1" applyBorder="1" applyAlignment="1">
      <alignment vertical="center"/>
    </xf>
    <xf numFmtId="0" fontId="4" fillId="0" borderId="15" xfId="0" applyFont="1" applyBorder="1"/>
    <xf numFmtId="0" fontId="9" fillId="10" borderId="13" xfId="0" applyFont="1" applyFill="1" applyBorder="1"/>
    <xf numFmtId="0" fontId="5" fillId="0" borderId="5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8" xfId="0" applyFont="1" applyBorder="1"/>
    <xf numFmtId="0" fontId="5" fillId="0" borderId="1" xfId="0" applyFont="1" applyBorder="1" applyAlignment="1">
      <alignment horizontal="center" vertical="center"/>
    </xf>
    <xf numFmtId="49" fontId="5" fillId="0" borderId="0" xfId="0" applyNumberFormat="1" applyFont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3" xfId="0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49" fontId="5" fillId="0" borderId="5" xfId="0" applyNumberFormat="1" applyFont="1" applyBorder="1"/>
    <xf numFmtId="49" fontId="5" fillId="0" borderId="5" xfId="0" applyNumberFormat="1" applyFont="1" applyBorder="1" applyAlignment="1">
      <alignment horizontal="center"/>
    </xf>
    <xf numFmtId="49" fontId="5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0" fontId="5" fillId="0" borderId="1" xfId="0" applyFont="1" applyBorder="1" applyAlignment="1">
      <alignment horizontal="center"/>
    </xf>
    <xf numFmtId="49" fontId="5" fillId="0" borderId="9" xfId="0" applyNumberFormat="1" applyFont="1" applyBorder="1" applyAlignment="1">
      <alignment vertical="center"/>
    </xf>
    <xf numFmtId="49" fontId="5" fillId="0" borderId="3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left" vertical="center"/>
    </xf>
    <xf numFmtId="0" fontId="4" fillId="0" borderId="8" xfId="0" applyFont="1" applyBorder="1" applyAlignment="1">
      <alignment vertical="center"/>
    </xf>
    <xf numFmtId="0" fontId="4" fillId="0" borderId="9" xfId="0" applyFont="1" applyBorder="1" applyAlignment="1">
      <alignment vertical="center"/>
    </xf>
    <xf numFmtId="49" fontId="4" fillId="0" borderId="9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0" fontId="5" fillId="0" borderId="12" xfId="0" applyFont="1" applyBorder="1" applyAlignment="1">
      <alignment horizontal="left" vertical="center"/>
    </xf>
    <xf numFmtId="0" fontId="6" fillId="2" borderId="14" xfId="0" applyFont="1" applyFill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49" fontId="5" fillId="0" borderId="4" xfId="0" applyNumberFormat="1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5" fillId="0" borderId="14" xfId="0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left" vertical="center"/>
    </xf>
    <xf numFmtId="0" fontId="6" fillId="2" borderId="11" xfId="0" applyFont="1" applyFill="1" applyBorder="1"/>
    <xf numFmtId="0" fontId="5" fillId="0" borderId="6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49" fontId="5" fillId="0" borderId="14" xfId="0" applyNumberFormat="1" applyFont="1" applyBorder="1" applyAlignment="1">
      <alignment horizontal="center" vertical="center"/>
    </xf>
    <xf numFmtId="0" fontId="5" fillId="0" borderId="2" xfId="0" applyFont="1" applyBorder="1"/>
    <xf numFmtId="0" fontId="5" fillId="0" borderId="1" xfId="0" applyFont="1" applyBorder="1"/>
    <xf numFmtId="49" fontId="5" fillId="0" borderId="3" xfId="0" applyNumberFormat="1" applyFont="1" applyBorder="1" applyAlignment="1">
      <alignment vertical="center"/>
    </xf>
    <xf numFmtId="49" fontId="5" fillId="0" borderId="6" xfId="0" applyNumberFormat="1" applyFont="1" applyBorder="1" applyAlignment="1">
      <alignment vertical="center"/>
    </xf>
    <xf numFmtId="0" fontId="6" fillId="2" borderId="10" xfId="0" applyFont="1" applyFill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/>
    </xf>
    <xf numFmtId="0" fontId="6" fillId="2" borderId="15" xfId="0" applyFont="1" applyFill="1" applyBorder="1" applyAlignment="1">
      <alignment horizontal="left" vertical="center"/>
    </xf>
    <xf numFmtId="49" fontId="5" fillId="0" borderId="3" xfId="0" applyNumberFormat="1" applyFont="1" applyBorder="1"/>
    <xf numFmtId="0" fontId="5" fillId="0" borderId="6" xfId="0" applyFont="1" applyBorder="1" applyAlignment="1">
      <alignment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 applyProtection="1">
      <alignment horizontal="center" vertical="center"/>
      <protection locked="0"/>
    </xf>
    <xf numFmtId="0" fontId="6" fillId="2" borderId="7" xfId="0" applyFont="1" applyFill="1" applyBorder="1"/>
    <xf numFmtId="0" fontId="6" fillId="2" borderId="8" xfId="0" applyFont="1" applyFill="1" applyBorder="1"/>
    <xf numFmtId="0" fontId="5" fillId="0" borderId="0" xfId="0" applyFont="1" applyProtection="1">
      <protection locked="0"/>
    </xf>
    <xf numFmtId="0" fontId="6" fillId="0" borderId="13" xfId="0" applyFont="1" applyBorder="1" applyProtection="1">
      <protection locked="0"/>
    </xf>
    <xf numFmtId="0" fontId="6" fillId="0" borderId="14" xfId="0" applyFont="1" applyBorder="1" applyProtection="1">
      <protection locked="0"/>
    </xf>
    <xf numFmtId="0" fontId="6" fillId="0" borderId="15" xfId="0" applyFont="1" applyBorder="1" applyProtection="1">
      <protection locked="0"/>
    </xf>
    <xf numFmtId="0" fontId="6" fillId="2" borderId="13" xfId="0" applyFont="1" applyFill="1" applyBorder="1" applyAlignment="1">
      <alignment vertical="center"/>
    </xf>
    <xf numFmtId="0" fontId="6" fillId="2" borderId="15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0" borderId="13" xfId="0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left"/>
    </xf>
    <xf numFmtId="0" fontId="5" fillId="0" borderId="14" xfId="0" applyFont="1" applyBorder="1" applyAlignment="1">
      <alignment horizontal="left"/>
    </xf>
    <xf numFmtId="0" fontId="5" fillId="0" borderId="15" xfId="0" applyFont="1" applyBorder="1" applyAlignment="1">
      <alignment horizontal="left"/>
    </xf>
    <xf numFmtId="0" fontId="5" fillId="2" borderId="3" xfId="0" applyFont="1" applyFill="1" applyBorder="1" applyAlignment="1">
      <alignment vertical="center"/>
    </xf>
    <xf numFmtId="0" fontId="5" fillId="2" borderId="13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/>
    </xf>
    <xf numFmtId="0" fontId="5" fillId="2" borderId="15" xfId="0" applyFont="1" applyFill="1" applyBorder="1"/>
    <xf numFmtId="0" fontId="7" fillId="0" borderId="0" xfId="0" applyFont="1"/>
    <xf numFmtId="0" fontId="7" fillId="0" borderId="1" xfId="0" applyFont="1" applyBorder="1"/>
    <xf numFmtId="0" fontId="2" fillId="0" borderId="0" xfId="0" applyFont="1" applyAlignment="1">
      <alignment wrapText="1"/>
    </xf>
    <xf numFmtId="0" fontId="4" fillId="3" borderId="5" xfId="0" applyFont="1" applyFill="1" applyBorder="1" applyAlignment="1">
      <alignment horizontal="center" vertical="center" wrapText="1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0" fontId="4" fillId="0" borderId="12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>
      <alignment horizontal="center" vertical="center" wrapText="1"/>
    </xf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>
      <alignment horizontal="center" vertical="center" wrapText="1"/>
    </xf>
    <xf numFmtId="164" fontId="4" fillId="0" borderId="1" xfId="0" applyNumberFormat="1" applyFont="1" applyBorder="1" applyAlignment="1" applyProtection="1">
      <alignment horizontal="center" vertical="center" wrapText="1"/>
      <protection locked="0"/>
    </xf>
    <xf numFmtId="164" fontId="4" fillId="0" borderId="5" xfId="0" applyNumberFormat="1" applyFont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7" fillId="11" borderId="0" xfId="0" applyFont="1" applyFill="1"/>
    <xf numFmtId="0" fontId="10" fillId="0" borderId="0" xfId="0" applyFont="1"/>
    <xf numFmtId="0" fontId="7" fillId="0" borderId="0" xfId="0" applyFont="1" applyAlignment="1">
      <alignment horizontal="right"/>
    </xf>
    <xf numFmtId="0" fontId="11" fillId="0" borderId="0" xfId="0" applyFont="1"/>
    <xf numFmtId="0" fontId="12" fillId="0" borderId="1" xfId="0" applyFont="1" applyBorder="1" applyAlignment="1">
      <alignment horizontal="center" vertical="center"/>
    </xf>
    <xf numFmtId="49" fontId="4" fillId="0" borderId="15" xfId="0" applyNumberFormat="1" applyFont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wrapText="1"/>
    </xf>
    <xf numFmtId="0" fontId="14" fillId="0" borderId="0" xfId="0" applyFont="1" applyAlignment="1">
      <alignment vertical="center"/>
    </xf>
    <xf numFmtId="0" fontId="14" fillId="0" borderId="0" xfId="0" applyFont="1"/>
    <xf numFmtId="0" fontId="14" fillId="0" borderId="6" xfId="0" applyFont="1" applyBorder="1"/>
    <xf numFmtId="0" fontId="14" fillId="0" borderId="9" xfId="0" applyFont="1" applyBorder="1"/>
    <xf numFmtId="0" fontId="15" fillId="0" borderId="10" xfId="0" applyFont="1" applyBorder="1"/>
    <xf numFmtId="0" fontId="15" fillId="0" borderId="0" xfId="0" applyFont="1"/>
    <xf numFmtId="0" fontId="5" fillId="3" borderId="1" xfId="0" quotePrefix="1" applyFont="1" applyFill="1" applyBorder="1" applyAlignment="1" applyProtection="1">
      <alignment horizontal="center" vertical="center" wrapText="1"/>
      <protection locked="0"/>
    </xf>
    <xf numFmtId="0" fontId="14" fillId="0" borderId="10" xfId="0" applyFont="1" applyBorder="1"/>
    <xf numFmtId="16" fontId="5" fillId="0" borderId="5" xfId="0" applyNumberFormat="1" applyFont="1" applyBorder="1" applyAlignment="1" applyProtection="1">
      <alignment horizontal="center" vertical="center" wrapText="1"/>
      <protection locked="0"/>
    </xf>
    <xf numFmtId="165" fontId="14" fillId="0" borderId="0" xfId="0" applyNumberFormat="1" applyFont="1"/>
    <xf numFmtId="0" fontId="0" fillId="0" borderId="0" xfId="0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9" xfId="0" applyFont="1" applyBorder="1" applyAlignment="1">
      <alignment horizontal="left"/>
    </xf>
    <xf numFmtId="0" fontId="6" fillId="2" borderId="3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4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 vertical="center" wrapText="1"/>
    </xf>
    <xf numFmtId="0" fontId="9" fillId="8" borderId="4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center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7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top" wrapText="1"/>
    </xf>
    <xf numFmtId="0" fontId="2" fillId="5" borderId="14" xfId="0" applyFont="1" applyFill="1" applyBorder="1" applyAlignment="1">
      <alignment horizontal="center" vertical="top" wrapText="1"/>
    </xf>
    <xf numFmtId="0" fontId="2" fillId="5" borderId="15" xfId="0" applyFont="1" applyFill="1" applyBorder="1" applyAlignment="1">
      <alignment horizontal="center" vertical="top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7" borderId="16" xfId="0" applyFont="1" applyFill="1" applyBorder="1" applyAlignment="1">
      <alignment horizontal="center" vertical="center" wrapText="1"/>
    </xf>
    <xf numFmtId="0" fontId="2" fillId="9" borderId="3" xfId="0" applyFont="1" applyFill="1" applyBorder="1" applyAlignment="1">
      <alignment horizontal="center" vertical="center" wrapText="1"/>
    </xf>
    <xf numFmtId="0" fontId="2" fillId="9" borderId="4" xfId="0" applyFont="1" applyFill="1" applyBorder="1" applyAlignment="1">
      <alignment horizontal="center" vertical="center" wrapText="1"/>
    </xf>
    <xf numFmtId="0" fontId="2" fillId="9" borderId="16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 wrapText="1"/>
    </xf>
    <xf numFmtId="0" fontId="3" fillId="7" borderId="14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left"/>
    </xf>
    <xf numFmtId="0" fontId="14" fillId="0" borderId="9" xfId="0" applyFont="1" applyBorder="1" applyAlignment="1">
      <alignment horizontal="left"/>
    </xf>
    <xf numFmtId="0" fontId="15" fillId="0" borderId="11" xfId="0" applyFont="1" applyBorder="1" applyAlignment="1">
      <alignment horizontal="left"/>
    </xf>
    <xf numFmtId="0" fontId="15" fillId="0" borderId="12" xfId="0" applyFont="1" applyBorder="1" applyAlignment="1">
      <alignment horizontal="left"/>
    </xf>
    <xf numFmtId="14" fontId="14" fillId="0" borderId="0" xfId="0" applyNumberFormat="1" applyFont="1" applyAlignment="1">
      <alignment horizontal="left"/>
    </xf>
    <xf numFmtId="14" fontId="14" fillId="0" borderId="9" xfId="0" applyNumberFormat="1" applyFont="1" applyBorder="1" applyAlignment="1">
      <alignment horizontal="left"/>
    </xf>
    <xf numFmtId="0" fontId="14" fillId="0" borderId="7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0" fontId="6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6" fillId="9" borderId="4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 wrapText="1"/>
    </xf>
    <xf numFmtId="0" fontId="6" fillId="7" borderId="4" xfId="0" applyFont="1" applyFill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9" fillId="7" borderId="14" xfId="0" applyFont="1" applyFill="1" applyBorder="1" applyAlignment="1">
      <alignment horizontal="center" vertical="center" wrapText="1"/>
    </xf>
    <xf numFmtId="0" fontId="9" fillId="7" borderId="15" xfId="0" applyFont="1" applyFill="1" applyBorder="1" applyAlignment="1">
      <alignment horizontal="center" vertical="center" wrapText="1"/>
    </xf>
    <xf numFmtId="0" fontId="9" fillId="7" borderId="3" xfId="0" applyFont="1" applyFill="1" applyBorder="1" applyAlignment="1">
      <alignment horizontal="center" vertical="center" wrapText="1"/>
    </xf>
    <xf numFmtId="0" fontId="9" fillId="7" borderId="4" xfId="0" applyFont="1" applyFill="1" applyBorder="1" applyAlignment="1">
      <alignment horizontal="center" vertical="center" wrapText="1"/>
    </xf>
    <xf numFmtId="0" fontId="5" fillId="3" borderId="13" xfId="0" applyFont="1" applyFill="1" applyBorder="1" applyAlignment="1">
      <alignment horizontal="left"/>
    </xf>
    <xf numFmtId="0" fontId="5" fillId="3" borderId="14" xfId="0" applyFont="1" applyFill="1" applyBorder="1" applyAlignment="1">
      <alignment horizontal="left"/>
    </xf>
    <xf numFmtId="0" fontId="5" fillId="3" borderId="15" xfId="0" applyFont="1" applyFill="1" applyBorder="1" applyAlignment="1">
      <alignment horizontal="left"/>
    </xf>
    <xf numFmtId="0" fontId="5" fillId="0" borderId="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5" fillId="0" borderId="2" xfId="0" applyFont="1" applyBorder="1" applyAlignment="1">
      <alignment horizontal="left" wrapText="1"/>
    </xf>
    <xf numFmtId="0" fontId="5" fillId="0" borderId="8" xfId="0" applyFont="1" applyBorder="1" applyAlignment="1">
      <alignment horizontal="left"/>
    </xf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49" fontId="5" fillId="0" borderId="13" xfId="0" applyNumberFormat="1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14" fontId="5" fillId="0" borderId="13" xfId="0" applyNumberFormat="1" applyFont="1" applyBorder="1" applyAlignment="1">
      <alignment horizontal="center"/>
    </xf>
    <xf numFmtId="14" fontId="5" fillId="0" borderId="15" xfId="0" applyNumberFormat="1" applyFont="1" applyBorder="1" applyAlignment="1">
      <alignment horizontal="center"/>
    </xf>
    <xf numFmtId="0" fontId="5" fillId="0" borderId="13" xfId="0" applyFont="1" applyBorder="1" applyAlignment="1">
      <alignment horizontal="left"/>
    </xf>
    <xf numFmtId="0" fontId="5" fillId="0" borderId="14" xfId="0" applyFont="1" applyBorder="1" applyAlignment="1">
      <alignment horizontal="left"/>
    </xf>
    <xf numFmtId="0" fontId="5" fillId="0" borderId="15" xfId="0" applyFont="1" applyBorder="1" applyAlignment="1">
      <alignment horizontal="left"/>
    </xf>
    <xf numFmtId="0" fontId="4" fillId="0" borderId="13" xfId="0" applyFont="1" applyBorder="1" applyAlignment="1">
      <alignment horizontal="left"/>
    </xf>
    <xf numFmtId="0" fontId="4" fillId="0" borderId="14" xfId="0" applyFont="1" applyBorder="1" applyAlignment="1">
      <alignment horizontal="left"/>
    </xf>
    <xf numFmtId="0" fontId="5" fillId="3" borderId="13" xfId="0" applyFont="1" applyFill="1" applyBorder="1" applyAlignment="1">
      <alignment horizontal="left" vertical="center"/>
    </xf>
    <xf numFmtId="0" fontId="5" fillId="3" borderId="15" xfId="0" applyFont="1" applyFill="1" applyBorder="1" applyAlignment="1">
      <alignment horizontal="left" vertical="center"/>
    </xf>
    <xf numFmtId="0" fontId="6" fillId="2" borderId="13" xfId="0" applyFont="1" applyFill="1" applyBorder="1" applyAlignment="1">
      <alignment horizontal="left"/>
    </xf>
    <xf numFmtId="0" fontId="6" fillId="2" borderId="14" xfId="0" applyFont="1" applyFill="1" applyBorder="1" applyAlignment="1">
      <alignment horizontal="left"/>
    </xf>
    <xf numFmtId="0" fontId="6" fillId="2" borderId="15" xfId="0" applyFont="1" applyFill="1" applyBorder="1" applyAlignment="1">
      <alignment horizontal="left"/>
    </xf>
    <xf numFmtId="0" fontId="6" fillId="3" borderId="14" xfId="0" applyFont="1" applyFill="1" applyBorder="1" applyAlignment="1">
      <alignment horizontal="left" vertical="center"/>
    </xf>
    <xf numFmtId="0" fontId="6" fillId="3" borderId="15" xfId="0" applyFont="1" applyFill="1" applyBorder="1" applyAlignment="1">
      <alignment horizontal="left" vertical="center"/>
    </xf>
    <xf numFmtId="0" fontId="5" fillId="3" borderId="13" xfId="0" applyFont="1" applyFill="1" applyBorder="1" applyAlignment="1">
      <alignment horizontal="left" vertical="center" wrapText="1"/>
    </xf>
    <xf numFmtId="0" fontId="5" fillId="3" borderId="14" xfId="0" applyFont="1" applyFill="1" applyBorder="1" applyAlignment="1">
      <alignment horizontal="left" vertical="center" wrapText="1"/>
    </xf>
    <xf numFmtId="0" fontId="5" fillId="3" borderId="15" xfId="0" applyFont="1" applyFill="1" applyBorder="1" applyAlignment="1">
      <alignment horizontal="left" vertical="center" wrapText="1"/>
    </xf>
    <xf numFmtId="0" fontId="6" fillId="4" borderId="13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left" vertical="center"/>
    </xf>
    <xf numFmtId="0" fontId="6" fillId="2" borderId="15" xfId="0" applyFont="1" applyFill="1" applyBorder="1" applyAlignment="1">
      <alignment horizontal="left" vertical="center"/>
    </xf>
    <xf numFmtId="0" fontId="4" fillId="0" borderId="15" xfId="0" applyFont="1" applyBorder="1" applyAlignment="1">
      <alignment horizontal="left"/>
    </xf>
    <xf numFmtId="0" fontId="5" fillId="0" borderId="13" xfId="0" applyFont="1" applyBorder="1" applyAlignment="1">
      <alignment horizontal="left" wrapText="1"/>
    </xf>
    <xf numFmtId="0" fontId="5" fillId="0" borderId="14" xfId="0" applyFont="1" applyBorder="1" applyAlignment="1">
      <alignment horizontal="left" wrapText="1"/>
    </xf>
    <xf numFmtId="0" fontId="5" fillId="0" borderId="15" xfId="0" applyFont="1" applyBorder="1" applyAlignment="1">
      <alignment horizontal="left" wrapText="1"/>
    </xf>
    <xf numFmtId="0" fontId="4" fillId="0" borderId="9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5" fillId="3" borderId="13" xfId="0" applyFont="1" applyFill="1" applyBorder="1" applyAlignment="1">
      <alignment vertical="center"/>
    </xf>
    <xf numFmtId="0" fontId="5" fillId="3" borderId="14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5" fillId="3" borderId="13" xfId="0" applyFont="1" applyFill="1" applyBorder="1"/>
    <xf numFmtId="0" fontId="5" fillId="3" borderId="14" xfId="0" applyFont="1" applyFill="1" applyBorder="1"/>
    <xf numFmtId="0" fontId="5" fillId="3" borderId="15" xfId="0" applyFont="1" applyFill="1" applyBorder="1"/>
    <xf numFmtId="0" fontId="5" fillId="0" borderId="0" xfId="0" applyFont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5" fillId="0" borderId="13" xfId="0" applyFont="1" applyBorder="1" applyAlignment="1">
      <alignment vertical="center" wrapText="1"/>
    </xf>
    <xf numFmtId="0" fontId="5" fillId="0" borderId="14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18" fillId="0" borderId="0" xfId="0" applyFont="1"/>
  </cellXfs>
  <cellStyles count="9">
    <cellStyle name="Normal" xfId="0" builtinId="0"/>
    <cellStyle name="Normal 2" xfId="1" xr:uid="{00000000-0005-0000-0000-000001000000}"/>
    <cellStyle name="Normal 2 2" xfId="3" xr:uid="{00000000-0005-0000-0000-000002000000}"/>
    <cellStyle name="Normal 2 3" xfId="4" xr:uid="{00000000-0005-0000-0000-000003000000}"/>
    <cellStyle name="Normal 2 7" xfId="5" xr:uid="{00000000-0005-0000-0000-000004000000}"/>
    <cellStyle name="Normal 3" xfId="2" xr:uid="{00000000-0005-0000-0000-000005000000}"/>
    <cellStyle name="Normal 3 2" xfId="8" xr:uid="{00000000-0005-0000-0000-000006000000}"/>
    <cellStyle name="Normal 4" xfId="6" xr:uid="{00000000-0005-0000-0000-000007000000}"/>
    <cellStyle name="Normal 5" xfId="7" xr:uid="{00000000-0005-0000-0000-000008000000}"/>
  </cellStyles>
  <dxfs count="0"/>
  <tableStyles count="0" defaultTableStyle="TableStyleMedium2" defaultPivotStyle="PivotStyleLight16"/>
  <colors>
    <mruColors>
      <color rgb="FF00CCFF"/>
      <color rgb="FFF77947"/>
      <color rgb="FFB00000"/>
      <color rgb="FFD43718"/>
      <color rgb="FFEA643A"/>
      <color rgb="FFE74C2D"/>
      <color rgb="FFEB6B43"/>
      <color rgb="FFEA6044"/>
      <color rgb="FFE20000"/>
      <color rgb="FFE148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759618</xdr:colOff>
      <xdr:row>4</xdr:row>
      <xdr:rowOff>116681</xdr:rowOff>
    </xdr:from>
    <xdr:to>
      <xdr:col>8</xdr:col>
      <xdr:colOff>595313</xdr:colOff>
      <xdr:row>53</xdr:row>
      <xdr:rowOff>76200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455193" y="945356"/>
          <a:ext cx="10370345" cy="6960394"/>
        </a:xfrm>
        <a:prstGeom prst="rect">
          <a:avLst/>
        </a:prstGeom>
        <a:noFill/>
        <a:ln w="38100"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83346</xdr:colOff>
      <xdr:row>13</xdr:row>
      <xdr:rowOff>4762</xdr:rowOff>
    </xdr:from>
    <xdr:to>
      <xdr:col>5</xdr:col>
      <xdr:colOff>38100</xdr:colOff>
      <xdr:row>18</xdr:row>
      <xdr:rowOff>13913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-1" r="-10535" b="33062"/>
        <a:stretch/>
      </xdr:blipFill>
      <xdr:spPr>
        <a:xfrm>
          <a:off x="4007646" y="2262187"/>
          <a:ext cx="4879179" cy="723526"/>
        </a:xfrm>
        <a:prstGeom prst="rect">
          <a:avLst/>
        </a:prstGeom>
        <a:ln w="19050">
          <a:solidFill>
            <a:schemeClr val="tx2">
              <a:lumMod val="50000"/>
            </a:schemeClr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5</xdr:row>
          <xdr:rowOff>95250</xdr:rowOff>
        </xdr:from>
        <xdr:to>
          <xdr:col>0</xdr:col>
          <xdr:colOff>2181225</xdr:colOff>
          <xdr:row>9</xdr:row>
          <xdr:rowOff>133350</xdr:rowOff>
        </xdr:to>
        <xdr:sp macro="" textlink="">
          <xdr:nvSpPr>
            <xdr:cNvPr id="3077" name="Button 5" descr="Gerar Ficha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fichas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11</xdr:row>
          <xdr:rowOff>104775</xdr:rowOff>
        </xdr:from>
        <xdr:to>
          <xdr:col>0</xdr:col>
          <xdr:colOff>2171700</xdr:colOff>
          <xdr:row>16</xdr:row>
          <xdr:rowOff>19050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fotos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18</xdr:row>
          <xdr:rowOff>0</xdr:rowOff>
        </xdr:from>
        <xdr:to>
          <xdr:col>0</xdr:col>
          <xdr:colOff>2171700</xdr:colOff>
          <xdr:row>22</xdr:row>
          <xdr:rowOff>66675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fotos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24</xdr:row>
          <xdr:rowOff>28575</xdr:rowOff>
        </xdr:from>
        <xdr:to>
          <xdr:col>0</xdr:col>
          <xdr:colOff>2162175</xdr:colOff>
          <xdr:row>28</xdr:row>
          <xdr:rowOff>133350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Inventário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31</xdr:row>
          <xdr:rowOff>66675</xdr:rowOff>
        </xdr:from>
        <xdr:to>
          <xdr:col>0</xdr:col>
          <xdr:colOff>2152650</xdr:colOff>
          <xdr:row>36</xdr:row>
          <xdr:rowOff>19050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Etiquetas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tabColor theme="8" tint="0.59999389629810485"/>
  </sheetPr>
  <dimension ref="A1:AC22"/>
  <sheetViews>
    <sheetView topLeftCell="V1" workbookViewId="0">
      <selection activeCell="AC14" sqref="AC14"/>
    </sheetView>
  </sheetViews>
  <sheetFormatPr defaultColWidth="3.140625" defaultRowHeight="15" x14ac:dyDescent="0.25"/>
  <cols>
    <col min="1" max="1" width="16" bestFit="1" customWidth="1"/>
    <col min="3" max="3" width="43.140625" bestFit="1" customWidth="1"/>
    <col min="5" max="5" width="18.42578125" bestFit="1" customWidth="1"/>
    <col min="7" max="7" width="20.85546875" bestFit="1" customWidth="1"/>
    <col min="9" max="9" width="15.42578125" bestFit="1" customWidth="1"/>
    <col min="11" max="11" width="23.7109375" bestFit="1" customWidth="1"/>
    <col min="13" max="13" width="13.140625" bestFit="1" customWidth="1"/>
    <col min="15" max="15" width="13.7109375" bestFit="1" customWidth="1"/>
    <col min="17" max="17" width="95" bestFit="1" customWidth="1"/>
    <col min="19" max="19" width="26.140625" bestFit="1" customWidth="1"/>
    <col min="21" max="21" width="48.42578125" bestFit="1" customWidth="1"/>
    <col min="23" max="23" width="42.85546875" bestFit="1" customWidth="1"/>
    <col min="25" max="25" width="18.42578125" bestFit="1" customWidth="1"/>
    <col min="27" max="27" width="21" bestFit="1" customWidth="1"/>
    <col min="29" max="29" width="49.85546875" bestFit="1" customWidth="1"/>
  </cols>
  <sheetData>
    <row r="1" spans="1:29" x14ac:dyDescent="0.25">
      <c r="A1" s="8" t="s">
        <v>2</v>
      </c>
      <c r="B1" s="8"/>
      <c r="C1" s="8" t="s">
        <v>83</v>
      </c>
      <c r="D1" s="8"/>
      <c r="E1" s="8" t="s">
        <v>14</v>
      </c>
      <c r="F1" s="8"/>
      <c r="G1" s="8" t="s">
        <v>92</v>
      </c>
      <c r="H1" s="8"/>
      <c r="I1" s="8" t="s">
        <v>84</v>
      </c>
      <c r="J1" s="8"/>
      <c r="K1" s="8" t="s">
        <v>85</v>
      </c>
      <c r="L1" s="8"/>
      <c r="M1" s="8" t="s">
        <v>86</v>
      </c>
      <c r="N1" s="8"/>
      <c r="O1" s="8" t="s">
        <v>3</v>
      </c>
      <c r="P1" s="8"/>
      <c r="Q1" s="8" t="s">
        <v>87</v>
      </c>
      <c r="R1" s="8"/>
      <c r="S1" s="8" t="s">
        <v>88</v>
      </c>
      <c r="T1" s="8"/>
      <c r="U1" s="8" t="s">
        <v>89</v>
      </c>
      <c r="V1" s="8"/>
      <c r="W1" s="8" t="s">
        <v>18</v>
      </c>
      <c r="X1" s="8"/>
      <c r="Y1" s="8" t="s">
        <v>186</v>
      </c>
      <c r="Z1" s="8"/>
      <c r="AA1" s="8" t="s">
        <v>90</v>
      </c>
      <c r="AB1" s="8"/>
      <c r="AC1" s="8" t="s">
        <v>98</v>
      </c>
    </row>
    <row r="2" spans="1:29" x14ac:dyDescent="0.25">
      <c r="A2" t="s">
        <v>175</v>
      </c>
      <c r="C2" t="s">
        <v>70</v>
      </c>
      <c r="E2" t="s">
        <v>31</v>
      </c>
      <c r="G2" t="s">
        <v>61</v>
      </c>
      <c r="I2" t="s">
        <v>192</v>
      </c>
      <c r="K2" t="s">
        <v>201</v>
      </c>
      <c r="M2" t="s">
        <v>204</v>
      </c>
      <c r="O2" t="s">
        <v>218</v>
      </c>
      <c r="Q2" t="s">
        <v>227</v>
      </c>
      <c r="S2" t="s">
        <v>224</v>
      </c>
      <c r="U2" t="s">
        <v>237</v>
      </c>
      <c r="W2" t="s">
        <v>19</v>
      </c>
      <c r="Y2" t="s">
        <v>187</v>
      </c>
      <c r="AA2" t="s">
        <v>56</v>
      </c>
      <c r="AC2" t="s">
        <v>70</v>
      </c>
    </row>
    <row r="3" spans="1:29" x14ac:dyDescent="0.25">
      <c r="A3" t="s">
        <v>176</v>
      </c>
      <c r="C3" t="s">
        <v>69</v>
      </c>
      <c r="E3" t="s">
        <v>32</v>
      </c>
      <c r="G3" t="s">
        <v>62</v>
      </c>
      <c r="I3" t="s">
        <v>191</v>
      </c>
      <c r="K3" t="s">
        <v>203</v>
      </c>
      <c r="M3" t="s">
        <v>213</v>
      </c>
      <c r="O3" t="s">
        <v>219</v>
      </c>
      <c r="Q3" t="s">
        <v>228</v>
      </c>
      <c r="S3" t="s">
        <v>225</v>
      </c>
      <c r="U3" t="s">
        <v>238</v>
      </c>
      <c r="W3" t="s">
        <v>20</v>
      </c>
      <c r="Y3" t="s">
        <v>188</v>
      </c>
      <c r="AA3" t="s">
        <v>57</v>
      </c>
      <c r="AC3" t="s">
        <v>131</v>
      </c>
    </row>
    <row r="4" spans="1:29" x14ac:dyDescent="0.25">
      <c r="A4" t="s">
        <v>177</v>
      </c>
      <c r="C4" t="s">
        <v>183</v>
      </c>
      <c r="E4" t="s">
        <v>8</v>
      </c>
      <c r="G4" t="s">
        <v>82</v>
      </c>
      <c r="I4" t="s">
        <v>43</v>
      </c>
      <c r="K4" t="s">
        <v>202</v>
      </c>
      <c r="M4" t="s">
        <v>205</v>
      </c>
      <c r="O4" t="s">
        <v>220</v>
      </c>
      <c r="Q4" t="s">
        <v>229</v>
      </c>
      <c r="S4" t="s">
        <v>221</v>
      </c>
      <c r="U4" t="s">
        <v>235</v>
      </c>
      <c r="W4" t="s">
        <v>21</v>
      </c>
      <c r="Y4" t="s">
        <v>189</v>
      </c>
      <c r="AC4" t="s">
        <v>129</v>
      </c>
    </row>
    <row r="5" spans="1:29" x14ac:dyDescent="0.25">
      <c r="A5" t="s">
        <v>178</v>
      </c>
      <c r="C5" t="s">
        <v>25</v>
      </c>
      <c r="E5" t="s">
        <v>36</v>
      </c>
      <c r="G5" t="s">
        <v>81</v>
      </c>
      <c r="I5" t="s">
        <v>59</v>
      </c>
      <c r="K5" t="s">
        <v>193</v>
      </c>
      <c r="M5" t="s">
        <v>206</v>
      </c>
      <c r="Q5" t="s">
        <v>230</v>
      </c>
      <c r="S5" t="s">
        <v>222</v>
      </c>
      <c r="U5" t="s">
        <v>37</v>
      </c>
      <c r="W5" t="s">
        <v>22</v>
      </c>
      <c r="Y5" t="s">
        <v>292</v>
      </c>
      <c r="AC5" t="s">
        <v>128</v>
      </c>
    </row>
    <row r="6" spans="1:29" x14ac:dyDescent="0.25">
      <c r="A6" t="s">
        <v>179</v>
      </c>
      <c r="C6" t="s">
        <v>184</v>
      </c>
      <c r="E6" t="s">
        <v>9</v>
      </c>
      <c r="G6" t="s">
        <v>64</v>
      </c>
      <c r="K6" t="s">
        <v>12</v>
      </c>
      <c r="M6" t="s">
        <v>214</v>
      </c>
      <c r="Q6" t="s">
        <v>59</v>
      </c>
      <c r="S6" t="s">
        <v>231</v>
      </c>
      <c r="U6" t="s">
        <v>236</v>
      </c>
      <c r="W6" t="s">
        <v>23</v>
      </c>
      <c r="AC6" t="s">
        <v>124</v>
      </c>
    </row>
    <row r="7" spans="1:29" x14ac:dyDescent="0.25">
      <c r="A7" t="s">
        <v>180</v>
      </c>
      <c r="C7" t="s">
        <v>73</v>
      </c>
      <c r="E7" t="s">
        <v>42</v>
      </c>
      <c r="G7" t="s">
        <v>63</v>
      </c>
      <c r="K7" t="s">
        <v>198</v>
      </c>
      <c r="M7" t="s">
        <v>216</v>
      </c>
      <c r="S7" t="s">
        <v>232</v>
      </c>
      <c r="U7" t="s">
        <v>240</v>
      </c>
      <c r="W7" t="s">
        <v>59</v>
      </c>
      <c r="AC7" t="s">
        <v>126</v>
      </c>
    </row>
    <row r="8" spans="1:29" x14ac:dyDescent="0.25">
      <c r="A8" t="s">
        <v>107</v>
      </c>
      <c r="C8" t="s">
        <v>181</v>
      </c>
      <c r="E8" t="s">
        <v>41</v>
      </c>
      <c r="G8" t="s">
        <v>66</v>
      </c>
      <c r="K8" t="s">
        <v>45</v>
      </c>
      <c r="M8" t="s">
        <v>207</v>
      </c>
      <c r="S8" t="s">
        <v>223</v>
      </c>
      <c r="U8" t="s">
        <v>233</v>
      </c>
      <c r="AC8" t="s">
        <v>130</v>
      </c>
    </row>
    <row r="9" spans="1:29" x14ac:dyDescent="0.25">
      <c r="A9" t="s">
        <v>59</v>
      </c>
      <c r="C9" t="s">
        <v>185</v>
      </c>
      <c r="E9" t="s">
        <v>33</v>
      </c>
      <c r="G9" t="s">
        <v>67</v>
      </c>
      <c r="K9" t="s">
        <v>194</v>
      </c>
      <c r="M9" t="s">
        <v>215</v>
      </c>
      <c r="S9" t="s">
        <v>226</v>
      </c>
      <c r="U9" t="s">
        <v>234</v>
      </c>
      <c r="AC9" t="s">
        <v>26</v>
      </c>
    </row>
    <row r="10" spans="1:29" x14ac:dyDescent="0.25">
      <c r="C10" t="s">
        <v>71</v>
      </c>
      <c r="E10" t="s">
        <v>17</v>
      </c>
      <c r="G10" t="s">
        <v>65</v>
      </c>
      <c r="K10" t="s">
        <v>195</v>
      </c>
      <c r="M10" t="s">
        <v>210</v>
      </c>
      <c r="S10" t="s">
        <v>217</v>
      </c>
      <c r="U10" t="s">
        <v>23</v>
      </c>
      <c r="AC10" t="s">
        <v>125</v>
      </c>
    </row>
    <row r="11" spans="1:29" x14ac:dyDescent="0.25">
      <c r="C11" t="s">
        <v>26</v>
      </c>
      <c r="E11" t="s">
        <v>34</v>
      </c>
      <c r="K11" t="s">
        <v>196</v>
      </c>
      <c r="M11" t="s">
        <v>209</v>
      </c>
      <c r="S11" t="s">
        <v>59</v>
      </c>
      <c r="U11" t="s">
        <v>59</v>
      </c>
      <c r="AC11" t="s">
        <v>127</v>
      </c>
    </row>
    <row r="12" spans="1:29" x14ac:dyDescent="0.25">
      <c r="C12" t="s">
        <v>29</v>
      </c>
      <c r="E12" t="s">
        <v>35</v>
      </c>
      <c r="K12" t="s">
        <v>199</v>
      </c>
      <c r="M12" t="s">
        <v>47</v>
      </c>
      <c r="AC12" t="s">
        <v>43</v>
      </c>
    </row>
    <row r="13" spans="1:29" x14ac:dyDescent="0.25">
      <c r="C13" t="s">
        <v>72</v>
      </c>
      <c r="E13" t="s">
        <v>40</v>
      </c>
      <c r="K13" t="s">
        <v>200</v>
      </c>
      <c r="M13" t="s">
        <v>211</v>
      </c>
      <c r="AC13" t="s">
        <v>217</v>
      </c>
    </row>
    <row r="14" spans="1:29" x14ac:dyDescent="0.25">
      <c r="C14" t="s">
        <v>182</v>
      </c>
      <c r="E14" t="s">
        <v>49</v>
      </c>
      <c r="K14" t="s">
        <v>197</v>
      </c>
      <c r="M14" t="s">
        <v>212</v>
      </c>
      <c r="AC14" t="s">
        <v>59</v>
      </c>
    </row>
    <row r="15" spans="1:29" x14ac:dyDescent="0.25">
      <c r="C15" t="s">
        <v>43</v>
      </c>
      <c r="E15" t="s">
        <v>37</v>
      </c>
      <c r="K15" t="s">
        <v>43</v>
      </c>
      <c r="M15" t="s">
        <v>208</v>
      </c>
    </row>
    <row r="16" spans="1:29" x14ac:dyDescent="0.25">
      <c r="C16" t="s">
        <v>59</v>
      </c>
      <c r="E16" t="s">
        <v>39</v>
      </c>
      <c r="K16" t="s">
        <v>59</v>
      </c>
      <c r="M16" t="s">
        <v>217</v>
      </c>
    </row>
    <row r="17" spans="5:13" x14ac:dyDescent="0.25">
      <c r="E17" t="s">
        <v>10</v>
      </c>
      <c r="M17" t="s">
        <v>59</v>
      </c>
    </row>
    <row r="18" spans="5:13" x14ac:dyDescent="0.25">
      <c r="E18" t="s">
        <v>38</v>
      </c>
    </row>
    <row r="19" spans="5:13" x14ac:dyDescent="0.25">
      <c r="E19" t="s">
        <v>44</v>
      </c>
    </row>
    <row r="20" spans="5:13" x14ac:dyDescent="0.25">
      <c r="E20" t="s">
        <v>11</v>
      </c>
    </row>
    <row r="21" spans="5:13" x14ac:dyDescent="0.25">
      <c r="E21" t="s">
        <v>43</v>
      </c>
    </row>
    <row r="22" spans="5:13" x14ac:dyDescent="0.25">
      <c r="E22" t="s">
        <v>59</v>
      </c>
    </row>
  </sheetData>
  <sortState xmlns:xlrd2="http://schemas.microsoft.com/office/spreadsheetml/2017/richdata2" ref="U2:U9">
    <sortCondition ref="U2:U9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tabColor theme="3" tint="-0.499984740745262"/>
  </sheetPr>
  <dimension ref="A1:T58"/>
  <sheetViews>
    <sheetView showGridLines="0" tabSelected="1" zoomScaleNormal="100" workbookViewId="0">
      <selection activeCell="C49" sqref="C49"/>
    </sheetView>
  </sheetViews>
  <sheetFormatPr defaultRowHeight="11.25" x14ac:dyDescent="0.2"/>
  <cols>
    <col min="1" max="1" width="40.42578125" style="95" customWidth="1"/>
    <col min="2" max="2" width="18.42578125" style="95" bestFit="1" customWidth="1"/>
    <col min="3" max="3" width="20.42578125" style="95" bestFit="1" customWidth="1"/>
    <col min="4" max="4" width="31.42578125" style="95" customWidth="1"/>
    <col min="5" max="5" width="22" style="95" bestFit="1" customWidth="1"/>
    <col min="6" max="6" width="30.28515625" style="95" customWidth="1"/>
    <col min="7" max="8" width="17.7109375" style="95" customWidth="1"/>
    <col min="9" max="9" width="19.5703125" style="95" customWidth="1"/>
    <col min="10" max="10" width="15.42578125" style="95" customWidth="1"/>
    <col min="11" max="12" width="9.140625" style="95"/>
    <col min="13" max="13" width="35.42578125" style="95" bestFit="1" customWidth="1"/>
    <col min="14" max="14" width="35.28515625" style="95" bestFit="1" customWidth="1"/>
    <col min="15" max="16" width="9.140625" style="95"/>
    <col min="17" max="17" width="18.5703125" style="95" bestFit="1" customWidth="1"/>
    <col min="18" max="16384" width="9.140625" style="95"/>
  </cols>
  <sheetData>
    <row r="1" spans="1:20" s="104" customFormat="1" ht="15" customHeight="1" x14ac:dyDescent="0.25">
      <c r="A1" s="136" t="s">
        <v>97</v>
      </c>
      <c r="B1" s="143" t="s">
        <v>1</v>
      </c>
      <c r="C1" s="145" t="s">
        <v>24</v>
      </c>
      <c r="D1" s="145" t="s">
        <v>95</v>
      </c>
      <c r="E1" s="141" t="s">
        <v>122</v>
      </c>
      <c r="F1" s="141" t="s">
        <v>239</v>
      </c>
      <c r="G1" s="139" t="s">
        <v>96</v>
      </c>
      <c r="H1" s="139" t="s">
        <v>123</v>
      </c>
      <c r="I1" s="137" t="s">
        <v>76</v>
      </c>
      <c r="J1" s="137" t="s">
        <v>78</v>
      </c>
      <c r="P1" s="132" t="s">
        <v>80</v>
      </c>
      <c r="Q1" s="134" t="s">
        <v>79</v>
      </c>
      <c r="T1" s="134" t="s">
        <v>74</v>
      </c>
    </row>
    <row r="2" spans="1:20" s="104" customFormat="1" ht="27.75" customHeight="1" x14ac:dyDescent="0.25">
      <c r="A2" s="136"/>
      <c r="B2" s="144"/>
      <c r="C2" s="146"/>
      <c r="D2" s="146"/>
      <c r="E2" s="142"/>
      <c r="F2" s="142"/>
      <c r="G2" s="140"/>
      <c r="H2" s="140"/>
      <c r="I2" s="138"/>
      <c r="J2" s="138"/>
      <c r="P2" s="133"/>
      <c r="Q2" s="135"/>
      <c r="T2" s="135"/>
    </row>
    <row r="3" spans="1:20" s="10" customFormat="1" x14ac:dyDescent="0.2">
      <c r="A3" s="105" t="s">
        <v>351</v>
      </c>
      <c r="B3" s="106">
        <v>123456789</v>
      </c>
      <c r="C3" s="125" t="s">
        <v>352</v>
      </c>
      <c r="D3" s="105" t="s">
        <v>353</v>
      </c>
      <c r="E3" s="106"/>
      <c r="F3" s="114"/>
      <c r="G3" s="2"/>
      <c r="H3" s="2"/>
      <c r="I3" s="102" t="s">
        <v>354</v>
      </c>
      <c r="J3" s="107">
        <v>45736</v>
      </c>
      <c r="P3" s="108"/>
      <c r="Q3" s="109"/>
      <c r="T3" s="106"/>
    </row>
    <row r="4" spans="1:20" x14ac:dyDescent="0.2">
      <c r="G4" s="1"/>
      <c r="H4" s="1"/>
    </row>
    <row r="5" spans="1:20" x14ac:dyDescent="0.2">
      <c r="A5" s="110"/>
    </row>
    <row r="6" spans="1:20" x14ac:dyDescent="0.2">
      <c r="A6" s="110"/>
    </row>
    <row r="7" spans="1:20" x14ac:dyDescent="0.2">
      <c r="A7" s="110"/>
      <c r="C7" s="111" t="s">
        <v>241</v>
      </c>
    </row>
    <row r="8" spans="1:20" x14ac:dyDescent="0.2">
      <c r="A8" s="110"/>
      <c r="B8" s="112"/>
    </row>
    <row r="9" spans="1:20" x14ac:dyDescent="0.2">
      <c r="A9" s="110"/>
      <c r="C9" s="113" t="s">
        <v>243</v>
      </c>
    </row>
    <row r="10" spans="1:20" x14ac:dyDescent="0.2">
      <c r="A10" s="110"/>
      <c r="C10" s="113" t="s">
        <v>244</v>
      </c>
    </row>
    <row r="11" spans="1:20" x14ac:dyDescent="0.2">
      <c r="A11" s="110"/>
    </row>
    <row r="12" spans="1:20" x14ac:dyDescent="0.2">
      <c r="A12" s="110"/>
      <c r="B12" s="112" t="s">
        <v>242</v>
      </c>
      <c r="C12" s="95" t="s">
        <v>277</v>
      </c>
    </row>
    <row r="13" spans="1:20" x14ac:dyDescent="0.2">
      <c r="A13" s="110"/>
    </row>
    <row r="14" spans="1:20" x14ac:dyDescent="0.2">
      <c r="A14" s="110"/>
    </row>
    <row r="15" spans="1:20" x14ac:dyDescent="0.2">
      <c r="A15" s="110"/>
    </row>
    <row r="16" spans="1:20" x14ac:dyDescent="0.2">
      <c r="A16" s="110"/>
    </row>
    <row r="17" spans="1:6" x14ac:dyDescent="0.2">
      <c r="A17" s="110"/>
    </row>
    <row r="18" spans="1:6" x14ac:dyDescent="0.2">
      <c r="A18" s="110"/>
    </row>
    <row r="19" spans="1:6" x14ac:dyDescent="0.2">
      <c r="A19" s="110"/>
      <c r="B19" s="112" t="s">
        <v>246</v>
      </c>
      <c r="C19" s="95" t="s">
        <v>245</v>
      </c>
      <c r="F19" s="3"/>
    </row>
    <row r="20" spans="1:6" x14ac:dyDescent="0.2">
      <c r="A20" s="110"/>
      <c r="B20" s="112" t="s">
        <v>248</v>
      </c>
      <c r="C20" s="95" t="s">
        <v>247</v>
      </c>
      <c r="F20" s="3"/>
    </row>
    <row r="21" spans="1:6" x14ac:dyDescent="0.2">
      <c r="A21" s="110"/>
      <c r="B21" s="112" t="s">
        <v>250</v>
      </c>
      <c r="C21" s="95" t="s">
        <v>249</v>
      </c>
      <c r="F21" s="3"/>
    </row>
    <row r="22" spans="1:6" x14ac:dyDescent="0.2">
      <c r="A22" s="110"/>
      <c r="B22" s="112" t="s">
        <v>251</v>
      </c>
      <c r="C22" s="95" t="s">
        <v>256</v>
      </c>
      <c r="F22" s="3"/>
    </row>
    <row r="23" spans="1:6" x14ac:dyDescent="0.2">
      <c r="A23" s="110"/>
      <c r="B23" s="112" t="s">
        <v>252</v>
      </c>
      <c r="C23" s="95" t="s">
        <v>257</v>
      </c>
      <c r="F23" s="3"/>
    </row>
    <row r="24" spans="1:6" x14ac:dyDescent="0.2">
      <c r="A24" s="110"/>
      <c r="B24" s="112" t="s">
        <v>253</v>
      </c>
      <c r="C24" s="95" t="s">
        <v>258</v>
      </c>
      <c r="F24" s="3"/>
    </row>
    <row r="25" spans="1:6" x14ac:dyDescent="0.2">
      <c r="A25" s="110"/>
      <c r="B25" s="112"/>
      <c r="F25" s="3"/>
    </row>
    <row r="26" spans="1:6" x14ac:dyDescent="0.2">
      <c r="A26" s="110"/>
      <c r="C26" s="277" t="s">
        <v>356</v>
      </c>
    </row>
    <row r="27" spans="1:6" x14ac:dyDescent="0.2">
      <c r="A27" s="110"/>
      <c r="B27" s="112" t="s">
        <v>254</v>
      </c>
      <c r="C27" s="95" t="s">
        <v>357</v>
      </c>
    </row>
    <row r="28" spans="1:6" x14ac:dyDescent="0.2">
      <c r="A28" s="110"/>
    </row>
    <row r="29" spans="1:6" x14ac:dyDescent="0.2">
      <c r="A29" s="110"/>
      <c r="C29" s="277" t="s">
        <v>358</v>
      </c>
    </row>
    <row r="30" spans="1:6" x14ac:dyDescent="0.2">
      <c r="A30" s="110"/>
      <c r="B30" s="112" t="s">
        <v>255</v>
      </c>
      <c r="C30" s="95" t="s">
        <v>366</v>
      </c>
    </row>
    <row r="31" spans="1:6" x14ac:dyDescent="0.2">
      <c r="A31" s="110"/>
      <c r="B31" s="112" t="s">
        <v>260</v>
      </c>
      <c r="C31" s="95" t="s">
        <v>359</v>
      </c>
    </row>
    <row r="32" spans="1:6" x14ac:dyDescent="0.2">
      <c r="A32" s="110"/>
    </row>
    <row r="33" spans="1:6" x14ac:dyDescent="0.2">
      <c r="A33" s="110"/>
      <c r="C33" s="277" t="s">
        <v>360</v>
      </c>
    </row>
    <row r="34" spans="1:6" x14ac:dyDescent="0.2">
      <c r="A34" s="110"/>
      <c r="B34" s="112" t="s">
        <v>262</v>
      </c>
      <c r="C34" s="95" t="s">
        <v>361</v>
      </c>
    </row>
    <row r="35" spans="1:6" x14ac:dyDescent="0.2">
      <c r="A35" s="110"/>
    </row>
    <row r="36" spans="1:6" x14ac:dyDescent="0.2">
      <c r="A36" s="110"/>
    </row>
    <row r="37" spans="1:6" x14ac:dyDescent="0.2">
      <c r="A37" s="110"/>
      <c r="B37" s="112"/>
      <c r="C37" s="113" t="s">
        <v>267</v>
      </c>
      <c r="F37" s="3"/>
    </row>
    <row r="38" spans="1:6" x14ac:dyDescent="0.2">
      <c r="A38" s="110"/>
      <c r="B38" s="112"/>
    </row>
    <row r="39" spans="1:6" x14ac:dyDescent="0.2">
      <c r="A39" s="110"/>
      <c r="B39" s="112"/>
      <c r="C39" s="111" t="s">
        <v>259</v>
      </c>
    </row>
    <row r="40" spans="1:6" x14ac:dyDescent="0.2">
      <c r="A40" s="110"/>
      <c r="B40" s="112" t="s">
        <v>263</v>
      </c>
      <c r="C40" s="95" t="s">
        <v>268</v>
      </c>
    </row>
    <row r="41" spans="1:6" x14ac:dyDescent="0.2">
      <c r="B41" s="112" t="s">
        <v>264</v>
      </c>
      <c r="C41" s="95" t="s">
        <v>269</v>
      </c>
    </row>
    <row r="42" spans="1:6" x14ac:dyDescent="0.2">
      <c r="B42" s="112" t="s">
        <v>265</v>
      </c>
      <c r="C42" s="95" t="s">
        <v>270</v>
      </c>
    </row>
    <row r="43" spans="1:6" x14ac:dyDescent="0.2">
      <c r="B43" s="112" t="s">
        <v>266</v>
      </c>
      <c r="C43" s="95" t="s">
        <v>271</v>
      </c>
    </row>
    <row r="44" spans="1:6" x14ac:dyDescent="0.2">
      <c r="B44" s="112" t="s">
        <v>278</v>
      </c>
      <c r="C44" s="95" t="s">
        <v>272</v>
      </c>
    </row>
    <row r="45" spans="1:6" x14ac:dyDescent="0.2">
      <c r="B45" s="112" t="s">
        <v>279</v>
      </c>
      <c r="C45" s="95" t="s">
        <v>273</v>
      </c>
    </row>
    <row r="46" spans="1:6" x14ac:dyDescent="0.2">
      <c r="B46" s="112"/>
    </row>
    <row r="47" spans="1:6" x14ac:dyDescent="0.2">
      <c r="B47" s="112"/>
      <c r="C47" s="111" t="s">
        <v>261</v>
      </c>
    </row>
    <row r="48" spans="1:6" x14ac:dyDescent="0.2">
      <c r="B48" s="112" t="s">
        <v>362</v>
      </c>
      <c r="C48" s="95" t="s">
        <v>274</v>
      </c>
    </row>
    <row r="49" spans="2:3" x14ac:dyDescent="0.2">
      <c r="B49" s="112" t="s">
        <v>363</v>
      </c>
      <c r="C49" s="95" t="s">
        <v>275</v>
      </c>
    </row>
    <row r="50" spans="2:3" x14ac:dyDescent="0.2">
      <c r="B50" s="112" t="s">
        <v>364</v>
      </c>
      <c r="C50" s="95" t="s">
        <v>280</v>
      </c>
    </row>
    <row r="51" spans="2:3" x14ac:dyDescent="0.2">
      <c r="B51" s="112" t="s">
        <v>365</v>
      </c>
      <c r="C51" s="95" t="s">
        <v>276</v>
      </c>
    </row>
    <row r="52" spans="2:3" x14ac:dyDescent="0.2">
      <c r="B52" s="112"/>
    </row>
    <row r="53" spans="2:3" x14ac:dyDescent="0.2">
      <c r="B53" s="112"/>
    </row>
    <row r="54" spans="2:3" x14ac:dyDescent="0.2">
      <c r="B54" s="112"/>
    </row>
    <row r="55" spans="2:3" x14ac:dyDescent="0.2">
      <c r="B55" s="112"/>
    </row>
    <row r="56" spans="2:3" x14ac:dyDescent="0.2">
      <c r="B56" s="112"/>
    </row>
    <row r="57" spans="2:3" x14ac:dyDescent="0.2">
      <c r="B57" s="112"/>
    </row>
    <row r="58" spans="2:3" x14ac:dyDescent="0.2">
      <c r="B58" s="112"/>
    </row>
  </sheetData>
  <sheetProtection formatCells="0" formatColumns="0" formatRows="0" insertColumns="0" insertRows="0" insertHyperlinks="0" deleteColumns="0" deleteRows="0" sort="0" autoFilter="0" pivotTables="0"/>
  <mergeCells count="13">
    <mergeCell ref="P1:P2"/>
    <mergeCell ref="Q1:Q2"/>
    <mergeCell ref="T1:T2"/>
    <mergeCell ref="A1:A2"/>
    <mergeCell ref="I1:I2"/>
    <mergeCell ref="J1:J2"/>
    <mergeCell ref="H1:H2"/>
    <mergeCell ref="E1:E2"/>
    <mergeCell ref="F1:F2"/>
    <mergeCell ref="B1:B2"/>
    <mergeCell ref="G1:G2"/>
    <mergeCell ref="C1:C2"/>
    <mergeCell ref="D1:D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Preencher_Fichas" altText="Gerar Fichas">
                <anchor moveWithCells="1" sizeWithCells="1">
                  <from>
                    <xdr:col>0</xdr:col>
                    <xdr:colOff>409575</xdr:colOff>
                    <xdr:row>5</xdr:row>
                    <xdr:rowOff>95250</xdr:rowOff>
                  </from>
                  <to>
                    <xdr:col>0</xdr:col>
                    <xdr:colOff>2181225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Inserir_Fotos">
                <anchor moveWithCells="1" sizeWithCells="1">
                  <from>
                    <xdr:col>0</xdr:col>
                    <xdr:colOff>400050</xdr:colOff>
                    <xdr:row>11</xdr:row>
                    <xdr:rowOff>104775</xdr:rowOff>
                  </from>
                  <to>
                    <xdr:col>0</xdr:col>
                    <xdr:colOff>2171700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Limpar_Fotos">
                <anchor moveWithCells="1" sizeWithCells="1">
                  <from>
                    <xdr:col>0</xdr:col>
                    <xdr:colOff>390525</xdr:colOff>
                    <xdr:row>18</xdr:row>
                    <xdr:rowOff>0</xdr:rowOff>
                  </from>
                  <to>
                    <xdr:col>0</xdr:col>
                    <xdr:colOff>2171700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Gerar_Inventario">
                <anchor moveWithCells="1" sizeWithCells="1">
                  <from>
                    <xdr:col>0</xdr:col>
                    <xdr:colOff>390525</xdr:colOff>
                    <xdr:row>24</xdr:row>
                    <xdr:rowOff>28575</xdr:rowOff>
                  </from>
                  <to>
                    <xdr:col>0</xdr:col>
                    <xdr:colOff>2162175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Gerar_Etiquetas">
                <anchor moveWithCells="1" sizeWithCells="1">
                  <from>
                    <xdr:col>0</xdr:col>
                    <xdr:colOff>400050</xdr:colOff>
                    <xdr:row>31</xdr:row>
                    <xdr:rowOff>66675</xdr:rowOff>
                  </from>
                  <to>
                    <xdr:col>0</xdr:col>
                    <xdr:colOff>2152650</xdr:colOff>
                    <xdr:row>36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3" tint="-0.499984740745262"/>
  </sheetPr>
  <dimension ref="A1:BV312"/>
  <sheetViews>
    <sheetView showGridLines="0" topLeftCell="AT1" zoomScale="110" zoomScaleNormal="110" workbookViewId="0">
      <selection activeCell="AT1" sqref="AT1"/>
    </sheetView>
  </sheetViews>
  <sheetFormatPr defaultRowHeight="11.25" outlineLevelCol="1" x14ac:dyDescent="0.2"/>
  <cols>
    <col min="1" max="1" width="13.85546875" style="103" bestFit="1" customWidth="1"/>
    <col min="2" max="2" width="17.7109375" style="103" customWidth="1"/>
    <col min="3" max="3" width="13" style="103" customWidth="1"/>
    <col min="4" max="5" width="18.85546875" style="103" customWidth="1"/>
    <col min="6" max="6" width="17.42578125" style="103" bestFit="1" customWidth="1"/>
    <col min="7" max="9" width="14.140625" style="103" customWidth="1"/>
    <col min="10" max="10" width="14" style="103" bestFit="1" customWidth="1"/>
    <col min="11" max="11" width="14" style="103" customWidth="1"/>
    <col min="12" max="12" width="13.140625" style="103" customWidth="1"/>
    <col min="13" max="13" width="9.140625" style="103" hidden="1" customWidth="1" outlineLevel="1"/>
    <col min="14" max="14" width="9.7109375" style="103" hidden="1" customWidth="1" outlineLevel="1"/>
    <col min="15" max="15" width="11.7109375" style="103" hidden="1" customWidth="1" outlineLevel="1"/>
    <col min="16" max="16" width="11.85546875" style="103" customWidth="1" collapsed="1"/>
    <col min="17" max="17" width="13.7109375" style="103" customWidth="1"/>
    <col min="18" max="18" width="12.140625" style="103" customWidth="1"/>
    <col min="19" max="20" width="17.42578125" style="103" customWidth="1"/>
    <col min="21" max="21" width="25.140625" style="103" bestFit="1" customWidth="1"/>
    <col min="22" max="22" width="18.5703125" style="103" bestFit="1" customWidth="1"/>
    <col min="23" max="23" width="9" style="103" bestFit="1" customWidth="1"/>
    <col min="24" max="26" width="8.85546875" style="103" customWidth="1"/>
    <col min="27" max="28" width="8.85546875" style="103" hidden="1" customWidth="1" outlineLevel="1"/>
    <col min="29" max="29" width="9" style="103" bestFit="1" customWidth="1" collapsed="1"/>
    <col min="30" max="32" width="11.5703125" style="103" customWidth="1"/>
    <col min="33" max="45" width="11.5703125" style="103" hidden="1" customWidth="1" outlineLevel="1"/>
    <col min="46" max="46" width="12.85546875" style="103" customWidth="1" collapsed="1"/>
    <col min="47" max="47" width="13.140625" style="103" customWidth="1"/>
    <col min="48" max="48" width="13.140625" style="103" hidden="1" customWidth="1" outlineLevel="1"/>
    <col min="49" max="49" width="8.7109375" style="103" customWidth="1" collapsed="1"/>
    <col min="50" max="50" width="19.85546875" style="103" bestFit="1" customWidth="1"/>
    <col min="51" max="51" width="15.140625" style="103" bestFit="1" customWidth="1"/>
    <col min="52" max="52" width="15.7109375" style="103" customWidth="1"/>
    <col min="53" max="53" width="24.28515625" style="103" bestFit="1" customWidth="1"/>
    <col min="54" max="54" width="12.5703125" style="103" bestFit="1" customWidth="1"/>
    <col min="55" max="55" width="9" style="103" bestFit="1" customWidth="1"/>
    <col min="56" max="56" width="14.28515625" style="103" customWidth="1"/>
    <col min="57" max="57" width="18" style="103" customWidth="1"/>
    <col min="58" max="58" width="17.28515625" style="103" customWidth="1"/>
    <col min="59" max="59" width="16.42578125" style="103" hidden="1" customWidth="1" outlineLevel="1"/>
    <col min="60" max="60" width="16.5703125" style="103" hidden="1" customWidth="1" outlineLevel="1"/>
    <col min="61" max="61" width="9" style="103" bestFit="1" customWidth="1" collapsed="1"/>
    <col min="62" max="62" width="15.7109375" style="103" bestFit="1" customWidth="1"/>
    <col min="63" max="64" width="15.5703125" style="103" hidden="1" customWidth="1" outlineLevel="1"/>
    <col min="65" max="65" width="17.28515625" style="103" customWidth="1" collapsed="1"/>
    <col min="66" max="66" width="43.28515625" style="103" customWidth="1"/>
    <col min="67" max="67" width="18.140625" style="103" bestFit="1" customWidth="1"/>
    <col min="68" max="69" width="18" style="103" customWidth="1" outlineLevel="1"/>
    <col min="70" max="70" width="18" style="103" customWidth="1"/>
    <col min="71" max="71" width="14.42578125" style="103" bestFit="1" customWidth="1"/>
    <col min="72" max="73" width="14.28515625" style="103" customWidth="1" outlineLevel="1"/>
    <col min="74" max="74" width="15.7109375" style="103" customWidth="1"/>
    <col min="75" max="16384" width="9.140625" style="103"/>
  </cols>
  <sheetData>
    <row r="1" spans="1:74" s="118" customFormat="1" ht="14.25" customHeight="1" x14ac:dyDescent="0.2">
      <c r="B1" s="118">
        <v>2</v>
      </c>
      <c r="C1" s="118">
        <v>3</v>
      </c>
      <c r="D1" s="118">
        <v>4</v>
      </c>
      <c r="E1" s="118">
        <f>D1+1</f>
        <v>5</v>
      </c>
      <c r="F1" s="118">
        <f t="shared" ref="F1:BQ1" si="0">E1+1</f>
        <v>6</v>
      </c>
      <c r="G1" s="118">
        <f t="shared" si="0"/>
        <v>7</v>
      </c>
      <c r="H1" s="118">
        <f t="shared" si="0"/>
        <v>8</v>
      </c>
      <c r="I1" s="118">
        <f t="shared" si="0"/>
        <v>9</v>
      </c>
      <c r="J1" s="118">
        <f t="shared" si="0"/>
        <v>10</v>
      </c>
      <c r="K1" s="118">
        <f t="shared" si="0"/>
        <v>11</v>
      </c>
      <c r="L1" s="118">
        <f t="shared" si="0"/>
        <v>12</v>
      </c>
      <c r="M1" s="118">
        <f t="shared" si="0"/>
        <v>13</v>
      </c>
      <c r="N1" s="118">
        <f t="shared" si="0"/>
        <v>14</v>
      </c>
      <c r="O1" s="118">
        <f t="shared" si="0"/>
        <v>15</v>
      </c>
      <c r="P1" s="118">
        <f t="shared" si="0"/>
        <v>16</v>
      </c>
      <c r="Q1" s="118">
        <f t="shared" si="0"/>
        <v>17</v>
      </c>
      <c r="R1" s="118">
        <f t="shared" si="0"/>
        <v>18</v>
      </c>
      <c r="S1" s="118">
        <f t="shared" si="0"/>
        <v>19</v>
      </c>
      <c r="T1" s="118">
        <f t="shared" si="0"/>
        <v>20</v>
      </c>
      <c r="U1" s="118">
        <f t="shared" si="0"/>
        <v>21</v>
      </c>
      <c r="V1" s="118">
        <f t="shared" si="0"/>
        <v>22</v>
      </c>
      <c r="W1" s="118">
        <f t="shared" si="0"/>
        <v>23</v>
      </c>
      <c r="X1" s="118">
        <f t="shared" si="0"/>
        <v>24</v>
      </c>
      <c r="Y1" s="118">
        <f t="shared" si="0"/>
        <v>25</v>
      </c>
      <c r="Z1" s="118">
        <f t="shared" si="0"/>
        <v>26</v>
      </c>
      <c r="AA1" s="118">
        <f t="shared" si="0"/>
        <v>27</v>
      </c>
      <c r="AB1" s="118">
        <f t="shared" si="0"/>
        <v>28</v>
      </c>
      <c r="AC1" s="118">
        <f t="shared" si="0"/>
        <v>29</v>
      </c>
      <c r="AD1" s="118">
        <f t="shared" si="0"/>
        <v>30</v>
      </c>
      <c r="AE1" s="118">
        <f t="shared" si="0"/>
        <v>31</v>
      </c>
      <c r="AF1" s="118">
        <f t="shared" si="0"/>
        <v>32</v>
      </c>
      <c r="AG1" s="118">
        <f t="shared" si="0"/>
        <v>33</v>
      </c>
      <c r="AH1" s="118">
        <f t="shared" si="0"/>
        <v>34</v>
      </c>
      <c r="AI1" s="118">
        <f t="shared" si="0"/>
        <v>35</v>
      </c>
      <c r="AJ1" s="118">
        <f t="shared" si="0"/>
        <v>36</v>
      </c>
      <c r="AK1" s="118">
        <f t="shared" si="0"/>
        <v>37</v>
      </c>
      <c r="AL1" s="118">
        <f t="shared" si="0"/>
        <v>38</v>
      </c>
      <c r="AM1" s="118">
        <f t="shared" si="0"/>
        <v>39</v>
      </c>
      <c r="AN1" s="118">
        <f t="shared" si="0"/>
        <v>40</v>
      </c>
      <c r="AO1" s="118">
        <f t="shared" si="0"/>
        <v>41</v>
      </c>
      <c r="AP1" s="118">
        <f t="shared" si="0"/>
        <v>42</v>
      </c>
      <c r="AQ1" s="118">
        <f t="shared" si="0"/>
        <v>43</v>
      </c>
      <c r="AR1" s="118">
        <f t="shared" si="0"/>
        <v>44</v>
      </c>
      <c r="AS1" s="118">
        <f t="shared" si="0"/>
        <v>45</v>
      </c>
      <c r="AT1" s="118">
        <f t="shared" si="0"/>
        <v>46</v>
      </c>
      <c r="AU1" s="118">
        <f t="shared" si="0"/>
        <v>47</v>
      </c>
      <c r="AV1" s="118">
        <f t="shared" si="0"/>
        <v>48</v>
      </c>
      <c r="AW1" s="118">
        <f t="shared" si="0"/>
        <v>49</v>
      </c>
      <c r="AX1" s="118">
        <f t="shared" si="0"/>
        <v>50</v>
      </c>
      <c r="AY1" s="118">
        <f t="shared" si="0"/>
        <v>51</v>
      </c>
      <c r="AZ1" s="118">
        <f t="shared" si="0"/>
        <v>52</v>
      </c>
      <c r="BA1" s="118">
        <f t="shared" si="0"/>
        <v>53</v>
      </c>
      <c r="BB1" s="118">
        <f t="shared" si="0"/>
        <v>54</v>
      </c>
      <c r="BC1" s="118">
        <f t="shared" si="0"/>
        <v>55</v>
      </c>
      <c r="BD1" s="118">
        <f t="shared" si="0"/>
        <v>56</v>
      </c>
      <c r="BE1" s="118">
        <f t="shared" si="0"/>
        <v>57</v>
      </c>
      <c r="BF1" s="118">
        <f t="shared" si="0"/>
        <v>58</v>
      </c>
      <c r="BG1" s="118">
        <f t="shared" si="0"/>
        <v>59</v>
      </c>
      <c r="BH1" s="118">
        <f t="shared" si="0"/>
        <v>60</v>
      </c>
      <c r="BI1" s="118">
        <f t="shared" si="0"/>
        <v>61</v>
      </c>
      <c r="BJ1" s="118">
        <f t="shared" si="0"/>
        <v>62</v>
      </c>
      <c r="BK1" s="118">
        <f t="shared" si="0"/>
        <v>63</v>
      </c>
      <c r="BL1" s="118">
        <f t="shared" si="0"/>
        <v>64</v>
      </c>
      <c r="BM1" s="118">
        <f t="shared" si="0"/>
        <v>65</v>
      </c>
      <c r="BN1" s="118">
        <f t="shared" si="0"/>
        <v>66</v>
      </c>
      <c r="BO1" s="118">
        <f t="shared" si="0"/>
        <v>67</v>
      </c>
      <c r="BP1" s="118">
        <f t="shared" si="0"/>
        <v>68</v>
      </c>
      <c r="BQ1" s="118">
        <f t="shared" si="0"/>
        <v>69</v>
      </c>
      <c r="BR1" s="118">
        <f t="shared" ref="BR1:BV1" si="1">BQ1+1</f>
        <v>70</v>
      </c>
      <c r="BS1" s="118">
        <f t="shared" si="1"/>
        <v>71</v>
      </c>
      <c r="BT1" s="118">
        <f t="shared" si="1"/>
        <v>72</v>
      </c>
      <c r="BU1" s="118">
        <f t="shared" si="1"/>
        <v>73</v>
      </c>
      <c r="BV1" s="118">
        <f t="shared" si="1"/>
        <v>74</v>
      </c>
    </row>
    <row r="2" spans="1:74" s="97" customFormat="1" ht="22.5" customHeight="1" x14ac:dyDescent="0.2">
      <c r="A2" s="170" t="s">
        <v>190</v>
      </c>
      <c r="B2" s="173" t="s">
        <v>286</v>
      </c>
      <c r="C2" s="173" t="s">
        <v>287</v>
      </c>
      <c r="D2" s="173" t="s">
        <v>307</v>
      </c>
      <c r="E2" s="173" t="s">
        <v>308</v>
      </c>
      <c r="F2" s="170" t="s">
        <v>77</v>
      </c>
      <c r="G2" s="185" t="s">
        <v>68</v>
      </c>
      <c r="H2" s="186"/>
      <c r="I2" s="186"/>
      <c r="J2" s="187"/>
      <c r="K2" s="182" t="s">
        <v>309</v>
      </c>
      <c r="L2" s="154" t="s">
        <v>14</v>
      </c>
      <c r="M2" s="155"/>
      <c r="N2" s="155"/>
      <c r="O2" s="155"/>
      <c r="P2" s="156"/>
      <c r="Q2" s="163" t="s">
        <v>58</v>
      </c>
      <c r="R2" s="164"/>
      <c r="S2" s="154" t="s">
        <v>290</v>
      </c>
      <c r="T2" s="156"/>
      <c r="U2" s="147" t="s">
        <v>13</v>
      </c>
      <c r="V2" s="147"/>
      <c r="W2" s="147" t="s">
        <v>16</v>
      </c>
      <c r="X2" s="147"/>
      <c r="Y2" s="147"/>
      <c r="Z2" s="147"/>
      <c r="AA2" s="147"/>
      <c r="AB2" s="147"/>
      <c r="AC2" s="147"/>
      <c r="AD2" s="154" t="s">
        <v>46</v>
      </c>
      <c r="AE2" s="155"/>
      <c r="AF2" s="155"/>
      <c r="AG2" s="155"/>
      <c r="AH2" s="155"/>
      <c r="AI2" s="155"/>
      <c r="AJ2" s="155"/>
      <c r="AK2" s="155"/>
      <c r="AL2" s="155"/>
      <c r="AM2" s="155"/>
      <c r="AN2" s="155"/>
      <c r="AO2" s="155"/>
      <c r="AP2" s="155"/>
      <c r="AQ2" s="155"/>
      <c r="AR2" s="155"/>
      <c r="AS2" s="155"/>
      <c r="AT2" s="156"/>
      <c r="AU2" s="151" t="s">
        <v>15</v>
      </c>
      <c r="AV2" s="152"/>
      <c r="AW2" s="153"/>
      <c r="AX2" s="157" t="s">
        <v>52</v>
      </c>
      <c r="AY2" s="157" t="s">
        <v>28</v>
      </c>
      <c r="AZ2" s="157" t="s">
        <v>54</v>
      </c>
      <c r="BA2" s="157" t="s">
        <v>50</v>
      </c>
      <c r="BB2" s="158" t="s">
        <v>55</v>
      </c>
      <c r="BC2" s="158" t="s">
        <v>53</v>
      </c>
      <c r="BD2" s="158" t="s">
        <v>3</v>
      </c>
      <c r="BE2" s="165" t="s">
        <v>4</v>
      </c>
      <c r="BF2" s="166"/>
      <c r="BG2" s="166"/>
      <c r="BH2" s="166"/>
      <c r="BI2" s="167"/>
      <c r="BJ2" s="168" t="s">
        <v>5</v>
      </c>
      <c r="BK2" s="168"/>
      <c r="BL2" s="168"/>
      <c r="BM2" s="168"/>
      <c r="BN2" s="158" t="s">
        <v>6</v>
      </c>
      <c r="BO2" s="176" t="s">
        <v>7</v>
      </c>
      <c r="BP2" s="176"/>
      <c r="BQ2" s="176"/>
      <c r="BR2" s="177"/>
      <c r="BS2" s="180" t="s">
        <v>18</v>
      </c>
      <c r="BT2" s="181"/>
      <c r="BU2" s="178"/>
      <c r="BV2" s="158" t="s">
        <v>75</v>
      </c>
    </row>
    <row r="3" spans="1:74" s="97" customFormat="1" ht="11.25" customHeight="1" x14ac:dyDescent="0.2">
      <c r="A3" s="171"/>
      <c r="B3" s="174"/>
      <c r="C3" s="174"/>
      <c r="D3" s="174"/>
      <c r="E3" s="174"/>
      <c r="F3" s="171"/>
      <c r="G3" s="190" t="s">
        <v>51</v>
      </c>
      <c r="H3" s="191"/>
      <c r="I3" s="192"/>
      <c r="J3" s="182" t="s">
        <v>27</v>
      </c>
      <c r="K3" s="183"/>
      <c r="L3" s="188" t="s">
        <v>136</v>
      </c>
      <c r="M3" s="161" t="s">
        <v>135</v>
      </c>
      <c r="N3" s="161" t="s">
        <v>137</v>
      </c>
      <c r="O3" s="161" t="s">
        <v>138</v>
      </c>
      <c r="P3" s="147" t="s">
        <v>94</v>
      </c>
      <c r="Q3" s="157" t="s">
        <v>93</v>
      </c>
      <c r="R3" s="147" t="s">
        <v>94</v>
      </c>
      <c r="S3" s="149" t="s">
        <v>291</v>
      </c>
      <c r="T3" s="149" t="s">
        <v>59</v>
      </c>
      <c r="U3" s="149" t="s">
        <v>91</v>
      </c>
      <c r="V3" s="147" t="s">
        <v>94</v>
      </c>
      <c r="W3" s="157" t="s">
        <v>139</v>
      </c>
      <c r="X3" s="157" t="s">
        <v>140</v>
      </c>
      <c r="Y3" s="157" t="s">
        <v>141</v>
      </c>
      <c r="Z3" s="157" t="s">
        <v>142</v>
      </c>
      <c r="AA3" s="157" t="s">
        <v>143</v>
      </c>
      <c r="AB3" s="157" t="s">
        <v>144</v>
      </c>
      <c r="AC3" s="147" t="s">
        <v>94</v>
      </c>
      <c r="AD3" s="157" t="s">
        <v>147</v>
      </c>
      <c r="AE3" s="157" t="s">
        <v>148</v>
      </c>
      <c r="AF3" s="157" t="s">
        <v>149</v>
      </c>
      <c r="AG3" s="157" t="s">
        <v>150</v>
      </c>
      <c r="AH3" s="157" t="s">
        <v>151</v>
      </c>
      <c r="AI3" s="157" t="s">
        <v>152</v>
      </c>
      <c r="AJ3" s="157" t="s">
        <v>153</v>
      </c>
      <c r="AK3" s="157" t="s">
        <v>154</v>
      </c>
      <c r="AL3" s="157" t="s">
        <v>155</v>
      </c>
      <c r="AM3" s="157" t="s">
        <v>156</v>
      </c>
      <c r="AN3" s="157" t="s">
        <v>157</v>
      </c>
      <c r="AO3" s="157" t="s">
        <v>158</v>
      </c>
      <c r="AP3" s="157" t="s">
        <v>159</v>
      </c>
      <c r="AQ3" s="157" t="s">
        <v>160</v>
      </c>
      <c r="AR3" s="157" t="s">
        <v>161</v>
      </c>
      <c r="AS3" s="157" t="s">
        <v>162</v>
      </c>
      <c r="AT3" s="147" t="s">
        <v>94</v>
      </c>
      <c r="AU3" s="157" t="s">
        <v>145</v>
      </c>
      <c r="AV3" s="157" t="s">
        <v>146</v>
      </c>
      <c r="AW3" s="147" t="s">
        <v>94</v>
      </c>
      <c r="AX3" s="149"/>
      <c r="AY3" s="149"/>
      <c r="AZ3" s="149"/>
      <c r="BA3" s="149"/>
      <c r="BB3" s="159"/>
      <c r="BC3" s="159"/>
      <c r="BD3" s="159"/>
      <c r="BE3" s="168" t="s">
        <v>163</v>
      </c>
      <c r="BF3" s="168" t="s">
        <v>164</v>
      </c>
      <c r="BG3" s="168" t="s">
        <v>165</v>
      </c>
      <c r="BH3" s="168" t="s">
        <v>166</v>
      </c>
      <c r="BI3" s="158" t="s">
        <v>59</v>
      </c>
      <c r="BJ3" s="158" t="s">
        <v>167</v>
      </c>
      <c r="BK3" s="158" t="s">
        <v>168</v>
      </c>
      <c r="BL3" s="158" t="s">
        <v>169</v>
      </c>
      <c r="BM3" s="168" t="s">
        <v>94</v>
      </c>
      <c r="BN3" s="159"/>
      <c r="BO3" s="178" t="s">
        <v>170</v>
      </c>
      <c r="BP3" s="178" t="s">
        <v>171</v>
      </c>
      <c r="BQ3" s="178" t="s">
        <v>172</v>
      </c>
      <c r="BR3" s="168" t="s">
        <v>94</v>
      </c>
      <c r="BS3" s="158" t="s">
        <v>173</v>
      </c>
      <c r="BT3" s="158" t="s">
        <v>174</v>
      </c>
      <c r="BU3" s="158" t="s">
        <v>94</v>
      </c>
      <c r="BV3" s="159"/>
    </row>
    <row r="4" spans="1:74" s="97" customFormat="1" ht="15.75" customHeight="1" thickBot="1" x14ac:dyDescent="0.25">
      <c r="A4" s="172"/>
      <c r="B4" s="175"/>
      <c r="C4" s="175"/>
      <c r="D4" s="175"/>
      <c r="E4" s="175"/>
      <c r="F4" s="172"/>
      <c r="G4" s="5" t="s">
        <v>132</v>
      </c>
      <c r="H4" s="5" t="s">
        <v>133</v>
      </c>
      <c r="I4" s="5" t="s">
        <v>134</v>
      </c>
      <c r="J4" s="184"/>
      <c r="K4" s="184"/>
      <c r="L4" s="189"/>
      <c r="M4" s="162"/>
      <c r="N4" s="162"/>
      <c r="O4" s="162"/>
      <c r="P4" s="148"/>
      <c r="Q4" s="150"/>
      <c r="R4" s="148"/>
      <c r="S4" s="150"/>
      <c r="T4" s="150"/>
      <c r="U4" s="150"/>
      <c r="V4" s="148"/>
      <c r="W4" s="150"/>
      <c r="X4" s="150"/>
      <c r="Y4" s="150"/>
      <c r="Z4" s="150"/>
      <c r="AA4" s="150"/>
      <c r="AB4" s="150"/>
      <c r="AC4" s="148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48"/>
      <c r="AU4" s="150"/>
      <c r="AV4" s="150"/>
      <c r="AW4" s="148"/>
      <c r="AX4" s="150"/>
      <c r="AY4" s="150"/>
      <c r="AZ4" s="150"/>
      <c r="BA4" s="150"/>
      <c r="BB4" s="160"/>
      <c r="BC4" s="160"/>
      <c r="BD4" s="160"/>
      <c r="BE4" s="169"/>
      <c r="BF4" s="169"/>
      <c r="BG4" s="169"/>
      <c r="BH4" s="169"/>
      <c r="BI4" s="160"/>
      <c r="BJ4" s="160"/>
      <c r="BK4" s="160"/>
      <c r="BL4" s="160"/>
      <c r="BM4" s="169"/>
      <c r="BN4" s="160"/>
      <c r="BO4" s="179"/>
      <c r="BP4" s="179"/>
      <c r="BQ4" s="179"/>
      <c r="BR4" s="169"/>
      <c r="BS4" s="160"/>
      <c r="BT4" s="160"/>
      <c r="BU4" s="160"/>
      <c r="BV4" s="160"/>
    </row>
    <row r="5" spans="1:74" s="101" customFormat="1" ht="12" customHeight="1" x14ac:dyDescent="0.25">
      <c r="A5" s="98">
        <v>1</v>
      </c>
      <c r="B5" s="115" t="s">
        <v>310</v>
      </c>
      <c r="C5" s="116" t="s">
        <v>311</v>
      </c>
      <c r="D5" s="4"/>
      <c r="E5" s="127">
        <v>45190</v>
      </c>
      <c r="F5" s="99" t="s">
        <v>56</v>
      </c>
      <c r="G5" s="87">
        <v>1</v>
      </c>
      <c r="H5" s="29">
        <v>0</v>
      </c>
      <c r="I5" s="98">
        <v>1</v>
      </c>
      <c r="J5" s="117">
        <v>9</v>
      </c>
      <c r="K5" s="117"/>
      <c r="L5" s="6" t="s">
        <v>17</v>
      </c>
      <c r="M5" s="6"/>
      <c r="N5" s="6"/>
      <c r="O5" s="6"/>
      <c r="P5" s="99"/>
      <c r="Q5" s="6" t="s">
        <v>175</v>
      </c>
      <c r="R5" s="99"/>
      <c r="S5" s="6" t="s">
        <v>70</v>
      </c>
      <c r="T5" s="6"/>
      <c r="U5" s="6" t="s">
        <v>70</v>
      </c>
      <c r="V5" s="99"/>
      <c r="W5" s="6" t="s">
        <v>201</v>
      </c>
      <c r="X5" s="6" t="s">
        <v>203</v>
      </c>
      <c r="Y5" s="6" t="s">
        <v>202</v>
      </c>
      <c r="Z5" s="6" t="s">
        <v>193</v>
      </c>
      <c r="AA5" s="6"/>
      <c r="AB5" s="6"/>
      <c r="AC5" s="99"/>
      <c r="AD5" s="6" t="s">
        <v>204</v>
      </c>
      <c r="AE5" s="6" t="s">
        <v>213</v>
      </c>
      <c r="AF5" s="6" t="s">
        <v>205</v>
      </c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99"/>
      <c r="AU5" s="6" t="s">
        <v>192</v>
      </c>
      <c r="AV5" s="6"/>
      <c r="AW5" s="99"/>
      <c r="AX5" s="99" t="s">
        <v>345</v>
      </c>
      <c r="AY5" s="6" t="s">
        <v>346</v>
      </c>
      <c r="AZ5" s="99" t="s">
        <v>187</v>
      </c>
      <c r="BA5" s="99" t="s">
        <v>347</v>
      </c>
      <c r="BB5" s="99" t="s">
        <v>348</v>
      </c>
      <c r="BC5" s="99" t="s">
        <v>349</v>
      </c>
      <c r="BD5" s="6" t="s">
        <v>218</v>
      </c>
      <c r="BE5" s="6" t="s">
        <v>227</v>
      </c>
      <c r="BF5" s="6"/>
      <c r="BG5" s="6"/>
      <c r="BH5" s="6"/>
      <c r="BI5" s="99"/>
      <c r="BJ5" s="6" t="s">
        <v>224</v>
      </c>
      <c r="BK5" s="6" t="s">
        <v>225</v>
      </c>
      <c r="BL5" s="6" t="s">
        <v>221</v>
      </c>
      <c r="BM5" s="99"/>
      <c r="BN5" s="99" t="s">
        <v>350</v>
      </c>
      <c r="BO5" s="100" t="s">
        <v>237</v>
      </c>
      <c r="BP5" s="100"/>
      <c r="BQ5" s="100"/>
      <c r="BR5" s="99"/>
      <c r="BS5" s="6" t="s">
        <v>19</v>
      </c>
      <c r="BT5" s="6" t="s">
        <v>20</v>
      </c>
      <c r="BU5" s="6"/>
      <c r="BV5" s="6">
        <v>1</v>
      </c>
    </row>
    <row r="6" spans="1:74" s="101" customFormat="1" ht="56.25" x14ac:dyDescent="0.25">
      <c r="A6" s="98">
        <v>2</v>
      </c>
      <c r="B6" s="115" t="s">
        <v>312</v>
      </c>
      <c r="C6" s="116" t="s">
        <v>311</v>
      </c>
      <c r="D6" s="2"/>
      <c r="E6" s="127">
        <v>45190</v>
      </c>
      <c r="F6" s="99" t="s">
        <v>56</v>
      </c>
      <c r="G6" s="87">
        <v>1</v>
      </c>
      <c r="H6" s="29">
        <v>0</v>
      </c>
      <c r="I6" s="98">
        <v>1</v>
      </c>
      <c r="J6" s="117" t="s">
        <v>313</v>
      </c>
      <c r="K6" s="117"/>
      <c r="L6" s="6" t="s">
        <v>17</v>
      </c>
      <c r="M6" s="7"/>
      <c r="N6" s="7"/>
      <c r="O6" s="7"/>
      <c r="P6" s="102"/>
      <c r="Q6" s="6" t="s">
        <v>176</v>
      </c>
      <c r="R6" s="102"/>
      <c r="S6" s="6" t="s">
        <v>131</v>
      </c>
      <c r="T6" s="102"/>
      <c r="U6" s="6" t="s">
        <v>69</v>
      </c>
      <c r="V6" s="102"/>
      <c r="W6" s="6" t="s">
        <v>12</v>
      </c>
      <c r="X6" s="6" t="s">
        <v>198</v>
      </c>
      <c r="Y6" s="6" t="s">
        <v>45</v>
      </c>
      <c r="Z6" s="6"/>
      <c r="AA6" s="6"/>
      <c r="AB6" s="6"/>
      <c r="AC6" s="102"/>
      <c r="AD6" s="6" t="s">
        <v>206</v>
      </c>
      <c r="AE6" s="6" t="s">
        <v>214</v>
      </c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102"/>
      <c r="AU6" s="6" t="s">
        <v>191</v>
      </c>
      <c r="AV6" s="6"/>
      <c r="AW6" s="102"/>
      <c r="AX6" s="99" t="s">
        <v>345</v>
      </c>
      <c r="AY6" s="6" t="s">
        <v>346</v>
      </c>
      <c r="AZ6" s="99" t="s">
        <v>188</v>
      </c>
      <c r="BA6" s="99" t="s">
        <v>347</v>
      </c>
      <c r="BB6" s="99" t="s">
        <v>348</v>
      </c>
      <c r="BC6" s="99" t="s">
        <v>349</v>
      </c>
      <c r="BD6" s="6" t="s">
        <v>219</v>
      </c>
      <c r="BE6" s="6" t="s">
        <v>228</v>
      </c>
      <c r="BF6" s="6"/>
      <c r="BG6" s="6"/>
      <c r="BH6" s="6"/>
      <c r="BI6" s="102"/>
      <c r="BJ6" s="6" t="s">
        <v>225</v>
      </c>
      <c r="BK6" s="6" t="s">
        <v>222</v>
      </c>
      <c r="BL6" s="6"/>
      <c r="BM6" s="102"/>
      <c r="BN6" s="99" t="s">
        <v>350</v>
      </c>
      <c r="BO6" s="100" t="s">
        <v>238</v>
      </c>
      <c r="BP6" s="100" t="s">
        <v>235</v>
      </c>
      <c r="BQ6" s="100" t="s">
        <v>37</v>
      </c>
      <c r="BR6" s="102"/>
      <c r="BS6" s="6" t="s">
        <v>20</v>
      </c>
      <c r="BT6" s="6" t="s">
        <v>21</v>
      </c>
      <c r="BU6" s="6"/>
      <c r="BV6" s="6">
        <v>2</v>
      </c>
    </row>
    <row r="7" spans="1:74" s="101" customFormat="1" ht="45" x14ac:dyDescent="0.25">
      <c r="A7" s="98">
        <v>3</v>
      </c>
      <c r="B7" s="115" t="s">
        <v>314</v>
      </c>
      <c r="C7" s="116" t="s">
        <v>311</v>
      </c>
      <c r="D7" s="2"/>
      <c r="E7" s="127">
        <v>45191</v>
      </c>
      <c r="F7" s="99" t="s">
        <v>56</v>
      </c>
      <c r="G7" s="87">
        <v>5</v>
      </c>
      <c r="H7" s="29">
        <v>0</v>
      </c>
      <c r="I7" s="98">
        <v>5</v>
      </c>
      <c r="J7" s="117" t="s">
        <v>315</v>
      </c>
      <c r="K7" s="117"/>
      <c r="L7" s="6" t="s">
        <v>17</v>
      </c>
      <c r="M7" s="7"/>
      <c r="N7" s="7"/>
      <c r="O7" s="7"/>
      <c r="P7" s="102"/>
      <c r="Q7" s="6" t="s">
        <v>177</v>
      </c>
      <c r="R7" s="102"/>
      <c r="S7" s="6" t="s">
        <v>129</v>
      </c>
      <c r="T7" s="102"/>
      <c r="U7" s="6" t="s">
        <v>183</v>
      </c>
      <c r="V7" s="102"/>
      <c r="W7" s="6" t="s">
        <v>194</v>
      </c>
      <c r="X7" s="6" t="s">
        <v>195</v>
      </c>
      <c r="Y7" s="6"/>
      <c r="Z7" s="6"/>
      <c r="AA7" s="6"/>
      <c r="AB7" s="6"/>
      <c r="AC7" s="102"/>
      <c r="AD7" s="6" t="s">
        <v>216</v>
      </c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102"/>
      <c r="AU7" s="6" t="s">
        <v>43</v>
      </c>
      <c r="AV7" s="6"/>
      <c r="AW7" s="102"/>
      <c r="AX7" s="99" t="s">
        <v>345</v>
      </c>
      <c r="AY7" s="6" t="s">
        <v>346</v>
      </c>
      <c r="AZ7" s="99" t="s">
        <v>189</v>
      </c>
      <c r="BA7" s="99" t="s">
        <v>347</v>
      </c>
      <c r="BB7" s="99" t="s">
        <v>348</v>
      </c>
      <c r="BC7" s="99" t="s">
        <v>349</v>
      </c>
      <c r="BD7" s="6" t="s">
        <v>220</v>
      </c>
      <c r="BE7" s="6" t="s">
        <v>229</v>
      </c>
      <c r="BF7" s="6"/>
      <c r="BG7" s="6"/>
      <c r="BH7" s="6"/>
      <c r="BI7" s="102"/>
      <c r="BJ7" s="6" t="s">
        <v>221</v>
      </c>
      <c r="BK7" s="6"/>
      <c r="BL7" s="6"/>
      <c r="BM7" s="102"/>
      <c r="BN7" s="99" t="s">
        <v>350</v>
      </c>
      <c r="BO7" s="100" t="s">
        <v>235</v>
      </c>
      <c r="BP7" s="100" t="s">
        <v>37</v>
      </c>
      <c r="BQ7" s="100" t="s">
        <v>236</v>
      </c>
      <c r="BR7" s="102"/>
      <c r="BS7" s="6" t="s">
        <v>21</v>
      </c>
      <c r="BT7" s="6" t="s">
        <v>22</v>
      </c>
      <c r="BU7" s="6"/>
      <c r="BV7" s="6">
        <v>3</v>
      </c>
    </row>
    <row r="8" spans="1:74" s="101" customFormat="1" ht="45" x14ac:dyDescent="0.25">
      <c r="A8" s="98">
        <v>4</v>
      </c>
      <c r="B8" s="115" t="s">
        <v>314</v>
      </c>
      <c r="C8" s="116" t="s">
        <v>311</v>
      </c>
      <c r="D8" s="2"/>
      <c r="E8" s="127">
        <v>45191</v>
      </c>
      <c r="F8" s="99" t="s">
        <v>56</v>
      </c>
      <c r="G8" s="87">
        <v>25</v>
      </c>
      <c r="H8" s="29">
        <v>8</v>
      </c>
      <c r="I8" s="98" t="s">
        <v>316</v>
      </c>
      <c r="J8" s="117" t="s">
        <v>317</v>
      </c>
      <c r="K8" s="117" t="s">
        <v>318</v>
      </c>
      <c r="L8" s="6" t="s">
        <v>8</v>
      </c>
      <c r="M8" s="7"/>
      <c r="N8" s="7"/>
      <c r="O8" s="7"/>
      <c r="P8" s="102"/>
      <c r="Q8" s="6" t="s">
        <v>178</v>
      </c>
      <c r="R8" s="102"/>
      <c r="S8" s="6" t="s">
        <v>128</v>
      </c>
      <c r="T8" s="102"/>
      <c r="U8" s="6" t="s">
        <v>25</v>
      </c>
      <c r="V8" s="102"/>
      <c r="W8" s="6" t="s">
        <v>196</v>
      </c>
      <c r="X8" s="6"/>
      <c r="Y8" s="6"/>
      <c r="Z8" s="6"/>
      <c r="AA8" s="6"/>
      <c r="AB8" s="6"/>
      <c r="AC8" s="102"/>
      <c r="AD8" s="6" t="s">
        <v>207</v>
      </c>
      <c r="AE8" s="6" t="s">
        <v>215</v>
      </c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102"/>
      <c r="AU8" s="6" t="s">
        <v>192</v>
      </c>
      <c r="AV8" s="6"/>
      <c r="AW8" s="102"/>
      <c r="AX8" s="99" t="s">
        <v>345</v>
      </c>
      <c r="AY8" s="6" t="s">
        <v>346</v>
      </c>
      <c r="AZ8" s="99" t="s">
        <v>292</v>
      </c>
      <c r="BA8" s="99" t="s">
        <v>347</v>
      </c>
      <c r="BB8" s="99" t="s">
        <v>348</v>
      </c>
      <c r="BC8" s="99" t="s">
        <v>349</v>
      </c>
      <c r="BD8" s="6" t="s">
        <v>218</v>
      </c>
      <c r="BE8" s="6" t="s">
        <v>230</v>
      </c>
      <c r="BF8" s="6"/>
      <c r="BG8" s="6"/>
      <c r="BH8" s="6"/>
      <c r="BI8" s="102"/>
      <c r="BJ8" s="6" t="s">
        <v>222</v>
      </c>
      <c r="BK8" s="6" t="s">
        <v>231</v>
      </c>
      <c r="BL8" s="6"/>
      <c r="BM8" s="102"/>
      <c r="BN8" s="99" t="s">
        <v>350</v>
      </c>
      <c r="BO8" s="100" t="s">
        <v>37</v>
      </c>
      <c r="BP8" s="100" t="s">
        <v>236</v>
      </c>
      <c r="BQ8" s="100" t="s">
        <v>240</v>
      </c>
      <c r="BR8" s="102"/>
      <c r="BS8" s="6" t="s">
        <v>22</v>
      </c>
      <c r="BT8" s="6" t="s">
        <v>23</v>
      </c>
      <c r="BU8" s="6"/>
      <c r="BV8" s="6">
        <v>4</v>
      </c>
    </row>
    <row r="9" spans="1:74" s="101" customFormat="1" ht="22.5" x14ac:dyDescent="0.25">
      <c r="A9" s="98">
        <v>5</v>
      </c>
      <c r="B9" s="115" t="s">
        <v>314</v>
      </c>
      <c r="C9" s="116" t="s">
        <v>311</v>
      </c>
      <c r="D9" s="2"/>
      <c r="E9" s="127">
        <v>45191</v>
      </c>
      <c r="F9" s="99" t="s">
        <v>56</v>
      </c>
      <c r="G9" s="87">
        <v>5</v>
      </c>
      <c r="H9" s="29">
        <v>0</v>
      </c>
      <c r="I9" s="98" t="s">
        <v>319</v>
      </c>
      <c r="J9" s="117" t="s">
        <v>320</v>
      </c>
      <c r="K9" s="117"/>
      <c r="L9" s="6" t="s">
        <v>321</v>
      </c>
      <c r="M9" s="7"/>
      <c r="N9" s="7"/>
      <c r="O9" s="7"/>
      <c r="P9" s="102"/>
      <c r="Q9" s="6" t="s">
        <v>179</v>
      </c>
      <c r="R9" s="102"/>
      <c r="S9" s="6" t="s">
        <v>124</v>
      </c>
      <c r="T9" s="102"/>
      <c r="U9" s="6" t="s">
        <v>184</v>
      </c>
      <c r="V9" s="102"/>
      <c r="W9" s="6" t="s">
        <v>199</v>
      </c>
      <c r="X9" s="6"/>
      <c r="Y9" s="6"/>
      <c r="Z9" s="6"/>
      <c r="AA9" s="6"/>
      <c r="AB9" s="6"/>
      <c r="AC9" s="102"/>
      <c r="AD9" s="6" t="s">
        <v>210</v>
      </c>
      <c r="AE9" s="6" t="s">
        <v>209</v>
      </c>
      <c r="AF9" s="6" t="s">
        <v>47</v>
      </c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102"/>
      <c r="AU9" s="6" t="s">
        <v>191</v>
      </c>
      <c r="AV9" s="6"/>
      <c r="AW9" s="102"/>
      <c r="AX9" s="99" t="s">
        <v>345</v>
      </c>
      <c r="AY9" s="6" t="s">
        <v>346</v>
      </c>
      <c r="AZ9" s="99" t="s">
        <v>187</v>
      </c>
      <c r="BA9" s="99" t="s">
        <v>347</v>
      </c>
      <c r="BB9" s="99" t="s">
        <v>348</v>
      </c>
      <c r="BC9" s="99" t="s">
        <v>349</v>
      </c>
      <c r="BD9" s="6" t="s">
        <v>219</v>
      </c>
      <c r="BE9" s="6" t="s">
        <v>227</v>
      </c>
      <c r="BF9" s="6"/>
      <c r="BG9" s="6"/>
      <c r="BH9" s="6"/>
      <c r="BI9" s="102"/>
      <c r="BJ9" s="6" t="s">
        <v>231</v>
      </c>
      <c r="BK9" s="6" t="s">
        <v>223</v>
      </c>
      <c r="BL9" s="6"/>
      <c r="BM9" s="102"/>
      <c r="BN9" s="99" t="s">
        <v>350</v>
      </c>
      <c r="BO9" s="100" t="s">
        <v>236</v>
      </c>
      <c r="BP9" s="100" t="s">
        <v>240</v>
      </c>
      <c r="BQ9" s="100" t="s">
        <v>233</v>
      </c>
      <c r="BR9" s="102"/>
      <c r="BS9" s="6" t="s">
        <v>23</v>
      </c>
      <c r="BT9" s="6"/>
      <c r="BU9" s="6"/>
      <c r="BV9" s="6">
        <v>5</v>
      </c>
    </row>
    <row r="10" spans="1:74" s="101" customFormat="1" ht="56.25" x14ac:dyDescent="0.25">
      <c r="A10" s="98">
        <v>6</v>
      </c>
      <c r="B10" s="115" t="s">
        <v>322</v>
      </c>
      <c r="C10" s="116" t="s">
        <v>311</v>
      </c>
      <c r="D10" s="2"/>
      <c r="E10" s="127">
        <v>45191</v>
      </c>
      <c r="F10" s="99" t="s">
        <v>56</v>
      </c>
      <c r="G10" s="87">
        <v>3</v>
      </c>
      <c r="H10" s="29">
        <v>0</v>
      </c>
      <c r="I10" s="98" t="s">
        <v>323</v>
      </c>
      <c r="J10" s="117" t="s">
        <v>324</v>
      </c>
      <c r="K10" s="117"/>
      <c r="L10" s="6" t="s">
        <v>17</v>
      </c>
      <c r="M10" s="7"/>
      <c r="N10" s="7"/>
      <c r="O10" s="7"/>
      <c r="P10" s="102"/>
      <c r="Q10" s="6" t="s">
        <v>180</v>
      </c>
      <c r="R10" s="102"/>
      <c r="S10" s="6" t="s">
        <v>126</v>
      </c>
      <c r="T10" s="102"/>
      <c r="U10" s="6" t="s">
        <v>73</v>
      </c>
      <c r="V10" s="102"/>
      <c r="W10" s="6" t="s">
        <v>200</v>
      </c>
      <c r="X10" s="6"/>
      <c r="Y10" s="6"/>
      <c r="Z10" s="6"/>
      <c r="AA10" s="6"/>
      <c r="AB10" s="6"/>
      <c r="AC10" s="102"/>
      <c r="AD10" s="6" t="s">
        <v>212</v>
      </c>
      <c r="AE10" s="6" t="s">
        <v>208</v>
      </c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102"/>
      <c r="AU10" s="6" t="s">
        <v>43</v>
      </c>
      <c r="AV10" s="6"/>
      <c r="AW10" s="102"/>
      <c r="AX10" s="99" t="s">
        <v>345</v>
      </c>
      <c r="AY10" s="6" t="s">
        <v>346</v>
      </c>
      <c r="AZ10" s="99" t="s">
        <v>188</v>
      </c>
      <c r="BA10" s="99" t="s">
        <v>347</v>
      </c>
      <c r="BB10" s="99" t="s">
        <v>348</v>
      </c>
      <c r="BC10" s="99" t="s">
        <v>349</v>
      </c>
      <c r="BD10" s="6" t="s">
        <v>220</v>
      </c>
      <c r="BE10" s="6" t="s">
        <v>228</v>
      </c>
      <c r="BF10" s="6"/>
      <c r="BG10" s="6"/>
      <c r="BH10" s="6"/>
      <c r="BI10" s="102"/>
      <c r="BJ10" s="6" t="s">
        <v>223</v>
      </c>
      <c r="BK10" s="6" t="s">
        <v>226</v>
      </c>
      <c r="BL10" s="6" t="s">
        <v>231</v>
      </c>
      <c r="BM10" s="102"/>
      <c r="BN10" s="99" t="s">
        <v>350</v>
      </c>
      <c r="BO10" s="100" t="s">
        <v>240</v>
      </c>
      <c r="BP10" s="100" t="s">
        <v>233</v>
      </c>
      <c r="BQ10" s="100" t="s">
        <v>234</v>
      </c>
      <c r="BR10" s="102"/>
      <c r="BS10" s="6" t="s">
        <v>19</v>
      </c>
      <c r="BT10" s="6"/>
      <c r="BU10" s="6"/>
      <c r="BV10" s="6">
        <v>6</v>
      </c>
    </row>
    <row r="11" spans="1:74" s="101" customFormat="1" ht="45" x14ac:dyDescent="0.25">
      <c r="A11" s="98">
        <v>7</v>
      </c>
      <c r="B11" s="115" t="s">
        <v>322</v>
      </c>
      <c r="C11" s="116" t="s">
        <v>311</v>
      </c>
      <c r="D11" s="2"/>
      <c r="E11" s="127">
        <v>45191</v>
      </c>
      <c r="F11" s="99" t="s">
        <v>56</v>
      </c>
      <c r="G11" s="87">
        <v>3</v>
      </c>
      <c r="H11" s="29">
        <v>0</v>
      </c>
      <c r="I11" s="98" t="s">
        <v>323</v>
      </c>
      <c r="J11" s="117" t="s">
        <v>325</v>
      </c>
      <c r="K11" s="117"/>
      <c r="L11" s="6" t="s">
        <v>8</v>
      </c>
      <c r="M11" s="7"/>
      <c r="N11" s="7"/>
      <c r="O11" s="7"/>
      <c r="P11" s="102"/>
      <c r="Q11" s="6" t="s">
        <v>107</v>
      </c>
      <c r="R11" s="102"/>
      <c r="S11" s="6" t="s">
        <v>130</v>
      </c>
      <c r="T11" s="102"/>
      <c r="U11" s="6" t="s">
        <v>181</v>
      </c>
      <c r="V11" s="102"/>
      <c r="W11" s="6" t="s">
        <v>43</v>
      </c>
      <c r="X11" s="6"/>
      <c r="Y11" s="6"/>
      <c r="Z11" s="6"/>
      <c r="AA11" s="6"/>
      <c r="AB11" s="6"/>
      <c r="AC11" s="102"/>
      <c r="AD11" s="6" t="s">
        <v>217</v>
      </c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102"/>
      <c r="AU11" s="6" t="s">
        <v>192</v>
      </c>
      <c r="AV11" s="6"/>
      <c r="AW11" s="102"/>
      <c r="AX11" s="99" t="s">
        <v>345</v>
      </c>
      <c r="AY11" s="6" t="s">
        <v>346</v>
      </c>
      <c r="AZ11" s="99" t="s">
        <v>189</v>
      </c>
      <c r="BA11" s="99" t="s">
        <v>347</v>
      </c>
      <c r="BB11" s="99" t="s">
        <v>348</v>
      </c>
      <c r="BC11" s="99" t="s">
        <v>349</v>
      </c>
      <c r="BD11" s="6" t="s">
        <v>218</v>
      </c>
      <c r="BE11" s="6" t="s">
        <v>229</v>
      </c>
      <c r="BF11" s="6"/>
      <c r="BG11" s="6"/>
      <c r="BH11" s="6"/>
      <c r="BI11" s="102"/>
      <c r="BJ11" s="6" t="s">
        <v>226</v>
      </c>
      <c r="BK11" s="6"/>
      <c r="BL11" s="6"/>
      <c r="BM11" s="102"/>
      <c r="BN11" s="99" t="s">
        <v>350</v>
      </c>
      <c r="BO11" s="100" t="s">
        <v>233</v>
      </c>
      <c r="BP11" s="100" t="s">
        <v>234</v>
      </c>
      <c r="BQ11" s="100" t="s">
        <v>23</v>
      </c>
      <c r="BR11" s="102"/>
      <c r="BS11" s="6" t="s">
        <v>20</v>
      </c>
      <c r="BT11" s="6"/>
      <c r="BU11" s="6"/>
      <c r="BV11" s="6">
        <v>7</v>
      </c>
    </row>
    <row r="12" spans="1:74" s="101" customFormat="1" ht="33.75" x14ac:dyDescent="0.25">
      <c r="A12" s="98">
        <v>8</v>
      </c>
      <c r="B12" s="115" t="s">
        <v>322</v>
      </c>
      <c r="C12" s="116" t="s">
        <v>311</v>
      </c>
      <c r="D12" s="2"/>
      <c r="E12" s="127">
        <v>45191</v>
      </c>
      <c r="F12" s="99" t="s">
        <v>56</v>
      </c>
      <c r="G12" s="87">
        <v>1</v>
      </c>
      <c r="H12" s="29">
        <v>0</v>
      </c>
      <c r="I12" s="98" t="s">
        <v>326</v>
      </c>
      <c r="J12" s="117">
        <v>52</v>
      </c>
      <c r="K12" s="117"/>
      <c r="L12" s="6" t="s">
        <v>10</v>
      </c>
      <c r="M12" s="7"/>
      <c r="N12" s="7"/>
      <c r="O12" s="7"/>
      <c r="P12" s="102"/>
      <c r="Q12" s="6" t="s">
        <v>175</v>
      </c>
      <c r="R12" s="102"/>
      <c r="S12" s="6" t="s">
        <v>26</v>
      </c>
      <c r="T12" s="102"/>
      <c r="U12" s="6" t="s">
        <v>185</v>
      </c>
      <c r="V12" s="102"/>
      <c r="W12" s="6" t="s">
        <v>193</v>
      </c>
      <c r="X12" s="6" t="s">
        <v>201</v>
      </c>
      <c r="Y12" s="6"/>
      <c r="Z12" s="6"/>
      <c r="AA12" s="6"/>
      <c r="AB12" s="6"/>
      <c r="AC12" s="102"/>
      <c r="AD12" s="6" t="s">
        <v>204</v>
      </c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102"/>
      <c r="AU12" s="6" t="s">
        <v>191</v>
      </c>
      <c r="AV12" s="6"/>
      <c r="AW12" s="102"/>
      <c r="AX12" s="99" t="s">
        <v>345</v>
      </c>
      <c r="AY12" s="6" t="s">
        <v>346</v>
      </c>
      <c r="AZ12" s="99" t="s">
        <v>292</v>
      </c>
      <c r="BA12" s="99" t="s">
        <v>347</v>
      </c>
      <c r="BB12" s="99" t="s">
        <v>348</v>
      </c>
      <c r="BC12" s="99" t="s">
        <v>349</v>
      </c>
      <c r="BD12" s="6" t="s">
        <v>219</v>
      </c>
      <c r="BE12" s="6" t="s">
        <v>230</v>
      </c>
      <c r="BF12" s="6"/>
      <c r="BG12" s="6"/>
      <c r="BH12" s="6"/>
      <c r="BI12" s="102"/>
      <c r="BJ12" s="6" t="s">
        <v>224</v>
      </c>
      <c r="BK12" s="6"/>
      <c r="BL12" s="6"/>
      <c r="BM12" s="102"/>
      <c r="BN12" s="99" t="s">
        <v>350</v>
      </c>
      <c r="BO12" s="100" t="s">
        <v>234</v>
      </c>
      <c r="BP12" s="100" t="s">
        <v>23</v>
      </c>
      <c r="BQ12" s="100"/>
      <c r="BR12" s="102"/>
      <c r="BS12" s="6" t="s">
        <v>21</v>
      </c>
      <c r="BT12" s="6"/>
      <c r="BU12" s="6"/>
      <c r="BV12" s="6">
        <v>8</v>
      </c>
    </row>
    <row r="13" spans="1:74" s="101" customFormat="1" ht="45" x14ac:dyDescent="0.25">
      <c r="A13" s="98">
        <v>9</v>
      </c>
      <c r="B13" s="115" t="s">
        <v>327</v>
      </c>
      <c r="C13" s="116" t="s">
        <v>328</v>
      </c>
      <c r="D13" s="2"/>
      <c r="E13" s="127">
        <v>45191</v>
      </c>
      <c r="F13" s="99" t="s">
        <v>56</v>
      </c>
      <c r="G13" s="87">
        <v>21</v>
      </c>
      <c r="H13" s="29">
        <v>9</v>
      </c>
      <c r="I13" s="98" t="s">
        <v>329</v>
      </c>
      <c r="J13" s="117" t="s">
        <v>330</v>
      </c>
      <c r="K13" s="117" t="s">
        <v>331</v>
      </c>
      <c r="L13" s="6" t="s">
        <v>8</v>
      </c>
      <c r="M13" s="7"/>
      <c r="N13" s="7"/>
      <c r="O13" s="7"/>
      <c r="P13" s="102"/>
      <c r="Q13" s="6" t="s">
        <v>175</v>
      </c>
      <c r="R13" s="102"/>
      <c r="S13" s="6" t="s">
        <v>125</v>
      </c>
      <c r="T13" s="102"/>
      <c r="U13" s="6" t="s">
        <v>71</v>
      </c>
      <c r="V13" s="102"/>
      <c r="W13" s="6" t="s">
        <v>193</v>
      </c>
      <c r="X13" s="6"/>
      <c r="Y13" s="6"/>
      <c r="Z13" s="6"/>
      <c r="AA13" s="6"/>
      <c r="AB13" s="6"/>
      <c r="AC13" s="102"/>
      <c r="AD13" s="6" t="s">
        <v>204</v>
      </c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102"/>
      <c r="AU13" s="6" t="s">
        <v>43</v>
      </c>
      <c r="AV13" s="6"/>
      <c r="AW13" s="102"/>
      <c r="AX13" s="99" t="s">
        <v>345</v>
      </c>
      <c r="AY13" s="6" t="s">
        <v>346</v>
      </c>
      <c r="AZ13" s="99" t="s">
        <v>187</v>
      </c>
      <c r="BA13" s="99" t="s">
        <v>347</v>
      </c>
      <c r="BB13" s="99" t="s">
        <v>348</v>
      </c>
      <c r="BC13" s="99" t="s">
        <v>349</v>
      </c>
      <c r="BD13" s="6" t="s">
        <v>220</v>
      </c>
      <c r="BE13" s="6" t="s">
        <v>227</v>
      </c>
      <c r="BF13" s="6"/>
      <c r="BG13" s="6"/>
      <c r="BH13" s="6"/>
      <c r="BI13" s="102"/>
      <c r="BJ13" s="6" t="s">
        <v>224</v>
      </c>
      <c r="BK13" s="6"/>
      <c r="BL13" s="6"/>
      <c r="BM13" s="102"/>
      <c r="BN13" s="99" t="s">
        <v>350</v>
      </c>
      <c r="BO13" s="100" t="s">
        <v>23</v>
      </c>
      <c r="BP13" s="100"/>
      <c r="BQ13" s="100"/>
      <c r="BR13" s="102"/>
      <c r="BS13" s="6" t="s">
        <v>22</v>
      </c>
      <c r="BT13" s="6"/>
      <c r="BU13" s="6"/>
      <c r="BV13" s="6">
        <v>9</v>
      </c>
    </row>
    <row r="14" spans="1:74" s="101" customFormat="1" ht="56.25" x14ac:dyDescent="0.25">
      <c r="A14" s="98">
        <v>10</v>
      </c>
      <c r="B14" s="115" t="s">
        <v>327</v>
      </c>
      <c r="C14" s="116" t="s">
        <v>328</v>
      </c>
      <c r="D14" s="2"/>
      <c r="E14" s="127">
        <v>45191</v>
      </c>
      <c r="F14" s="99" t="s">
        <v>56</v>
      </c>
      <c r="G14" s="87">
        <v>1</v>
      </c>
      <c r="H14" s="29">
        <v>3</v>
      </c>
      <c r="I14" s="98">
        <v>4</v>
      </c>
      <c r="J14" s="117">
        <v>74</v>
      </c>
      <c r="K14" s="117" t="s">
        <v>332</v>
      </c>
      <c r="L14" s="6" t="s">
        <v>333</v>
      </c>
      <c r="M14" s="7"/>
      <c r="N14" s="7"/>
      <c r="O14" s="7"/>
      <c r="P14" s="102"/>
      <c r="Q14" s="6" t="s">
        <v>175</v>
      </c>
      <c r="R14" s="102"/>
      <c r="S14" s="6" t="s">
        <v>127</v>
      </c>
      <c r="T14" s="102"/>
      <c r="U14" s="6" t="s">
        <v>26</v>
      </c>
      <c r="V14" s="102"/>
      <c r="W14" s="6" t="s">
        <v>193</v>
      </c>
      <c r="X14" s="6"/>
      <c r="Y14" s="6"/>
      <c r="Z14" s="6"/>
      <c r="AA14" s="6"/>
      <c r="AB14" s="6"/>
      <c r="AC14" s="102"/>
      <c r="AD14" s="6" t="s">
        <v>204</v>
      </c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102"/>
      <c r="AU14" s="6" t="s">
        <v>192</v>
      </c>
      <c r="AV14" s="6"/>
      <c r="AW14" s="102"/>
      <c r="AX14" s="99" t="s">
        <v>345</v>
      </c>
      <c r="AY14" s="6" t="s">
        <v>346</v>
      </c>
      <c r="AZ14" s="99" t="s">
        <v>188</v>
      </c>
      <c r="BA14" s="99" t="s">
        <v>347</v>
      </c>
      <c r="BB14" s="99" t="s">
        <v>348</v>
      </c>
      <c r="BC14" s="99" t="s">
        <v>349</v>
      </c>
      <c r="BD14" s="6" t="s">
        <v>218</v>
      </c>
      <c r="BE14" s="6" t="s">
        <v>228</v>
      </c>
      <c r="BF14" s="6"/>
      <c r="BG14" s="6"/>
      <c r="BH14" s="6"/>
      <c r="BI14" s="102"/>
      <c r="BJ14" s="6" t="s">
        <v>224</v>
      </c>
      <c r="BK14" s="6"/>
      <c r="BL14" s="6"/>
      <c r="BM14" s="102"/>
      <c r="BN14" s="99" t="s">
        <v>350</v>
      </c>
      <c r="BO14" s="100"/>
      <c r="BP14" s="100"/>
      <c r="BQ14" s="100"/>
      <c r="BR14" s="102"/>
      <c r="BS14" s="6" t="s">
        <v>23</v>
      </c>
      <c r="BT14" s="6"/>
      <c r="BU14" s="6"/>
      <c r="BV14" s="6">
        <v>10</v>
      </c>
    </row>
    <row r="15" spans="1:74" s="101" customFormat="1" ht="45" x14ac:dyDescent="0.25">
      <c r="A15" s="98">
        <v>11</v>
      </c>
      <c r="B15" s="115" t="s">
        <v>327</v>
      </c>
      <c r="C15" s="116" t="s">
        <v>328</v>
      </c>
      <c r="D15" s="2"/>
      <c r="E15" s="127">
        <v>45191</v>
      </c>
      <c r="F15" s="99" t="s">
        <v>56</v>
      </c>
      <c r="G15" s="87">
        <v>1</v>
      </c>
      <c r="H15" s="29">
        <v>1</v>
      </c>
      <c r="I15" s="98">
        <v>2</v>
      </c>
      <c r="J15" s="117" t="s">
        <v>334</v>
      </c>
      <c r="K15" s="117"/>
      <c r="L15" s="6" t="s">
        <v>49</v>
      </c>
      <c r="M15" s="7"/>
      <c r="N15" s="7"/>
      <c r="O15" s="7"/>
      <c r="P15" s="102"/>
      <c r="Q15" s="6" t="s">
        <v>175</v>
      </c>
      <c r="R15" s="102"/>
      <c r="S15" s="6" t="s">
        <v>43</v>
      </c>
      <c r="T15" s="102"/>
      <c r="U15" s="6" t="s">
        <v>29</v>
      </c>
      <c r="V15" s="102"/>
      <c r="W15" s="6" t="s">
        <v>193</v>
      </c>
      <c r="X15" s="6"/>
      <c r="Y15" s="6"/>
      <c r="Z15" s="6"/>
      <c r="AA15" s="6"/>
      <c r="AB15" s="6"/>
      <c r="AC15" s="102"/>
      <c r="AD15" s="6" t="s">
        <v>204</v>
      </c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102"/>
      <c r="AU15" s="6" t="s">
        <v>191</v>
      </c>
      <c r="AV15" s="6"/>
      <c r="AW15" s="102"/>
      <c r="AX15" s="99" t="s">
        <v>345</v>
      </c>
      <c r="AY15" s="6" t="s">
        <v>346</v>
      </c>
      <c r="AZ15" s="99" t="s">
        <v>189</v>
      </c>
      <c r="BA15" s="99" t="s">
        <v>347</v>
      </c>
      <c r="BB15" s="99" t="s">
        <v>348</v>
      </c>
      <c r="BC15" s="99" t="s">
        <v>349</v>
      </c>
      <c r="BD15" s="6" t="s">
        <v>219</v>
      </c>
      <c r="BE15" s="6" t="s">
        <v>229</v>
      </c>
      <c r="BF15" s="6"/>
      <c r="BG15" s="6"/>
      <c r="BH15" s="6"/>
      <c r="BI15" s="102"/>
      <c r="BJ15" s="6" t="s">
        <v>224</v>
      </c>
      <c r="BK15" s="6"/>
      <c r="BL15" s="6"/>
      <c r="BM15" s="102"/>
      <c r="BN15" s="99" t="s">
        <v>350</v>
      </c>
      <c r="BO15" s="100"/>
      <c r="BP15" s="100"/>
      <c r="BQ15" s="100"/>
      <c r="BR15" s="102"/>
      <c r="BS15" s="6" t="s">
        <v>19</v>
      </c>
      <c r="BT15" s="6"/>
      <c r="BU15" s="6"/>
      <c r="BV15" s="6">
        <v>11</v>
      </c>
    </row>
    <row r="16" spans="1:74" s="101" customFormat="1" ht="22.5" x14ac:dyDescent="0.25">
      <c r="A16" s="98">
        <v>12</v>
      </c>
      <c r="B16" s="115" t="s">
        <v>327</v>
      </c>
      <c r="C16" s="116" t="s">
        <v>335</v>
      </c>
      <c r="D16" s="2"/>
      <c r="E16" s="127">
        <v>45191</v>
      </c>
      <c r="F16" s="99" t="s">
        <v>56</v>
      </c>
      <c r="G16" s="87">
        <v>4</v>
      </c>
      <c r="H16" s="29">
        <v>0</v>
      </c>
      <c r="I16" s="98">
        <v>4</v>
      </c>
      <c r="J16" s="117" t="s">
        <v>336</v>
      </c>
      <c r="K16" s="117"/>
      <c r="L16" s="6" t="s">
        <v>17</v>
      </c>
      <c r="M16" s="7"/>
      <c r="N16" s="7"/>
      <c r="O16" s="7"/>
      <c r="P16" s="102"/>
      <c r="Q16" s="6" t="s">
        <v>175</v>
      </c>
      <c r="R16" s="102"/>
      <c r="S16" s="6" t="s">
        <v>217</v>
      </c>
      <c r="T16" s="102"/>
      <c r="U16" s="6" t="s">
        <v>72</v>
      </c>
      <c r="V16" s="102"/>
      <c r="W16" s="6" t="s">
        <v>193</v>
      </c>
      <c r="X16" s="6"/>
      <c r="Y16" s="6"/>
      <c r="Z16" s="6"/>
      <c r="AA16" s="6"/>
      <c r="AB16" s="6"/>
      <c r="AC16" s="102"/>
      <c r="AD16" s="6" t="s">
        <v>204</v>
      </c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102"/>
      <c r="AU16" s="6" t="s">
        <v>43</v>
      </c>
      <c r="AV16" s="6"/>
      <c r="AW16" s="102"/>
      <c r="AX16" s="99" t="s">
        <v>345</v>
      </c>
      <c r="AY16" s="6" t="s">
        <v>346</v>
      </c>
      <c r="AZ16" s="99" t="s">
        <v>292</v>
      </c>
      <c r="BA16" s="99" t="s">
        <v>347</v>
      </c>
      <c r="BB16" s="99" t="s">
        <v>348</v>
      </c>
      <c r="BC16" s="99" t="s">
        <v>349</v>
      </c>
      <c r="BD16" s="6" t="s">
        <v>220</v>
      </c>
      <c r="BE16" s="6" t="s">
        <v>230</v>
      </c>
      <c r="BF16" s="6"/>
      <c r="BG16" s="6"/>
      <c r="BH16" s="6"/>
      <c r="BI16" s="102"/>
      <c r="BJ16" s="6" t="s">
        <v>224</v>
      </c>
      <c r="BK16" s="6"/>
      <c r="BL16" s="6"/>
      <c r="BM16" s="102"/>
      <c r="BN16" s="99" t="s">
        <v>350</v>
      </c>
      <c r="BO16" s="100"/>
      <c r="BP16" s="100"/>
      <c r="BQ16" s="100"/>
      <c r="BR16" s="102"/>
      <c r="BS16" s="6" t="s">
        <v>20</v>
      </c>
      <c r="BT16" s="6"/>
      <c r="BU16" s="6"/>
      <c r="BV16" s="6">
        <v>12</v>
      </c>
    </row>
    <row r="17" spans="1:74" s="101" customFormat="1" ht="33.75" x14ac:dyDescent="0.25">
      <c r="A17" s="98">
        <v>13</v>
      </c>
      <c r="B17" s="115" t="s">
        <v>327</v>
      </c>
      <c r="C17" s="116" t="s">
        <v>335</v>
      </c>
      <c r="D17" s="2"/>
      <c r="E17" s="127">
        <v>45191</v>
      </c>
      <c r="F17" s="99" t="s">
        <v>56</v>
      </c>
      <c r="G17" s="87">
        <v>2</v>
      </c>
      <c r="H17" s="29">
        <v>2</v>
      </c>
      <c r="I17" s="98">
        <v>4</v>
      </c>
      <c r="J17" s="117" t="s">
        <v>337</v>
      </c>
      <c r="K17" s="117" t="s">
        <v>338</v>
      </c>
      <c r="L17" s="6" t="s">
        <v>8</v>
      </c>
      <c r="M17" s="7"/>
      <c r="N17" s="7"/>
      <c r="O17" s="7"/>
      <c r="P17" s="102"/>
      <c r="Q17" s="6" t="s">
        <v>175</v>
      </c>
      <c r="R17" s="102"/>
      <c r="S17" s="6" t="s">
        <v>70</v>
      </c>
      <c r="T17" s="102"/>
      <c r="U17" s="6" t="s">
        <v>182</v>
      </c>
      <c r="V17" s="102"/>
      <c r="W17" s="6" t="s">
        <v>193</v>
      </c>
      <c r="X17" s="6"/>
      <c r="Y17" s="6"/>
      <c r="Z17" s="6"/>
      <c r="AA17" s="6"/>
      <c r="AB17" s="6"/>
      <c r="AC17" s="102"/>
      <c r="AD17" s="6" t="s">
        <v>204</v>
      </c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102"/>
      <c r="AU17" s="6" t="s">
        <v>192</v>
      </c>
      <c r="AV17" s="6"/>
      <c r="AW17" s="102"/>
      <c r="AX17" s="99" t="s">
        <v>345</v>
      </c>
      <c r="AY17" s="6" t="s">
        <v>346</v>
      </c>
      <c r="AZ17" s="99" t="s">
        <v>187</v>
      </c>
      <c r="BA17" s="99" t="s">
        <v>347</v>
      </c>
      <c r="BB17" s="99" t="s">
        <v>348</v>
      </c>
      <c r="BC17" s="99" t="s">
        <v>349</v>
      </c>
      <c r="BD17" s="6" t="s">
        <v>218</v>
      </c>
      <c r="BE17" s="6" t="s">
        <v>227</v>
      </c>
      <c r="BF17" s="6"/>
      <c r="BG17" s="6"/>
      <c r="BH17" s="6"/>
      <c r="BI17" s="102"/>
      <c r="BJ17" s="6" t="s">
        <v>224</v>
      </c>
      <c r="BK17" s="6"/>
      <c r="BL17" s="6"/>
      <c r="BM17" s="102"/>
      <c r="BN17" s="99" t="s">
        <v>350</v>
      </c>
      <c r="BO17" s="100"/>
      <c r="BP17" s="100"/>
      <c r="BQ17" s="100"/>
      <c r="BR17" s="102"/>
      <c r="BS17" s="6" t="s">
        <v>21</v>
      </c>
      <c r="BT17" s="6"/>
      <c r="BU17" s="6"/>
      <c r="BV17" s="6">
        <v>13</v>
      </c>
    </row>
    <row r="18" spans="1:74" s="101" customFormat="1" ht="56.25" x14ac:dyDescent="0.25">
      <c r="A18" s="98">
        <v>14</v>
      </c>
      <c r="B18" s="115" t="s">
        <v>327</v>
      </c>
      <c r="C18" s="116" t="s">
        <v>339</v>
      </c>
      <c r="D18" s="2"/>
      <c r="E18" s="127">
        <v>45191</v>
      </c>
      <c r="F18" s="99" t="s">
        <v>56</v>
      </c>
      <c r="G18" s="87">
        <v>3</v>
      </c>
      <c r="H18" s="29">
        <v>7</v>
      </c>
      <c r="I18" s="98">
        <v>10</v>
      </c>
      <c r="J18" s="117" t="s">
        <v>340</v>
      </c>
      <c r="K18" s="117" t="s">
        <v>341</v>
      </c>
      <c r="L18" s="6" t="s">
        <v>17</v>
      </c>
      <c r="M18" s="7"/>
      <c r="N18" s="7"/>
      <c r="O18" s="7"/>
      <c r="P18" s="102"/>
      <c r="Q18" s="6" t="s">
        <v>175</v>
      </c>
      <c r="R18" s="102"/>
      <c r="S18" s="6" t="s">
        <v>70</v>
      </c>
      <c r="T18" s="102"/>
      <c r="U18" s="6" t="s">
        <v>43</v>
      </c>
      <c r="V18" s="102"/>
      <c r="W18" s="6" t="s">
        <v>193</v>
      </c>
      <c r="X18" s="6"/>
      <c r="Y18" s="6"/>
      <c r="Z18" s="6"/>
      <c r="AA18" s="6"/>
      <c r="AB18" s="6"/>
      <c r="AC18" s="102"/>
      <c r="AD18" s="6" t="s">
        <v>204</v>
      </c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102"/>
      <c r="AU18" s="6" t="s">
        <v>191</v>
      </c>
      <c r="AV18" s="6"/>
      <c r="AW18" s="102"/>
      <c r="AX18" s="99" t="s">
        <v>345</v>
      </c>
      <c r="AY18" s="6" t="s">
        <v>346</v>
      </c>
      <c r="AZ18" s="99" t="s">
        <v>188</v>
      </c>
      <c r="BA18" s="99" t="s">
        <v>347</v>
      </c>
      <c r="BB18" s="99" t="s">
        <v>348</v>
      </c>
      <c r="BC18" s="99" t="s">
        <v>349</v>
      </c>
      <c r="BD18" s="6" t="s">
        <v>219</v>
      </c>
      <c r="BE18" s="6" t="s">
        <v>228</v>
      </c>
      <c r="BF18" s="6"/>
      <c r="BG18" s="6"/>
      <c r="BH18" s="6"/>
      <c r="BI18" s="102"/>
      <c r="BJ18" s="6" t="s">
        <v>224</v>
      </c>
      <c r="BK18" s="6"/>
      <c r="BL18" s="6"/>
      <c r="BM18" s="102"/>
      <c r="BN18" s="99" t="s">
        <v>350</v>
      </c>
      <c r="BO18" s="100"/>
      <c r="BP18" s="100"/>
      <c r="BQ18" s="100"/>
      <c r="BR18" s="102"/>
      <c r="BS18" s="6" t="s">
        <v>22</v>
      </c>
      <c r="BT18" s="6"/>
      <c r="BU18" s="6"/>
      <c r="BV18" s="6">
        <v>14</v>
      </c>
    </row>
    <row r="19" spans="1:74" s="101" customFormat="1" ht="45" x14ac:dyDescent="0.25">
      <c r="A19" s="98">
        <v>15</v>
      </c>
      <c r="B19" s="115" t="s">
        <v>327</v>
      </c>
      <c r="C19" s="116" t="s">
        <v>342</v>
      </c>
      <c r="D19" s="2"/>
      <c r="E19" s="127">
        <v>45191</v>
      </c>
      <c r="F19" s="99" t="s">
        <v>56</v>
      </c>
      <c r="G19" s="87">
        <v>11</v>
      </c>
      <c r="H19" s="29">
        <v>0</v>
      </c>
      <c r="I19" s="98">
        <v>11</v>
      </c>
      <c r="J19" s="117" t="s">
        <v>343</v>
      </c>
      <c r="K19" s="117"/>
      <c r="L19" s="6" t="s">
        <v>17</v>
      </c>
      <c r="M19" s="7"/>
      <c r="N19" s="7"/>
      <c r="O19" s="7"/>
      <c r="P19" s="102"/>
      <c r="Q19" s="6" t="s">
        <v>175</v>
      </c>
      <c r="R19" s="102"/>
      <c r="S19" s="6" t="s">
        <v>70</v>
      </c>
      <c r="T19" s="102"/>
      <c r="U19" s="6" t="s">
        <v>70</v>
      </c>
      <c r="V19" s="102"/>
      <c r="W19" s="6" t="s">
        <v>193</v>
      </c>
      <c r="X19" s="6"/>
      <c r="Y19" s="6"/>
      <c r="Z19" s="6"/>
      <c r="AA19" s="6"/>
      <c r="AB19" s="6"/>
      <c r="AC19" s="102"/>
      <c r="AD19" s="6" t="s">
        <v>204</v>
      </c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102"/>
      <c r="AU19" s="6" t="s">
        <v>43</v>
      </c>
      <c r="AV19" s="6"/>
      <c r="AW19" s="102"/>
      <c r="AX19" s="99" t="s">
        <v>345</v>
      </c>
      <c r="AY19" s="6" t="s">
        <v>346</v>
      </c>
      <c r="AZ19" s="99" t="s">
        <v>189</v>
      </c>
      <c r="BA19" s="99" t="s">
        <v>347</v>
      </c>
      <c r="BB19" s="99" t="s">
        <v>348</v>
      </c>
      <c r="BC19" s="99" t="s">
        <v>349</v>
      </c>
      <c r="BD19" s="6" t="s">
        <v>220</v>
      </c>
      <c r="BE19" s="6" t="s">
        <v>229</v>
      </c>
      <c r="BF19" s="6"/>
      <c r="BG19" s="6"/>
      <c r="BH19" s="6"/>
      <c r="BI19" s="102"/>
      <c r="BJ19" s="6" t="s">
        <v>224</v>
      </c>
      <c r="BK19" s="6"/>
      <c r="BL19" s="6"/>
      <c r="BM19" s="102"/>
      <c r="BN19" s="99" t="s">
        <v>350</v>
      </c>
      <c r="BO19" s="100"/>
      <c r="BP19" s="100"/>
      <c r="BQ19" s="100"/>
      <c r="BR19" s="102"/>
      <c r="BS19" s="6" t="s">
        <v>23</v>
      </c>
      <c r="BT19" s="6"/>
      <c r="BU19" s="6"/>
      <c r="BV19" s="6">
        <v>15</v>
      </c>
    </row>
    <row r="20" spans="1:74" s="101" customFormat="1" ht="22.5" x14ac:dyDescent="0.25">
      <c r="A20" s="98">
        <v>16</v>
      </c>
      <c r="B20" s="115" t="s">
        <v>327</v>
      </c>
      <c r="C20" s="116" t="s">
        <v>342</v>
      </c>
      <c r="D20" s="2"/>
      <c r="E20" s="127">
        <v>45191</v>
      </c>
      <c r="F20" s="99" t="s">
        <v>56</v>
      </c>
      <c r="G20" s="87">
        <v>6</v>
      </c>
      <c r="H20" s="29">
        <v>3</v>
      </c>
      <c r="I20" s="98">
        <v>9</v>
      </c>
      <c r="J20" s="117" t="s">
        <v>344</v>
      </c>
      <c r="K20" s="117" t="s">
        <v>332</v>
      </c>
      <c r="L20" s="6" t="s">
        <v>8</v>
      </c>
      <c r="M20" s="7"/>
      <c r="N20" s="7"/>
      <c r="O20" s="7"/>
      <c r="P20" s="102"/>
      <c r="Q20" s="6" t="s">
        <v>175</v>
      </c>
      <c r="R20" s="102"/>
      <c r="S20" s="6" t="s">
        <v>70</v>
      </c>
      <c r="T20" s="102"/>
      <c r="U20" s="6" t="s">
        <v>70</v>
      </c>
      <c r="V20" s="102"/>
      <c r="W20" s="6" t="s">
        <v>193</v>
      </c>
      <c r="X20" s="6"/>
      <c r="Y20" s="6"/>
      <c r="Z20" s="6"/>
      <c r="AA20" s="6"/>
      <c r="AB20" s="6"/>
      <c r="AC20" s="102"/>
      <c r="AD20" s="6" t="s">
        <v>204</v>
      </c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102"/>
      <c r="AU20" s="6" t="s">
        <v>192</v>
      </c>
      <c r="AV20" s="6"/>
      <c r="AW20" s="102"/>
      <c r="AX20" s="99" t="s">
        <v>345</v>
      </c>
      <c r="AY20" s="6" t="s">
        <v>346</v>
      </c>
      <c r="AZ20" s="99" t="s">
        <v>292</v>
      </c>
      <c r="BA20" s="99" t="s">
        <v>347</v>
      </c>
      <c r="BB20" s="99" t="s">
        <v>348</v>
      </c>
      <c r="BC20" s="99" t="s">
        <v>349</v>
      </c>
      <c r="BD20" s="6" t="s">
        <v>218</v>
      </c>
      <c r="BE20" s="6" t="s">
        <v>230</v>
      </c>
      <c r="BF20" s="6"/>
      <c r="BG20" s="6"/>
      <c r="BH20" s="6"/>
      <c r="BI20" s="102"/>
      <c r="BJ20" s="6" t="s">
        <v>224</v>
      </c>
      <c r="BK20" s="6"/>
      <c r="BL20" s="6"/>
      <c r="BM20" s="102"/>
      <c r="BN20" s="99" t="s">
        <v>350</v>
      </c>
      <c r="BO20" s="100"/>
      <c r="BP20" s="100"/>
      <c r="BQ20" s="100"/>
      <c r="BR20" s="102"/>
      <c r="BS20" s="6" t="s">
        <v>19</v>
      </c>
      <c r="BT20" s="6"/>
      <c r="BU20" s="6"/>
      <c r="BV20" s="6">
        <v>16</v>
      </c>
    </row>
    <row r="21" spans="1:74" s="101" customFormat="1" x14ac:dyDescent="0.25">
      <c r="A21" s="98">
        <v>17</v>
      </c>
      <c r="B21" s="115" t="s">
        <v>327</v>
      </c>
      <c r="C21" s="116" t="s">
        <v>342</v>
      </c>
      <c r="D21" s="2"/>
      <c r="E21" s="127">
        <v>45191</v>
      </c>
      <c r="F21" s="99" t="s">
        <v>56</v>
      </c>
      <c r="G21" s="87">
        <v>3</v>
      </c>
      <c r="H21" s="29">
        <v>0</v>
      </c>
      <c r="I21" s="98">
        <v>3</v>
      </c>
      <c r="J21" s="117" t="s">
        <v>334</v>
      </c>
      <c r="K21" s="117"/>
      <c r="L21" s="6" t="s">
        <v>49</v>
      </c>
      <c r="M21" s="7"/>
      <c r="N21" s="7"/>
      <c r="O21" s="7"/>
      <c r="P21" s="102"/>
      <c r="Q21" s="6" t="s">
        <v>175</v>
      </c>
      <c r="R21" s="102"/>
      <c r="S21" s="6" t="s">
        <v>70</v>
      </c>
      <c r="T21" s="102"/>
      <c r="U21" s="6" t="s">
        <v>70</v>
      </c>
      <c r="V21" s="102"/>
      <c r="W21" s="6" t="s">
        <v>193</v>
      </c>
      <c r="X21" s="6"/>
      <c r="Y21" s="6"/>
      <c r="Z21" s="6"/>
      <c r="AA21" s="6"/>
      <c r="AB21" s="6"/>
      <c r="AC21" s="102"/>
      <c r="AD21" s="6" t="s">
        <v>204</v>
      </c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102"/>
      <c r="AU21" s="6" t="s">
        <v>191</v>
      </c>
      <c r="AV21" s="6"/>
      <c r="AW21" s="102"/>
      <c r="AX21" s="99" t="s">
        <v>345</v>
      </c>
      <c r="AY21" s="6" t="s">
        <v>346</v>
      </c>
      <c r="AZ21" s="99" t="s">
        <v>187</v>
      </c>
      <c r="BA21" s="99" t="s">
        <v>347</v>
      </c>
      <c r="BB21" s="99" t="s">
        <v>348</v>
      </c>
      <c r="BC21" s="99" t="s">
        <v>349</v>
      </c>
      <c r="BD21" s="6" t="s">
        <v>219</v>
      </c>
      <c r="BE21" s="6" t="s">
        <v>227</v>
      </c>
      <c r="BF21" s="6"/>
      <c r="BG21" s="6"/>
      <c r="BH21" s="6"/>
      <c r="BI21" s="102"/>
      <c r="BJ21" s="6" t="s">
        <v>224</v>
      </c>
      <c r="BK21" s="6"/>
      <c r="BL21" s="6"/>
      <c r="BM21" s="102"/>
      <c r="BN21" s="99" t="s">
        <v>350</v>
      </c>
      <c r="BO21" s="100"/>
      <c r="BP21" s="100"/>
      <c r="BQ21" s="100"/>
      <c r="BR21" s="102"/>
      <c r="BS21" s="6" t="s">
        <v>19</v>
      </c>
      <c r="BT21" s="6"/>
      <c r="BU21" s="6"/>
      <c r="BV21" s="6">
        <v>17</v>
      </c>
    </row>
    <row r="22" spans="1:74" s="101" customFormat="1" x14ac:dyDescent="0.25">
      <c r="A22" s="98"/>
      <c r="B22" s="115"/>
      <c r="C22" s="116"/>
      <c r="D22" s="2"/>
      <c r="E22" s="127"/>
      <c r="F22" s="99"/>
      <c r="G22" s="87"/>
      <c r="H22" s="29"/>
      <c r="I22" s="98"/>
      <c r="J22" s="117"/>
      <c r="K22" s="117"/>
      <c r="L22" s="6"/>
      <c r="M22" s="7"/>
      <c r="N22" s="7"/>
      <c r="O22" s="7"/>
      <c r="P22" s="102"/>
      <c r="Q22" s="6"/>
      <c r="R22" s="102"/>
      <c r="S22" s="6"/>
      <c r="T22" s="102"/>
      <c r="U22" s="6"/>
      <c r="V22" s="102"/>
      <c r="W22" s="6"/>
      <c r="X22" s="6"/>
      <c r="Y22" s="6"/>
      <c r="Z22" s="6"/>
      <c r="AA22" s="6"/>
      <c r="AB22" s="6"/>
      <c r="AC22" s="102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102"/>
      <c r="AU22" s="6"/>
      <c r="AV22" s="6"/>
      <c r="AW22" s="102"/>
      <c r="AX22" s="99"/>
      <c r="AY22" s="7"/>
      <c r="AZ22" s="99"/>
      <c r="BA22" s="102"/>
      <c r="BB22" s="102"/>
      <c r="BC22" s="102"/>
      <c r="BD22" s="6"/>
      <c r="BE22" s="6"/>
      <c r="BF22" s="6"/>
      <c r="BG22" s="6"/>
      <c r="BH22" s="6"/>
      <c r="BI22" s="102"/>
      <c r="BJ22" s="6"/>
      <c r="BK22" s="6"/>
      <c r="BL22" s="6"/>
      <c r="BM22" s="102"/>
      <c r="BN22" s="99"/>
      <c r="BO22" s="100"/>
      <c r="BP22" s="100"/>
      <c r="BQ22" s="100"/>
      <c r="BR22" s="102"/>
      <c r="BS22" s="6"/>
      <c r="BT22" s="6"/>
      <c r="BU22" s="6"/>
      <c r="BV22" s="6"/>
    </row>
    <row r="23" spans="1:74" s="101" customFormat="1" x14ac:dyDescent="0.25">
      <c r="A23" s="98"/>
      <c r="B23" s="115"/>
      <c r="C23" s="116"/>
      <c r="D23" s="2"/>
      <c r="E23" s="127"/>
      <c r="F23" s="99"/>
      <c r="G23" s="87"/>
      <c r="H23" s="29"/>
      <c r="I23" s="98"/>
      <c r="J23" s="117"/>
      <c r="K23" s="117"/>
      <c r="L23" s="6"/>
      <c r="M23" s="7"/>
      <c r="N23" s="7"/>
      <c r="O23" s="7"/>
      <c r="P23" s="102"/>
      <c r="Q23" s="6"/>
      <c r="R23" s="102"/>
      <c r="S23" s="6"/>
      <c r="T23" s="102"/>
      <c r="U23" s="6"/>
      <c r="V23" s="102"/>
      <c r="W23" s="6"/>
      <c r="X23" s="6"/>
      <c r="Y23" s="6"/>
      <c r="Z23" s="6"/>
      <c r="AA23" s="6"/>
      <c r="AB23" s="6"/>
      <c r="AC23" s="102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102"/>
      <c r="AU23" s="6"/>
      <c r="AV23" s="6"/>
      <c r="AW23" s="102"/>
      <c r="AX23" s="99"/>
      <c r="AY23" s="7"/>
      <c r="AZ23" s="99"/>
      <c r="BA23" s="102"/>
      <c r="BB23" s="102"/>
      <c r="BC23" s="102"/>
      <c r="BD23" s="6"/>
      <c r="BE23" s="6"/>
      <c r="BF23" s="6"/>
      <c r="BG23" s="6"/>
      <c r="BH23" s="6"/>
      <c r="BI23" s="102"/>
      <c r="BJ23" s="6"/>
      <c r="BK23" s="6"/>
      <c r="BL23" s="6"/>
      <c r="BM23" s="102"/>
      <c r="BN23" s="99"/>
      <c r="BO23" s="100"/>
      <c r="BP23" s="100"/>
      <c r="BQ23" s="100"/>
      <c r="BR23" s="102"/>
      <c r="BS23" s="6"/>
      <c r="BT23" s="6"/>
      <c r="BU23" s="6"/>
      <c r="BV23" s="6"/>
    </row>
    <row r="24" spans="1:74" s="101" customFormat="1" x14ac:dyDescent="0.25">
      <c r="A24" s="98"/>
      <c r="B24" s="115"/>
      <c r="C24" s="116"/>
      <c r="D24" s="2"/>
      <c r="E24" s="127"/>
      <c r="F24" s="99"/>
      <c r="G24" s="87"/>
      <c r="H24" s="29"/>
      <c r="I24" s="98"/>
      <c r="J24" s="117"/>
      <c r="K24" s="117"/>
      <c r="L24" s="6"/>
      <c r="M24" s="7"/>
      <c r="N24" s="7"/>
      <c r="O24" s="7"/>
      <c r="P24" s="102"/>
      <c r="Q24" s="6"/>
      <c r="R24" s="102"/>
      <c r="S24" s="6"/>
      <c r="T24" s="102"/>
      <c r="U24" s="6"/>
      <c r="V24" s="102"/>
      <c r="W24" s="6"/>
      <c r="X24" s="6"/>
      <c r="Y24" s="6"/>
      <c r="Z24" s="6"/>
      <c r="AA24" s="6"/>
      <c r="AB24" s="6"/>
      <c r="AC24" s="102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102"/>
      <c r="AU24" s="6"/>
      <c r="AV24" s="6"/>
      <c r="AW24" s="102"/>
      <c r="AX24" s="99"/>
      <c r="AY24" s="7"/>
      <c r="AZ24" s="99"/>
      <c r="BA24" s="102"/>
      <c r="BB24" s="102"/>
      <c r="BC24" s="102"/>
      <c r="BD24" s="6"/>
      <c r="BE24" s="6"/>
      <c r="BF24" s="6"/>
      <c r="BG24" s="6"/>
      <c r="BH24" s="6"/>
      <c r="BI24" s="102"/>
      <c r="BJ24" s="6"/>
      <c r="BK24" s="6"/>
      <c r="BL24" s="6"/>
      <c r="BM24" s="102"/>
      <c r="BN24" s="99"/>
      <c r="BO24" s="100"/>
      <c r="BP24" s="100"/>
      <c r="BQ24" s="100"/>
      <c r="BR24" s="102"/>
      <c r="BS24" s="6"/>
      <c r="BT24" s="6"/>
      <c r="BU24" s="6"/>
      <c r="BV24" s="6"/>
    </row>
    <row r="25" spans="1:74" s="101" customFormat="1" x14ac:dyDescent="0.25">
      <c r="A25" s="98"/>
      <c r="B25" s="115"/>
      <c r="C25" s="116"/>
      <c r="D25" s="2"/>
      <c r="E25" s="127"/>
      <c r="F25" s="99"/>
      <c r="G25" s="87"/>
      <c r="H25" s="29"/>
      <c r="I25" s="98"/>
      <c r="J25" s="117"/>
      <c r="K25" s="117"/>
      <c r="L25" s="6"/>
      <c r="M25" s="7"/>
      <c r="N25" s="7"/>
      <c r="O25" s="7"/>
      <c r="P25" s="102"/>
      <c r="Q25" s="6"/>
      <c r="R25" s="102"/>
      <c r="S25" s="6"/>
      <c r="T25" s="102"/>
      <c r="U25" s="6"/>
      <c r="V25" s="102"/>
      <c r="W25" s="6"/>
      <c r="X25" s="6"/>
      <c r="Y25" s="6"/>
      <c r="Z25" s="6"/>
      <c r="AA25" s="6"/>
      <c r="AB25" s="6"/>
      <c r="AC25" s="102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102"/>
      <c r="AU25" s="6"/>
      <c r="AV25" s="6"/>
      <c r="AW25" s="102"/>
      <c r="AX25" s="99"/>
      <c r="AY25" s="7"/>
      <c r="AZ25" s="99"/>
      <c r="BA25" s="102"/>
      <c r="BB25" s="102"/>
      <c r="BC25" s="102"/>
      <c r="BD25" s="6"/>
      <c r="BE25" s="6"/>
      <c r="BF25" s="6"/>
      <c r="BG25" s="6"/>
      <c r="BH25" s="6"/>
      <c r="BI25" s="102"/>
      <c r="BJ25" s="6"/>
      <c r="BK25" s="6"/>
      <c r="BL25" s="6"/>
      <c r="BM25" s="102"/>
      <c r="BN25" s="99"/>
      <c r="BO25" s="100"/>
      <c r="BP25" s="100"/>
      <c r="BQ25" s="100"/>
      <c r="BR25" s="102"/>
      <c r="BS25" s="6"/>
      <c r="BT25" s="6"/>
      <c r="BU25" s="6"/>
      <c r="BV25" s="6"/>
    </row>
    <row r="26" spans="1:74" s="101" customFormat="1" x14ac:dyDescent="0.25">
      <c r="A26" s="98"/>
      <c r="B26" s="115"/>
      <c r="C26" s="116"/>
      <c r="D26" s="2"/>
      <c r="E26" s="127"/>
      <c r="F26" s="99"/>
      <c r="G26" s="87"/>
      <c r="H26" s="29"/>
      <c r="I26" s="98"/>
      <c r="J26" s="117"/>
      <c r="K26" s="117"/>
      <c r="L26" s="6"/>
      <c r="M26" s="7"/>
      <c r="N26" s="7"/>
      <c r="O26" s="7"/>
      <c r="P26" s="102"/>
      <c r="Q26" s="6"/>
      <c r="R26" s="102"/>
      <c r="S26" s="6"/>
      <c r="T26" s="102"/>
      <c r="U26" s="6"/>
      <c r="V26" s="102"/>
      <c r="W26" s="6"/>
      <c r="X26" s="6"/>
      <c r="Y26" s="6"/>
      <c r="Z26" s="6"/>
      <c r="AA26" s="6"/>
      <c r="AB26" s="6"/>
      <c r="AC26" s="102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102"/>
      <c r="AU26" s="6"/>
      <c r="AV26" s="6"/>
      <c r="AW26" s="102"/>
      <c r="AX26" s="99"/>
      <c r="AY26" s="7"/>
      <c r="AZ26" s="99"/>
      <c r="BA26" s="102"/>
      <c r="BB26" s="102"/>
      <c r="BC26" s="102"/>
      <c r="BD26" s="6"/>
      <c r="BE26" s="6"/>
      <c r="BF26" s="6"/>
      <c r="BG26" s="6"/>
      <c r="BH26" s="6"/>
      <c r="BI26" s="102"/>
      <c r="BJ26" s="6"/>
      <c r="BK26" s="6"/>
      <c r="BL26" s="6"/>
      <c r="BM26" s="102"/>
      <c r="BN26" s="99"/>
      <c r="BO26" s="100"/>
      <c r="BP26" s="100"/>
      <c r="BQ26" s="100"/>
      <c r="BR26" s="102"/>
      <c r="BS26" s="6"/>
      <c r="BT26" s="6"/>
      <c r="BU26" s="6"/>
      <c r="BV26" s="6"/>
    </row>
    <row r="27" spans="1:74" s="101" customFormat="1" x14ac:dyDescent="0.25">
      <c r="A27" s="98"/>
      <c r="B27" s="115"/>
      <c r="C27" s="116"/>
      <c r="D27" s="2"/>
      <c r="E27" s="127"/>
      <c r="F27" s="99"/>
      <c r="G27" s="87"/>
      <c r="H27" s="29"/>
      <c r="I27" s="98"/>
      <c r="J27" s="117"/>
      <c r="K27" s="117"/>
      <c r="L27" s="6"/>
      <c r="M27" s="7"/>
      <c r="N27" s="7"/>
      <c r="O27" s="7"/>
      <c r="P27" s="102"/>
      <c r="Q27" s="6"/>
      <c r="R27" s="102"/>
      <c r="S27" s="6"/>
      <c r="T27" s="102"/>
      <c r="U27" s="6"/>
      <c r="V27" s="102"/>
      <c r="W27" s="6"/>
      <c r="X27" s="6"/>
      <c r="Y27" s="6"/>
      <c r="Z27" s="6"/>
      <c r="AA27" s="6"/>
      <c r="AB27" s="6"/>
      <c r="AC27" s="102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102"/>
      <c r="AU27" s="6"/>
      <c r="AV27" s="6"/>
      <c r="AW27" s="102"/>
      <c r="AX27" s="99"/>
      <c r="AY27" s="7"/>
      <c r="AZ27" s="99"/>
      <c r="BA27" s="102"/>
      <c r="BB27" s="102"/>
      <c r="BC27" s="102"/>
      <c r="BD27" s="6"/>
      <c r="BE27" s="6"/>
      <c r="BF27" s="6"/>
      <c r="BG27" s="6"/>
      <c r="BH27" s="6"/>
      <c r="BI27" s="102"/>
      <c r="BJ27" s="6"/>
      <c r="BK27" s="6"/>
      <c r="BL27" s="6"/>
      <c r="BM27" s="102"/>
      <c r="BN27" s="99"/>
      <c r="BO27" s="100"/>
      <c r="BP27" s="100"/>
      <c r="BQ27" s="100"/>
      <c r="BR27" s="102"/>
      <c r="BS27" s="6"/>
      <c r="BT27" s="6"/>
      <c r="BU27" s="6"/>
      <c r="BV27" s="6"/>
    </row>
    <row r="28" spans="1:74" s="101" customFormat="1" x14ac:dyDescent="0.25">
      <c r="A28" s="98"/>
      <c r="B28" s="115"/>
      <c r="C28" s="116"/>
      <c r="D28" s="2"/>
      <c r="E28" s="127"/>
      <c r="F28" s="99"/>
      <c r="G28" s="87"/>
      <c r="H28" s="29"/>
      <c r="I28" s="98"/>
      <c r="J28" s="117"/>
      <c r="K28" s="117"/>
      <c r="L28" s="6"/>
      <c r="M28" s="7"/>
      <c r="N28" s="7"/>
      <c r="O28" s="7"/>
      <c r="P28" s="102"/>
      <c r="Q28" s="6"/>
      <c r="R28" s="102"/>
      <c r="S28" s="6"/>
      <c r="T28" s="102"/>
      <c r="U28" s="6"/>
      <c r="V28" s="102"/>
      <c r="W28" s="6"/>
      <c r="X28" s="6"/>
      <c r="Y28" s="6"/>
      <c r="Z28" s="6"/>
      <c r="AA28" s="6"/>
      <c r="AB28" s="6"/>
      <c r="AC28" s="102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102"/>
      <c r="AU28" s="6"/>
      <c r="AV28" s="6"/>
      <c r="AW28" s="102"/>
      <c r="AX28" s="99"/>
      <c r="AY28" s="7"/>
      <c r="AZ28" s="99"/>
      <c r="BA28" s="102"/>
      <c r="BB28" s="102"/>
      <c r="BC28" s="102"/>
      <c r="BD28" s="6"/>
      <c r="BE28" s="6"/>
      <c r="BF28" s="6"/>
      <c r="BG28" s="6"/>
      <c r="BH28" s="6"/>
      <c r="BI28" s="102"/>
      <c r="BJ28" s="6"/>
      <c r="BK28" s="6"/>
      <c r="BL28" s="6"/>
      <c r="BM28" s="102"/>
      <c r="BN28" s="99"/>
      <c r="BO28" s="100"/>
      <c r="BP28" s="100"/>
      <c r="BQ28" s="100"/>
      <c r="BR28" s="102"/>
      <c r="BS28" s="6"/>
      <c r="BT28" s="6"/>
      <c r="BU28" s="6"/>
      <c r="BV28" s="6"/>
    </row>
    <row r="29" spans="1:74" s="101" customFormat="1" x14ac:dyDescent="0.25">
      <c r="A29" s="98"/>
      <c r="B29" s="115"/>
      <c r="C29" s="116"/>
      <c r="D29" s="2"/>
      <c r="E29" s="127"/>
      <c r="F29" s="99"/>
      <c r="G29" s="87"/>
      <c r="H29" s="29"/>
      <c r="I29" s="98"/>
      <c r="J29" s="117"/>
      <c r="K29" s="117"/>
      <c r="L29" s="6"/>
      <c r="M29" s="7"/>
      <c r="N29" s="7"/>
      <c r="O29" s="7"/>
      <c r="P29" s="102"/>
      <c r="Q29" s="6"/>
      <c r="R29" s="102"/>
      <c r="S29" s="6"/>
      <c r="T29" s="102"/>
      <c r="U29" s="6"/>
      <c r="V29" s="102"/>
      <c r="W29" s="6"/>
      <c r="X29" s="6"/>
      <c r="Y29" s="6"/>
      <c r="Z29" s="6"/>
      <c r="AA29" s="6"/>
      <c r="AB29" s="6"/>
      <c r="AC29" s="102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102"/>
      <c r="AU29" s="6"/>
      <c r="AV29" s="6"/>
      <c r="AW29" s="102"/>
      <c r="AX29" s="99"/>
      <c r="AY29" s="7"/>
      <c r="AZ29" s="99"/>
      <c r="BA29" s="102"/>
      <c r="BB29" s="102"/>
      <c r="BC29" s="102"/>
      <c r="BD29" s="6"/>
      <c r="BE29" s="6"/>
      <c r="BF29" s="6"/>
      <c r="BG29" s="6"/>
      <c r="BH29" s="6"/>
      <c r="BI29" s="102"/>
      <c r="BJ29" s="6"/>
      <c r="BK29" s="6"/>
      <c r="BL29" s="6"/>
      <c r="BM29" s="102"/>
      <c r="BN29" s="99"/>
      <c r="BO29" s="100"/>
      <c r="BP29" s="100"/>
      <c r="BQ29" s="100"/>
      <c r="BR29" s="102"/>
      <c r="BS29" s="6"/>
      <c r="BT29" s="6"/>
      <c r="BU29" s="6"/>
      <c r="BV29" s="6"/>
    </row>
    <row r="30" spans="1:74" s="101" customFormat="1" x14ac:dyDescent="0.25">
      <c r="A30" s="98"/>
      <c r="B30" s="115"/>
      <c r="C30" s="116"/>
      <c r="D30" s="2"/>
      <c r="E30" s="127"/>
      <c r="F30" s="99"/>
      <c r="G30" s="87"/>
      <c r="H30" s="29"/>
      <c r="I30" s="98"/>
      <c r="J30" s="117"/>
      <c r="K30" s="117"/>
      <c r="L30" s="6"/>
      <c r="M30" s="7"/>
      <c r="N30" s="7"/>
      <c r="O30" s="7"/>
      <c r="P30" s="102"/>
      <c r="Q30" s="6"/>
      <c r="R30" s="102"/>
      <c r="S30" s="6"/>
      <c r="T30" s="102"/>
      <c r="U30" s="6"/>
      <c r="V30" s="102"/>
      <c r="W30" s="6"/>
      <c r="X30" s="6"/>
      <c r="Y30" s="6"/>
      <c r="Z30" s="6"/>
      <c r="AA30" s="6"/>
      <c r="AB30" s="6"/>
      <c r="AC30" s="102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102"/>
      <c r="AU30" s="6"/>
      <c r="AV30" s="6"/>
      <c r="AW30" s="102"/>
      <c r="AX30" s="99"/>
      <c r="AY30" s="7"/>
      <c r="AZ30" s="99"/>
      <c r="BA30" s="102"/>
      <c r="BB30" s="102"/>
      <c r="BC30" s="102"/>
      <c r="BD30" s="6"/>
      <c r="BE30" s="6"/>
      <c r="BF30" s="6"/>
      <c r="BG30" s="6"/>
      <c r="BH30" s="6"/>
      <c r="BI30" s="102"/>
      <c r="BJ30" s="6"/>
      <c r="BK30" s="6"/>
      <c r="BL30" s="6"/>
      <c r="BM30" s="102"/>
      <c r="BN30" s="99"/>
      <c r="BO30" s="100"/>
      <c r="BP30" s="100"/>
      <c r="BQ30" s="100"/>
      <c r="BR30" s="102"/>
      <c r="BS30" s="6"/>
      <c r="BT30" s="6"/>
      <c r="BU30" s="6"/>
      <c r="BV30" s="6"/>
    </row>
    <row r="31" spans="1:74" s="101" customFormat="1" x14ac:dyDescent="0.25">
      <c r="A31" s="98"/>
      <c r="B31" s="115"/>
      <c r="C31" s="116"/>
      <c r="D31" s="2"/>
      <c r="E31" s="127"/>
      <c r="F31" s="99"/>
      <c r="G31" s="87"/>
      <c r="H31" s="29"/>
      <c r="I31" s="98"/>
      <c r="J31" s="117"/>
      <c r="K31" s="117"/>
      <c r="L31" s="6"/>
      <c r="M31" s="7"/>
      <c r="N31" s="7"/>
      <c r="O31" s="7"/>
      <c r="P31" s="102"/>
      <c r="Q31" s="6"/>
      <c r="R31" s="102"/>
      <c r="S31" s="6"/>
      <c r="T31" s="102"/>
      <c r="U31" s="6"/>
      <c r="V31" s="102"/>
      <c r="W31" s="6"/>
      <c r="X31" s="6"/>
      <c r="Y31" s="6"/>
      <c r="Z31" s="6"/>
      <c r="AA31" s="6"/>
      <c r="AB31" s="6"/>
      <c r="AC31" s="102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102"/>
      <c r="AU31" s="6"/>
      <c r="AV31" s="6"/>
      <c r="AW31" s="102"/>
      <c r="AX31" s="99"/>
      <c r="AY31" s="7"/>
      <c r="AZ31" s="99"/>
      <c r="BA31" s="102"/>
      <c r="BB31" s="102"/>
      <c r="BC31" s="102"/>
      <c r="BD31" s="6"/>
      <c r="BE31" s="6"/>
      <c r="BF31" s="6"/>
      <c r="BG31" s="6"/>
      <c r="BH31" s="6"/>
      <c r="BI31" s="102"/>
      <c r="BJ31" s="6"/>
      <c r="BK31" s="6"/>
      <c r="BL31" s="6"/>
      <c r="BM31" s="102"/>
      <c r="BN31" s="99"/>
      <c r="BO31" s="100"/>
      <c r="BP31" s="100"/>
      <c r="BQ31" s="100"/>
      <c r="BR31" s="102"/>
      <c r="BS31" s="6"/>
      <c r="BT31" s="6"/>
      <c r="BU31" s="6"/>
      <c r="BV31" s="6"/>
    </row>
    <row r="32" spans="1:74" s="101" customFormat="1" x14ac:dyDescent="0.25">
      <c r="A32" s="98"/>
      <c r="B32" s="115"/>
      <c r="C32" s="116"/>
      <c r="D32" s="2"/>
      <c r="E32" s="127"/>
      <c r="F32" s="99"/>
      <c r="G32" s="87"/>
      <c r="H32" s="29"/>
      <c r="I32" s="98"/>
      <c r="J32" s="117"/>
      <c r="K32" s="117"/>
      <c r="L32" s="6"/>
      <c r="M32" s="7"/>
      <c r="N32" s="7"/>
      <c r="O32" s="7"/>
      <c r="P32" s="102"/>
      <c r="Q32" s="6"/>
      <c r="R32" s="102"/>
      <c r="S32" s="6"/>
      <c r="T32" s="102"/>
      <c r="U32" s="6"/>
      <c r="V32" s="102"/>
      <c r="W32" s="6"/>
      <c r="X32" s="6"/>
      <c r="Y32" s="6"/>
      <c r="Z32" s="6"/>
      <c r="AA32" s="6"/>
      <c r="AB32" s="6"/>
      <c r="AC32" s="102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102"/>
      <c r="AU32" s="6"/>
      <c r="AV32" s="6"/>
      <c r="AW32" s="102"/>
      <c r="AX32" s="99"/>
      <c r="AY32" s="7"/>
      <c r="AZ32" s="99"/>
      <c r="BA32" s="102"/>
      <c r="BB32" s="102"/>
      <c r="BC32" s="102"/>
      <c r="BD32" s="6"/>
      <c r="BE32" s="6"/>
      <c r="BF32" s="6"/>
      <c r="BG32" s="6"/>
      <c r="BH32" s="6"/>
      <c r="BI32" s="102"/>
      <c r="BJ32" s="6"/>
      <c r="BK32" s="6"/>
      <c r="BL32" s="6"/>
      <c r="BM32" s="102"/>
      <c r="BN32" s="99"/>
      <c r="BO32" s="100"/>
      <c r="BP32" s="100"/>
      <c r="BQ32" s="100"/>
      <c r="BR32" s="102"/>
      <c r="BS32" s="6"/>
      <c r="BT32" s="6"/>
      <c r="BU32" s="6"/>
      <c r="BV32" s="6"/>
    </row>
    <row r="33" spans="1:74" s="101" customFormat="1" x14ac:dyDescent="0.25">
      <c r="A33" s="98"/>
      <c r="B33" s="115"/>
      <c r="C33" s="116"/>
      <c r="D33" s="2"/>
      <c r="E33" s="127"/>
      <c r="F33" s="99"/>
      <c r="G33" s="87"/>
      <c r="H33" s="29"/>
      <c r="I33" s="98"/>
      <c r="J33" s="117"/>
      <c r="K33" s="117"/>
      <c r="L33" s="6"/>
      <c r="M33" s="7"/>
      <c r="N33" s="7"/>
      <c r="O33" s="7"/>
      <c r="P33" s="102"/>
      <c r="Q33" s="6"/>
      <c r="R33" s="102"/>
      <c r="S33" s="6"/>
      <c r="T33" s="102"/>
      <c r="U33" s="6"/>
      <c r="V33" s="102"/>
      <c r="W33" s="6"/>
      <c r="X33" s="6"/>
      <c r="Y33" s="6"/>
      <c r="Z33" s="6"/>
      <c r="AA33" s="6"/>
      <c r="AB33" s="6"/>
      <c r="AC33" s="102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102"/>
      <c r="AU33" s="6"/>
      <c r="AV33" s="6"/>
      <c r="AW33" s="102"/>
      <c r="AX33" s="99"/>
      <c r="AY33" s="7"/>
      <c r="AZ33" s="99"/>
      <c r="BA33" s="102"/>
      <c r="BB33" s="102"/>
      <c r="BC33" s="102"/>
      <c r="BD33" s="6"/>
      <c r="BE33" s="6"/>
      <c r="BF33" s="6"/>
      <c r="BG33" s="6"/>
      <c r="BH33" s="6"/>
      <c r="BI33" s="102"/>
      <c r="BJ33" s="6"/>
      <c r="BK33" s="6"/>
      <c r="BL33" s="6"/>
      <c r="BM33" s="102"/>
      <c r="BN33" s="99"/>
      <c r="BO33" s="100"/>
      <c r="BP33" s="100"/>
      <c r="BQ33" s="100"/>
      <c r="BR33" s="102"/>
      <c r="BS33" s="6"/>
      <c r="BT33" s="6"/>
      <c r="BU33" s="6"/>
      <c r="BV33" s="6"/>
    </row>
    <row r="34" spans="1:74" s="101" customFormat="1" x14ac:dyDescent="0.25">
      <c r="A34" s="98"/>
      <c r="B34" s="115"/>
      <c r="C34" s="116"/>
      <c r="D34" s="2"/>
      <c r="E34" s="127"/>
      <c r="F34" s="99"/>
      <c r="G34" s="87"/>
      <c r="H34" s="29"/>
      <c r="I34" s="98"/>
      <c r="J34" s="117"/>
      <c r="K34" s="117"/>
      <c r="L34" s="6"/>
      <c r="M34" s="7"/>
      <c r="N34" s="7"/>
      <c r="O34" s="7"/>
      <c r="P34" s="102"/>
      <c r="Q34" s="6"/>
      <c r="R34" s="102"/>
      <c r="S34" s="6"/>
      <c r="T34" s="102"/>
      <c r="U34" s="6"/>
      <c r="V34" s="102"/>
      <c r="W34" s="6"/>
      <c r="X34" s="6"/>
      <c r="Y34" s="6"/>
      <c r="Z34" s="6"/>
      <c r="AA34" s="6"/>
      <c r="AB34" s="6"/>
      <c r="AC34" s="102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102"/>
      <c r="AU34" s="6"/>
      <c r="AV34" s="6"/>
      <c r="AW34" s="102"/>
      <c r="AX34" s="99"/>
      <c r="AY34" s="7"/>
      <c r="AZ34" s="99"/>
      <c r="BA34" s="102"/>
      <c r="BB34" s="102"/>
      <c r="BC34" s="102"/>
      <c r="BD34" s="6"/>
      <c r="BE34" s="6"/>
      <c r="BF34" s="6"/>
      <c r="BG34" s="6"/>
      <c r="BH34" s="6"/>
      <c r="BI34" s="102"/>
      <c r="BJ34" s="6"/>
      <c r="BK34" s="6"/>
      <c r="BL34" s="6"/>
      <c r="BM34" s="102"/>
      <c r="BN34" s="99"/>
      <c r="BO34" s="100"/>
      <c r="BP34" s="100"/>
      <c r="BQ34" s="100"/>
      <c r="BR34" s="102"/>
      <c r="BS34" s="6"/>
      <c r="BT34" s="6"/>
      <c r="BU34" s="6"/>
      <c r="BV34" s="6"/>
    </row>
    <row r="35" spans="1:74" s="101" customFormat="1" x14ac:dyDescent="0.25">
      <c r="A35" s="98"/>
      <c r="B35" s="115"/>
      <c r="C35" s="116"/>
      <c r="D35" s="2"/>
      <c r="E35" s="127"/>
      <c r="F35" s="99"/>
      <c r="G35" s="87"/>
      <c r="H35" s="29"/>
      <c r="I35" s="98"/>
      <c r="J35" s="117"/>
      <c r="K35" s="117"/>
      <c r="L35" s="6"/>
      <c r="M35" s="7"/>
      <c r="N35" s="7"/>
      <c r="O35" s="7"/>
      <c r="P35" s="102"/>
      <c r="Q35" s="6"/>
      <c r="R35" s="102"/>
      <c r="S35" s="6"/>
      <c r="T35" s="102"/>
      <c r="U35" s="6"/>
      <c r="V35" s="102"/>
      <c r="W35" s="6"/>
      <c r="X35" s="6"/>
      <c r="Y35" s="6"/>
      <c r="Z35" s="6"/>
      <c r="AA35" s="6"/>
      <c r="AB35" s="6"/>
      <c r="AC35" s="102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102"/>
      <c r="AU35" s="6"/>
      <c r="AV35" s="6"/>
      <c r="AW35" s="102"/>
      <c r="AX35" s="99"/>
      <c r="AY35" s="7"/>
      <c r="AZ35" s="99"/>
      <c r="BA35" s="102"/>
      <c r="BB35" s="102"/>
      <c r="BC35" s="102"/>
      <c r="BD35" s="6"/>
      <c r="BE35" s="6"/>
      <c r="BF35" s="6"/>
      <c r="BG35" s="6"/>
      <c r="BH35" s="6"/>
      <c r="BI35" s="102"/>
      <c r="BJ35" s="6"/>
      <c r="BK35" s="6"/>
      <c r="BL35" s="6"/>
      <c r="BM35" s="102"/>
      <c r="BN35" s="99"/>
      <c r="BO35" s="100"/>
      <c r="BP35" s="100"/>
      <c r="BQ35" s="100"/>
      <c r="BR35" s="102"/>
      <c r="BS35" s="6"/>
      <c r="BT35" s="6"/>
      <c r="BU35" s="6"/>
      <c r="BV35" s="6"/>
    </row>
    <row r="36" spans="1:74" s="101" customFormat="1" x14ac:dyDescent="0.25">
      <c r="A36" s="98"/>
      <c r="B36" s="115"/>
      <c r="C36" s="116"/>
      <c r="D36" s="2"/>
      <c r="E36" s="127"/>
      <c r="F36" s="99"/>
      <c r="G36" s="87"/>
      <c r="H36" s="29"/>
      <c r="I36" s="98"/>
      <c r="J36" s="117"/>
      <c r="K36" s="117"/>
      <c r="L36" s="6"/>
      <c r="M36" s="7"/>
      <c r="N36" s="7"/>
      <c r="O36" s="7"/>
      <c r="P36" s="102"/>
      <c r="Q36" s="6"/>
      <c r="R36" s="102"/>
      <c r="S36" s="6"/>
      <c r="T36" s="102"/>
      <c r="U36" s="6"/>
      <c r="V36" s="102"/>
      <c r="W36" s="6"/>
      <c r="X36" s="6"/>
      <c r="Y36" s="6"/>
      <c r="Z36" s="6"/>
      <c r="AA36" s="6"/>
      <c r="AB36" s="6"/>
      <c r="AC36" s="102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102"/>
      <c r="AU36" s="6"/>
      <c r="AV36" s="6"/>
      <c r="AW36" s="102"/>
      <c r="AX36" s="99"/>
      <c r="AY36" s="7"/>
      <c r="AZ36" s="99"/>
      <c r="BA36" s="102"/>
      <c r="BB36" s="102"/>
      <c r="BC36" s="102"/>
      <c r="BD36" s="6"/>
      <c r="BE36" s="6"/>
      <c r="BF36" s="6"/>
      <c r="BG36" s="6"/>
      <c r="BH36" s="6"/>
      <c r="BI36" s="102"/>
      <c r="BJ36" s="6"/>
      <c r="BK36" s="6"/>
      <c r="BL36" s="6"/>
      <c r="BM36" s="102"/>
      <c r="BN36" s="99"/>
      <c r="BO36" s="100"/>
      <c r="BP36" s="100"/>
      <c r="BQ36" s="100"/>
      <c r="BR36" s="102"/>
      <c r="BS36" s="6"/>
      <c r="BT36" s="6"/>
      <c r="BU36" s="6"/>
      <c r="BV36" s="6"/>
    </row>
    <row r="37" spans="1:74" s="101" customFormat="1" x14ac:dyDescent="0.25">
      <c r="A37" s="98"/>
      <c r="B37" s="115"/>
      <c r="C37" s="116"/>
      <c r="D37" s="2"/>
      <c r="E37" s="127"/>
      <c r="F37" s="99"/>
      <c r="G37" s="87"/>
      <c r="H37" s="29"/>
      <c r="I37" s="98"/>
      <c r="J37" s="117"/>
      <c r="K37" s="117"/>
      <c r="L37" s="6"/>
      <c r="M37" s="7"/>
      <c r="N37" s="7"/>
      <c r="O37" s="7"/>
      <c r="P37" s="102"/>
      <c r="Q37" s="6"/>
      <c r="R37" s="102"/>
      <c r="S37" s="6"/>
      <c r="T37" s="102"/>
      <c r="U37" s="6"/>
      <c r="V37" s="102"/>
      <c r="W37" s="6"/>
      <c r="X37" s="6"/>
      <c r="Y37" s="6"/>
      <c r="Z37" s="6"/>
      <c r="AA37" s="6"/>
      <c r="AB37" s="6"/>
      <c r="AC37" s="102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102"/>
      <c r="AU37" s="6"/>
      <c r="AV37" s="6"/>
      <c r="AW37" s="102"/>
      <c r="AX37" s="99"/>
      <c r="AY37" s="7"/>
      <c r="AZ37" s="99"/>
      <c r="BA37" s="102"/>
      <c r="BB37" s="102"/>
      <c r="BC37" s="102"/>
      <c r="BD37" s="6"/>
      <c r="BE37" s="6"/>
      <c r="BF37" s="6"/>
      <c r="BG37" s="6"/>
      <c r="BH37" s="6"/>
      <c r="BI37" s="102"/>
      <c r="BJ37" s="6"/>
      <c r="BK37" s="6"/>
      <c r="BL37" s="6"/>
      <c r="BM37" s="102"/>
      <c r="BN37" s="99"/>
      <c r="BO37" s="100"/>
      <c r="BP37" s="100"/>
      <c r="BQ37" s="100"/>
      <c r="BR37" s="102"/>
      <c r="BS37" s="6"/>
      <c r="BT37" s="6"/>
      <c r="BU37" s="6"/>
      <c r="BV37" s="6"/>
    </row>
    <row r="38" spans="1:74" s="101" customFormat="1" x14ac:dyDescent="0.25">
      <c r="A38" s="98"/>
      <c r="B38" s="115"/>
      <c r="C38" s="116"/>
      <c r="D38" s="2"/>
      <c r="E38" s="127"/>
      <c r="F38" s="99"/>
      <c r="G38" s="87"/>
      <c r="H38" s="29"/>
      <c r="I38" s="98"/>
      <c r="J38" s="117"/>
      <c r="K38" s="117"/>
      <c r="L38" s="6"/>
      <c r="M38" s="7"/>
      <c r="N38" s="7"/>
      <c r="O38" s="7"/>
      <c r="P38" s="102"/>
      <c r="Q38" s="6"/>
      <c r="R38" s="102"/>
      <c r="S38" s="6"/>
      <c r="T38" s="102"/>
      <c r="U38" s="6"/>
      <c r="V38" s="102"/>
      <c r="W38" s="6"/>
      <c r="X38" s="6"/>
      <c r="Y38" s="6"/>
      <c r="Z38" s="6"/>
      <c r="AA38" s="6"/>
      <c r="AB38" s="6"/>
      <c r="AC38" s="102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102"/>
      <c r="AU38" s="6"/>
      <c r="AV38" s="6"/>
      <c r="AW38" s="102"/>
      <c r="AX38" s="99"/>
      <c r="AY38" s="7"/>
      <c r="AZ38" s="99"/>
      <c r="BA38" s="102"/>
      <c r="BB38" s="102"/>
      <c r="BC38" s="102"/>
      <c r="BD38" s="6"/>
      <c r="BE38" s="6"/>
      <c r="BF38" s="6"/>
      <c r="BG38" s="6"/>
      <c r="BH38" s="6"/>
      <c r="BI38" s="102"/>
      <c r="BJ38" s="6"/>
      <c r="BK38" s="6"/>
      <c r="BL38" s="6"/>
      <c r="BM38" s="102"/>
      <c r="BN38" s="99"/>
      <c r="BO38" s="100"/>
      <c r="BP38" s="100"/>
      <c r="BQ38" s="100"/>
      <c r="BR38" s="102"/>
      <c r="BS38" s="6"/>
      <c r="BT38" s="6"/>
      <c r="BU38" s="6"/>
      <c r="BV38" s="6"/>
    </row>
    <row r="39" spans="1:74" s="101" customFormat="1" x14ac:dyDescent="0.25">
      <c r="A39" s="98"/>
      <c r="B39" s="115"/>
      <c r="C39" s="116"/>
      <c r="D39" s="2"/>
      <c r="E39" s="127"/>
      <c r="F39" s="99"/>
      <c r="G39" s="87"/>
      <c r="H39" s="29"/>
      <c r="I39" s="98"/>
      <c r="J39" s="117"/>
      <c r="K39" s="117"/>
      <c r="L39" s="6"/>
      <c r="M39" s="7"/>
      <c r="N39" s="7"/>
      <c r="O39" s="7"/>
      <c r="P39" s="102"/>
      <c r="Q39" s="6"/>
      <c r="R39" s="102"/>
      <c r="S39" s="6"/>
      <c r="T39" s="102"/>
      <c r="U39" s="6"/>
      <c r="V39" s="102"/>
      <c r="W39" s="6"/>
      <c r="X39" s="6"/>
      <c r="Y39" s="6"/>
      <c r="Z39" s="6"/>
      <c r="AA39" s="6"/>
      <c r="AB39" s="6"/>
      <c r="AC39" s="102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102"/>
      <c r="AU39" s="6"/>
      <c r="AV39" s="6"/>
      <c r="AW39" s="102"/>
      <c r="AX39" s="99"/>
      <c r="AY39" s="7"/>
      <c r="AZ39" s="99"/>
      <c r="BA39" s="102"/>
      <c r="BB39" s="102"/>
      <c r="BC39" s="102"/>
      <c r="BD39" s="6"/>
      <c r="BE39" s="6"/>
      <c r="BF39" s="6"/>
      <c r="BG39" s="6"/>
      <c r="BH39" s="6"/>
      <c r="BI39" s="102"/>
      <c r="BJ39" s="6"/>
      <c r="BK39" s="6"/>
      <c r="BL39" s="6"/>
      <c r="BM39" s="102"/>
      <c r="BN39" s="99"/>
      <c r="BO39" s="100"/>
      <c r="BP39" s="100"/>
      <c r="BQ39" s="100"/>
      <c r="BR39" s="102"/>
      <c r="BS39" s="6"/>
      <c r="BT39" s="6"/>
      <c r="BU39" s="6"/>
      <c r="BV39" s="6"/>
    </row>
    <row r="40" spans="1:74" s="101" customFormat="1" x14ac:dyDescent="0.25">
      <c r="A40" s="98"/>
      <c r="B40" s="115"/>
      <c r="C40" s="116"/>
      <c r="D40" s="2"/>
      <c r="E40" s="127"/>
      <c r="F40" s="99"/>
      <c r="G40" s="87"/>
      <c r="H40" s="29"/>
      <c r="I40" s="98"/>
      <c r="J40" s="117"/>
      <c r="K40" s="117"/>
      <c r="L40" s="6"/>
      <c r="M40" s="7"/>
      <c r="N40" s="7"/>
      <c r="O40" s="7"/>
      <c r="P40" s="102"/>
      <c r="Q40" s="6"/>
      <c r="R40" s="102"/>
      <c r="S40" s="6"/>
      <c r="T40" s="102"/>
      <c r="U40" s="6"/>
      <c r="V40" s="102"/>
      <c r="W40" s="6"/>
      <c r="X40" s="6"/>
      <c r="Y40" s="6"/>
      <c r="Z40" s="6"/>
      <c r="AA40" s="6"/>
      <c r="AB40" s="6"/>
      <c r="AC40" s="102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102"/>
      <c r="AU40" s="6"/>
      <c r="AV40" s="6"/>
      <c r="AW40" s="102"/>
      <c r="AX40" s="99"/>
      <c r="AY40" s="7"/>
      <c r="AZ40" s="99"/>
      <c r="BA40" s="102"/>
      <c r="BB40" s="102"/>
      <c r="BC40" s="102"/>
      <c r="BD40" s="6"/>
      <c r="BE40" s="6"/>
      <c r="BF40" s="6"/>
      <c r="BG40" s="6"/>
      <c r="BH40" s="6"/>
      <c r="BI40" s="102"/>
      <c r="BJ40" s="6"/>
      <c r="BK40" s="6"/>
      <c r="BL40" s="6"/>
      <c r="BM40" s="102"/>
      <c r="BN40" s="99"/>
      <c r="BO40" s="100"/>
      <c r="BP40" s="100"/>
      <c r="BQ40" s="100"/>
      <c r="BR40" s="102"/>
      <c r="BS40" s="6"/>
      <c r="BT40" s="6"/>
      <c r="BU40" s="6"/>
      <c r="BV40" s="6"/>
    </row>
    <row r="41" spans="1:74" s="101" customFormat="1" x14ac:dyDescent="0.25">
      <c r="A41" s="98"/>
      <c r="B41" s="115"/>
      <c r="C41" s="116"/>
      <c r="D41" s="2"/>
      <c r="E41" s="127"/>
      <c r="F41" s="99"/>
      <c r="G41" s="87"/>
      <c r="H41" s="29"/>
      <c r="I41" s="98"/>
      <c r="J41" s="117"/>
      <c r="K41" s="117"/>
      <c r="L41" s="6"/>
      <c r="M41" s="7"/>
      <c r="N41" s="7"/>
      <c r="O41" s="7"/>
      <c r="P41" s="102"/>
      <c r="Q41" s="6"/>
      <c r="R41" s="102"/>
      <c r="S41" s="6"/>
      <c r="T41" s="102"/>
      <c r="U41" s="6"/>
      <c r="V41" s="102"/>
      <c r="W41" s="6"/>
      <c r="X41" s="6"/>
      <c r="Y41" s="6"/>
      <c r="Z41" s="6"/>
      <c r="AA41" s="6"/>
      <c r="AB41" s="6"/>
      <c r="AC41" s="102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102"/>
      <c r="AU41" s="6"/>
      <c r="AV41" s="6"/>
      <c r="AW41" s="102"/>
      <c r="AX41" s="99"/>
      <c r="AY41" s="7"/>
      <c r="AZ41" s="99"/>
      <c r="BA41" s="102"/>
      <c r="BB41" s="102"/>
      <c r="BC41" s="102"/>
      <c r="BD41" s="6"/>
      <c r="BE41" s="6"/>
      <c r="BF41" s="6"/>
      <c r="BG41" s="6"/>
      <c r="BH41" s="6"/>
      <c r="BI41" s="102"/>
      <c r="BJ41" s="6"/>
      <c r="BK41" s="6"/>
      <c r="BL41" s="6"/>
      <c r="BM41" s="102"/>
      <c r="BN41" s="99"/>
      <c r="BO41" s="100"/>
      <c r="BP41" s="100"/>
      <c r="BQ41" s="100"/>
      <c r="BR41" s="102"/>
      <c r="BS41" s="6"/>
      <c r="BT41" s="6"/>
      <c r="BU41" s="6"/>
      <c r="BV41" s="6"/>
    </row>
    <row r="42" spans="1:74" s="101" customFormat="1" x14ac:dyDescent="0.25">
      <c r="A42" s="98"/>
      <c r="B42" s="115"/>
      <c r="C42" s="116"/>
      <c r="D42" s="2"/>
      <c r="E42" s="127"/>
      <c r="F42" s="99"/>
      <c r="G42" s="87"/>
      <c r="H42" s="29"/>
      <c r="I42" s="98"/>
      <c r="J42" s="117"/>
      <c r="K42" s="117"/>
      <c r="L42" s="6"/>
      <c r="M42" s="7"/>
      <c r="N42" s="7"/>
      <c r="O42" s="7"/>
      <c r="P42" s="102"/>
      <c r="Q42" s="6"/>
      <c r="R42" s="102"/>
      <c r="S42" s="6"/>
      <c r="T42" s="102"/>
      <c r="U42" s="6"/>
      <c r="V42" s="102"/>
      <c r="W42" s="6"/>
      <c r="X42" s="6"/>
      <c r="Y42" s="6"/>
      <c r="Z42" s="6"/>
      <c r="AA42" s="6"/>
      <c r="AB42" s="6"/>
      <c r="AC42" s="102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102"/>
      <c r="AU42" s="6"/>
      <c r="AV42" s="6"/>
      <c r="AW42" s="102"/>
      <c r="AX42" s="99"/>
      <c r="AY42" s="7"/>
      <c r="AZ42" s="99"/>
      <c r="BA42" s="102"/>
      <c r="BB42" s="102"/>
      <c r="BC42" s="102"/>
      <c r="BD42" s="6"/>
      <c r="BE42" s="6"/>
      <c r="BF42" s="6"/>
      <c r="BG42" s="6"/>
      <c r="BH42" s="6"/>
      <c r="BI42" s="102"/>
      <c r="BJ42" s="6"/>
      <c r="BK42" s="6"/>
      <c r="BL42" s="6"/>
      <c r="BM42" s="102"/>
      <c r="BN42" s="99"/>
      <c r="BO42" s="100"/>
      <c r="BP42" s="100"/>
      <c r="BQ42" s="100"/>
      <c r="BR42" s="102"/>
      <c r="BS42" s="6"/>
      <c r="BT42" s="6"/>
      <c r="BU42" s="6"/>
      <c r="BV42" s="6"/>
    </row>
    <row r="43" spans="1:74" s="101" customFormat="1" x14ac:dyDescent="0.25">
      <c r="A43" s="98"/>
      <c r="B43" s="115"/>
      <c r="C43" s="116"/>
      <c r="D43" s="2"/>
      <c r="E43" s="127"/>
      <c r="F43" s="99"/>
      <c r="G43" s="87"/>
      <c r="H43" s="29"/>
      <c r="I43" s="98"/>
      <c r="J43" s="117"/>
      <c r="K43" s="117"/>
      <c r="L43" s="6"/>
      <c r="M43" s="7"/>
      <c r="N43" s="7"/>
      <c r="O43" s="7"/>
      <c r="P43" s="102"/>
      <c r="Q43" s="6"/>
      <c r="R43" s="102"/>
      <c r="S43" s="6"/>
      <c r="T43" s="102"/>
      <c r="U43" s="6"/>
      <c r="V43" s="102"/>
      <c r="W43" s="6"/>
      <c r="X43" s="6"/>
      <c r="Y43" s="6"/>
      <c r="Z43" s="6"/>
      <c r="AA43" s="6"/>
      <c r="AB43" s="6"/>
      <c r="AC43" s="102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102"/>
      <c r="AU43" s="6"/>
      <c r="AV43" s="6"/>
      <c r="AW43" s="102"/>
      <c r="AX43" s="99"/>
      <c r="AY43" s="7"/>
      <c r="AZ43" s="99"/>
      <c r="BA43" s="102"/>
      <c r="BB43" s="102"/>
      <c r="BC43" s="102"/>
      <c r="BD43" s="6"/>
      <c r="BE43" s="6"/>
      <c r="BF43" s="6"/>
      <c r="BG43" s="6"/>
      <c r="BH43" s="6"/>
      <c r="BI43" s="102"/>
      <c r="BJ43" s="6"/>
      <c r="BK43" s="6"/>
      <c r="BL43" s="6"/>
      <c r="BM43" s="102"/>
      <c r="BN43" s="99"/>
      <c r="BO43" s="100"/>
      <c r="BP43" s="100"/>
      <c r="BQ43" s="100"/>
      <c r="BR43" s="102"/>
      <c r="BS43" s="6"/>
      <c r="BT43" s="6"/>
      <c r="BU43" s="6"/>
      <c r="BV43" s="6"/>
    </row>
    <row r="44" spans="1:74" s="101" customFormat="1" x14ac:dyDescent="0.25">
      <c r="A44" s="98"/>
      <c r="B44" s="115"/>
      <c r="C44" s="116"/>
      <c r="D44" s="2"/>
      <c r="E44" s="127"/>
      <c r="F44" s="99"/>
      <c r="G44" s="87"/>
      <c r="H44" s="29"/>
      <c r="I44" s="98"/>
      <c r="J44" s="117"/>
      <c r="K44" s="117"/>
      <c r="L44" s="6"/>
      <c r="M44" s="7"/>
      <c r="N44" s="7"/>
      <c r="O44" s="7"/>
      <c r="P44" s="102"/>
      <c r="Q44" s="6"/>
      <c r="R44" s="102"/>
      <c r="S44" s="6"/>
      <c r="T44" s="102"/>
      <c r="U44" s="6"/>
      <c r="V44" s="102"/>
      <c r="W44" s="6"/>
      <c r="X44" s="6"/>
      <c r="Y44" s="6"/>
      <c r="Z44" s="6"/>
      <c r="AA44" s="6"/>
      <c r="AB44" s="6"/>
      <c r="AC44" s="102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102"/>
      <c r="AU44" s="6"/>
      <c r="AV44" s="6"/>
      <c r="AW44" s="102"/>
      <c r="AX44" s="99"/>
      <c r="AY44" s="7"/>
      <c r="AZ44" s="99"/>
      <c r="BA44" s="102"/>
      <c r="BB44" s="102"/>
      <c r="BC44" s="102"/>
      <c r="BD44" s="6"/>
      <c r="BE44" s="6"/>
      <c r="BF44" s="6"/>
      <c r="BG44" s="6"/>
      <c r="BH44" s="6"/>
      <c r="BI44" s="102"/>
      <c r="BJ44" s="6"/>
      <c r="BK44" s="6"/>
      <c r="BL44" s="6"/>
      <c r="BM44" s="102"/>
      <c r="BN44" s="99"/>
      <c r="BO44" s="100"/>
      <c r="BP44" s="100"/>
      <c r="BQ44" s="100"/>
      <c r="BR44" s="102"/>
      <c r="BS44" s="6"/>
      <c r="BT44" s="6"/>
      <c r="BU44" s="6"/>
      <c r="BV44" s="6"/>
    </row>
    <row r="45" spans="1:74" s="101" customFormat="1" x14ac:dyDescent="0.25">
      <c r="A45" s="98"/>
      <c r="B45" s="115"/>
      <c r="C45" s="116"/>
      <c r="D45" s="2"/>
      <c r="E45" s="127"/>
      <c r="F45" s="99"/>
      <c r="G45" s="87"/>
      <c r="H45" s="29"/>
      <c r="I45" s="98"/>
      <c r="J45" s="117"/>
      <c r="K45" s="117"/>
      <c r="L45" s="6"/>
      <c r="M45" s="7"/>
      <c r="N45" s="7"/>
      <c r="O45" s="7"/>
      <c r="P45" s="102"/>
      <c r="Q45" s="6"/>
      <c r="R45" s="102"/>
      <c r="S45" s="6"/>
      <c r="T45" s="102"/>
      <c r="U45" s="6"/>
      <c r="V45" s="102"/>
      <c r="W45" s="6"/>
      <c r="X45" s="6"/>
      <c r="Y45" s="6"/>
      <c r="Z45" s="6"/>
      <c r="AA45" s="6"/>
      <c r="AB45" s="6"/>
      <c r="AC45" s="102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102"/>
      <c r="AU45" s="6"/>
      <c r="AV45" s="6"/>
      <c r="AW45" s="102"/>
      <c r="AX45" s="99"/>
      <c r="AY45" s="7"/>
      <c r="AZ45" s="99"/>
      <c r="BA45" s="102"/>
      <c r="BB45" s="102"/>
      <c r="BC45" s="102"/>
      <c r="BD45" s="6"/>
      <c r="BE45" s="6"/>
      <c r="BF45" s="6"/>
      <c r="BG45" s="6"/>
      <c r="BH45" s="6"/>
      <c r="BI45" s="102"/>
      <c r="BJ45" s="6"/>
      <c r="BK45" s="6"/>
      <c r="BL45" s="6"/>
      <c r="BM45" s="102"/>
      <c r="BN45" s="99"/>
      <c r="BO45" s="100"/>
      <c r="BP45" s="100"/>
      <c r="BQ45" s="100"/>
      <c r="BR45" s="102"/>
      <c r="BS45" s="6"/>
      <c r="BT45" s="6"/>
      <c r="BU45" s="6"/>
      <c r="BV45" s="6"/>
    </row>
    <row r="46" spans="1:74" s="101" customFormat="1" x14ac:dyDescent="0.25">
      <c r="A46" s="98"/>
      <c r="B46" s="115"/>
      <c r="C46" s="116"/>
      <c r="D46" s="2"/>
      <c r="E46" s="127"/>
      <c r="F46" s="99"/>
      <c r="G46" s="87"/>
      <c r="H46" s="29"/>
      <c r="I46" s="98"/>
      <c r="J46" s="117"/>
      <c r="K46" s="117"/>
      <c r="L46" s="6"/>
      <c r="M46" s="7"/>
      <c r="N46" s="7"/>
      <c r="O46" s="7"/>
      <c r="P46" s="102"/>
      <c r="Q46" s="6"/>
      <c r="R46" s="102"/>
      <c r="S46" s="6"/>
      <c r="T46" s="102"/>
      <c r="U46" s="6"/>
      <c r="V46" s="102"/>
      <c r="W46" s="6"/>
      <c r="X46" s="6"/>
      <c r="Y46" s="6"/>
      <c r="Z46" s="6"/>
      <c r="AA46" s="6"/>
      <c r="AB46" s="6"/>
      <c r="AC46" s="102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102"/>
      <c r="AU46" s="6"/>
      <c r="AV46" s="6"/>
      <c r="AW46" s="102"/>
      <c r="AX46" s="99"/>
      <c r="AY46" s="7"/>
      <c r="AZ46" s="99"/>
      <c r="BA46" s="102"/>
      <c r="BB46" s="102"/>
      <c r="BC46" s="102"/>
      <c r="BD46" s="6"/>
      <c r="BE46" s="6"/>
      <c r="BF46" s="6"/>
      <c r="BG46" s="6"/>
      <c r="BH46" s="6"/>
      <c r="BI46" s="102"/>
      <c r="BJ46" s="6"/>
      <c r="BK46" s="6"/>
      <c r="BL46" s="6"/>
      <c r="BM46" s="102"/>
      <c r="BN46" s="99"/>
      <c r="BO46" s="100"/>
      <c r="BP46" s="100"/>
      <c r="BQ46" s="100"/>
      <c r="BR46" s="102"/>
      <c r="BS46" s="6"/>
      <c r="BT46" s="6"/>
      <c r="BU46" s="6"/>
      <c r="BV46" s="6"/>
    </row>
    <row r="47" spans="1:74" s="101" customFormat="1" x14ac:dyDescent="0.25">
      <c r="A47" s="98"/>
      <c r="B47" s="115"/>
      <c r="C47" s="116"/>
      <c r="D47" s="2"/>
      <c r="E47" s="127"/>
      <c r="F47" s="99"/>
      <c r="G47" s="87"/>
      <c r="H47" s="29"/>
      <c r="I47" s="98"/>
      <c r="J47" s="117"/>
      <c r="K47" s="117"/>
      <c r="L47" s="6"/>
      <c r="M47" s="7"/>
      <c r="N47" s="7"/>
      <c r="O47" s="7"/>
      <c r="P47" s="102"/>
      <c r="Q47" s="6"/>
      <c r="R47" s="102"/>
      <c r="S47" s="6"/>
      <c r="T47" s="102"/>
      <c r="U47" s="6"/>
      <c r="V47" s="102"/>
      <c r="W47" s="6"/>
      <c r="X47" s="6"/>
      <c r="Y47" s="6"/>
      <c r="Z47" s="6"/>
      <c r="AA47" s="6"/>
      <c r="AB47" s="6"/>
      <c r="AC47" s="102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102"/>
      <c r="AU47" s="6"/>
      <c r="AV47" s="6"/>
      <c r="AW47" s="102"/>
      <c r="AX47" s="99"/>
      <c r="AY47" s="7"/>
      <c r="AZ47" s="99"/>
      <c r="BA47" s="102"/>
      <c r="BB47" s="102"/>
      <c r="BC47" s="102"/>
      <c r="BD47" s="6"/>
      <c r="BE47" s="6"/>
      <c r="BF47" s="6"/>
      <c r="BG47" s="6"/>
      <c r="BH47" s="6"/>
      <c r="BI47" s="102"/>
      <c r="BJ47" s="6"/>
      <c r="BK47" s="6"/>
      <c r="BL47" s="6"/>
      <c r="BM47" s="102"/>
      <c r="BN47" s="99"/>
      <c r="BO47" s="100"/>
      <c r="BP47" s="100"/>
      <c r="BQ47" s="100"/>
      <c r="BR47" s="102"/>
      <c r="BS47" s="6"/>
      <c r="BT47" s="6"/>
      <c r="BU47" s="6"/>
      <c r="BV47" s="6"/>
    </row>
    <row r="48" spans="1:74" s="101" customFormat="1" x14ac:dyDescent="0.25">
      <c r="A48" s="98"/>
      <c r="B48" s="115"/>
      <c r="C48" s="116"/>
      <c r="D48" s="2"/>
      <c r="E48" s="127"/>
      <c r="F48" s="99"/>
      <c r="G48" s="87"/>
      <c r="H48" s="29"/>
      <c r="I48" s="98"/>
      <c r="J48" s="117"/>
      <c r="K48" s="117"/>
      <c r="L48" s="6"/>
      <c r="M48" s="7"/>
      <c r="N48" s="7"/>
      <c r="O48" s="7"/>
      <c r="P48" s="102"/>
      <c r="Q48" s="6"/>
      <c r="R48" s="102"/>
      <c r="S48" s="6"/>
      <c r="T48" s="102"/>
      <c r="U48" s="6"/>
      <c r="V48" s="102"/>
      <c r="W48" s="6"/>
      <c r="X48" s="6"/>
      <c r="Y48" s="6"/>
      <c r="Z48" s="6"/>
      <c r="AA48" s="6"/>
      <c r="AB48" s="6"/>
      <c r="AC48" s="102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102"/>
      <c r="AU48" s="6"/>
      <c r="AV48" s="6"/>
      <c r="AW48" s="102"/>
      <c r="AX48" s="99"/>
      <c r="AY48" s="7"/>
      <c r="AZ48" s="99"/>
      <c r="BA48" s="102"/>
      <c r="BB48" s="102"/>
      <c r="BC48" s="102"/>
      <c r="BD48" s="6"/>
      <c r="BE48" s="6"/>
      <c r="BF48" s="6"/>
      <c r="BG48" s="6"/>
      <c r="BH48" s="6"/>
      <c r="BI48" s="102"/>
      <c r="BJ48" s="6"/>
      <c r="BK48" s="6"/>
      <c r="BL48" s="6"/>
      <c r="BM48" s="102"/>
      <c r="BN48" s="99"/>
      <c r="BO48" s="100"/>
      <c r="BP48" s="100"/>
      <c r="BQ48" s="100"/>
      <c r="BR48" s="102"/>
      <c r="BS48" s="6"/>
      <c r="BT48" s="6"/>
      <c r="BU48" s="6"/>
      <c r="BV48" s="6"/>
    </row>
    <row r="49" spans="1:74" s="101" customFormat="1" x14ac:dyDescent="0.25">
      <c r="A49" s="98"/>
      <c r="B49" s="115"/>
      <c r="C49" s="116"/>
      <c r="D49" s="4"/>
      <c r="E49" s="127"/>
      <c r="F49" s="99"/>
      <c r="G49" s="87"/>
      <c r="H49" s="29"/>
      <c r="I49" s="98"/>
      <c r="J49" s="117"/>
      <c r="K49" s="117"/>
      <c r="L49" s="6"/>
      <c r="M49" s="6"/>
      <c r="N49" s="6"/>
      <c r="O49" s="6"/>
      <c r="P49" s="99"/>
      <c r="Q49" s="6"/>
      <c r="R49" s="99"/>
      <c r="S49" s="6"/>
      <c r="T49" s="6"/>
      <c r="U49" s="6"/>
      <c r="V49" s="99"/>
      <c r="W49" s="6"/>
      <c r="X49" s="6"/>
      <c r="Y49" s="6"/>
      <c r="Z49" s="6"/>
      <c r="AA49" s="6"/>
      <c r="AB49" s="6"/>
      <c r="AC49" s="99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99"/>
      <c r="AU49" s="6"/>
      <c r="AV49" s="6"/>
      <c r="AW49" s="99"/>
      <c r="AX49" s="99"/>
      <c r="AY49" s="6"/>
      <c r="AZ49" s="99"/>
      <c r="BA49" s="99"/>
      <c r="BB49" s="99"/>
      <c r="BC49" s="99"/>
      <c r="BD49" s="6"/>
      <c r="BE49" s="6"/>
      <c r="BF49" s="6"/>
      <c r="BG49" s="6"/>
      <c r="BH49" s="6"/>
      <c r="BI49" s="99"/>
      <c r="BJ49" s="6"/>
      <c r="BK49" s="6"/>
      <c r="BL49" s="6"/>
      <c r="BM49" s="99"/>
      <c r="BN49" s="99"/>
      <c r="BO49" s="100"/>
      <c r="BP49" s="100"/>
      <c r="BQ49" s="100"/>
      <c r="BR49" s="99"/>
      <c r="BS49" s="6"/>
      <c r="BT49" s="6"/>
      <c r="BU49" s="6"/>
      <c r="BV49" s="6"/>
    </row>
    <row r="50" spans="1:74" s="101" customFormat="1" x14ac:dyDescent="0.25">
      <c r="A50" s="98"/>
      <c r="B50" s="115"/>
      <c r="C50" s="116"/>
      <c r="D50" s="2"/>
      <c r="E50" s="127"/>
      <c r="F50" s="99"/>
      <c r="G50" s="87"/>
      <c r="H50" s="29"/>
      <c r="I50" s="98"/>
      <c r="J50" s="117"/>
      <c r="K50" s="117"/>
      <c r="L50" s="6"/>
      <c r="M50" s="7"/>
      <c r="N50" s="7"/>
      <c r="O50" s="7"/>
      <c r="P50" s="102"/>
      <c r="Q50" s="6"/>
      <c r="R50" s="102"/>
      <c r="S50" s="6"/>
      <c r="T50" s="102"/>
      <c r="U50" s="6"/>
      <c r="V50" s="102"/>
      <c r="W50" s="6"/>
      <c r="X50" s="6"/>
      <c r="Y50" s="6"/>
      <c r="Z50" s="6"/>
      <c r="AA50" s="6"/>
      <c r="AB50" s="6"/>
      <c r="AC50" s="102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102"/>
      <c r="AU50" s="6"/>
      <c r="AV50" s="6"/>
      <c r="AW50" s="102"/>
      <c r="AX50" s="99"/>
      <c r="AY50" s="6"/>
      <c r="AZ50" s="99"/>
      <c r="BA50" s="102"/>
      <c r="BB50" s="102"/>
      <c r="BC50" s="102"/>
      <c r="BD50" s="6"/>
      <c r="BE50" s="6"/>
      <c r="BF50" s="6"/>
      <c r="BG50" s="6"/>
      <c r="BH50" s="6"/>
      <c r="BI50" s="102"/>
      <c r="BJ50" s="6"/>
      <c r="BK50" s="6"/>
      <c r="BL50" s="6"/>
      <c r="BM50" s="102"/>
      <c r="BN50" s="99"/>
      <c r="BO50" s="100"/>
      <c r="BP50" s="100"/>
      <c r="BQ50" s="100"/>
      <c r="BR50" s="102"/>
      <c r="BS50" s="6"/>
      <c r="BT50" s="6"/>
      <c r="BU50" s="6"/>
      <c r="BV50" s="6"/>
    </row>
    <row r="51" spans="1:74" s="101" customFormat="1" x14ac:dyDescent="0.25">
      <c r="A51" s="98"/>
      <c r="B51" s="115"/>
      <c r="C51" s="116"/>
      <c r="D51" s="2"/>
      <c r="E51" s="127"/>
      <c r="F51" s="99"/>
      <c r="G51" s="87"/>
      <c r="H51" s="29"/>
      <c r="I51" s="98"/>
      <c r="J51" s="117"/>
      <c r="K51" s="117"/>
      <c r="L51" s="6"/>
      <c r="M51" s="7"/>
      <c r="N51" s="7"/>
      <c r="O51" s="7"/>
      <c r="P51" s="102"/>
      <c r="Q51" s="6"/>
      <c r="R51" s="102"/>
      <c r="S51" s="6"/>
      <c r="T51" s="102"/>
      <c r="U51" s="6"/>
      <c r="V51" s="102"/>
      <c r="W51" s="6"/>
      <c r="X51" s="6"/>
      <c r="Y51" s="6"/>
      <c r="Z51" s="6"/>
      <c r="AA51" s="6"/>
      <c r="AB51" s="6"/>
      <c r="AC51" s="102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102"/>
      <c r="AU51" s="6"/>
      <c r="AV51" s="6"/>
      <c r="AW51" s="102"/>
      <c r="AX51" s="99"/>
      <c r="AY51" s="7"/>
      <c r="AZ51" s="99"/>
      <c r="BA51" s="102"/>
      <c r="BB51" s="102"/>
      <c r="BC51" s="102"/>
      <c r="BD51" s="6"/>
      <c r="BE51" s="6"/>
      <c r="BF51" s="6"/>
      <c r="BG51" s="6"/>
      <c r="BH51" s="6"/>
      <c r="BI51" s="102"/>
      <c r="BJ51" s="6"/>
      <c r="BK51" s="6"/>
      <c r="BL51" s="6"/>
      <c r="BM51" s="102"/>
      <c r="BN51" s="99"/>
      <c r="BO51" s="100"/>
      <c r="BP51" s="100"/>
      <c r="BQ51" s="100"/>
      <c r="BR51" s="102"/>
      <c r="BS51" s="6"/>
      <c r="BT51" s="6"/>
      <c r="BU51" s="6"/>
      <c r="BV51" s="6"/>
    </row>
    <row r="52" spans="1:74" s="101" customFormat="1" x14ac:dyDescent="0.25">
      <c r="A52" s="98"/>
      <c r="B52" s="115"/>
      <c r="C52" s="116"/>
      <c r="D52" s="2"/>
      <c r="E52" s="127"/>
      <c r="F52" s="99"/>
      <c r="G52" s="87"/>
      <c r="H52" s="29"/>
      <c r="I52" s="98"/>
      <c r="J52" s="117"/>
      <c r="K52" s="117"/>
      <c r="L52" s="6"/>
      <c r="M52" s="7"/>
      <c r="N52" s="7"/>
      <c r="O52" s="7"/>
      <c r="P52" s="102"/>
      <c r="Q52" s="6"/>
      <c r="R52" s="102"/>
      <c r="S52" s="6"/>
      <c r="T52" s="102"/>
      <c r="U52" s="6"/>
      <c r="V52" s="102"/>
      <c r="W52" s="6"/>
      <c r="X52" s="6"/>
      <c r="Y52" s="6"/>
      <c r="Z52" s="6"/>
      <c r="AA52" s="6"/>
      <c r="AB52" s="6"/>
      <c r="AC52" s="102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102"/>
      <c r="AU52" s="6"/>
      <c r="AV52" s="6"/>
      <c r="AW52" s="102"/>
      <c r="AX52" s="99"/>
      <c r="AY52" s="7"/>
      <c r="AZ52" s="99"/>
      <c r="BA52" s="102"/>
      <c r="BB52" s="102"/>
      <c r="BC52" s="102"/>
      <c r="BD52" s="6"/>
      <c r="BE52" s="6"/>
      <c r="BF52" s="6"/>
      <c r="BG52" s="6"/>
      <c r="BH52" s="6"/>
      <c r="BI52" s="102"/>
      <c r="BJ52" s="6"/>
      <c r="BK52" s="6"/>
      <c r="BL52" s="6"/>
      <c r="BM52" s="102"/>
      <c r="BN52" s="99"/>
      <c r="BO52" s="100"/>
      <c r="BP52" s="100"/>
      <c r="BQ52" s="100"/>
      <c r="BR52" s="102"/>
      <c r="BS52" s="6"/>
      <c r="BT52" s="6"/>
      <c r="BU52" s="6"/>
      <c r="BV52" s="6"/>
    </row>
    <row r="53" spans="1:74" s="101" customFormat="1" x14ac:dyDescent="0.25">
      <c r="A53" s="98"/>
      <c r="B53" s="115"/>
      <c r="C53" s="116"/>
      <c r="D53" s="2"/>
      <c r="E53" s="127"/>
      <c r="F53" s="99"/>
      <c r="G53" s="87"/>
      <c r="H53" s="29"/>
      <c r="I53" s="98"/>
      <c r="J53" s="117"/>
      <c r="K53" s="117"/>
      <c r="L53" s="6"/>
      <c r="M53" s="7"/>
      <c r="N53" s="7"/>
      <c r="O53" s="7"/>
      <c r="P53" s="102"/>
      <c r="Q53" s="6"/>
      <c r="R53" s="102"/>
      <c r="S53" s="6"/>
      <c r="T53" s="102"/>
      <c r="U53" s="6"/>
      <c r="V53" s="102"/>
      <c r="W53" s="6"/>
      <c r="X53" s="6"/>
      <c r="Y53" s="6"/>
      <c r="Z53" s="6"/>
      <c r="AA53" s="6"/>
      <c r="AB53" s="6"/>
      <c r="AC53" s="102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102"/>
      <c r="AU53" s="6"/>
      <c r="AV53" s="6"/>
      <c r="AW53" s="102"/>
      <c r="AX53" s="99"/>
      <c r="AY53" s="7"/>
      <c r="AZ53" s="99"/>
      <c r="BA53" s="102"/>
      <c r="BB53" s="102"/>
      <c r="BC53" s="102"/>
      <c r="BD53" s="6"/>
      <c r="BE53" s="6"/>
      <c r="BF53" s="6"/>
      <c r="BG53" s="6"/>
      <c r="BH53" s="6"/>
      <c r="BI53" s="102"/>
      <c r="BJ53" s="6"/>
      <c r="BK53" s="6"/>
      <c r="BL53" s="6"/>
      <c r="BM53" s="102"/>
      <c r="BN53" s="99"/>
      <c r="BO53" s="100"/>
      <c r="BP53" s="100"/>
      <c r="BQ53" s="100"/>
      <c r="BR53" s="102"/>
      <c r="BS53" s="6"/>
      <c r="BT53" s="6"/>
      <c r="BU53" s="6"/>
      <c r="BV53" s="6"/>
    </row>
    <row r="54" spans="1:74" s="101" customFormat="1" x14ac:dyDescent="0.25">
      <c r="A54" s="98"/>
      <c r="B54" s="115"/>
      <c r="C54" s="116"/>
      <c r="D54" s="2"/>
      <c r="E54" s="127"/>
      <c r="F54" s="99"/>
      <c r="G54" s="87"/>
      <c r="H54" s="29"/>
      <c r="I54" s="98"/>
      <c r="J54" s="117"/>
      <c r="K54" s="117"/>
      <c r="L54" s="6"/>
      <c r="M54" s="7"/>
      <c r="N54" s="7"/>
      <c r="O54" s="7"/>
      <c r="P54" s="102"/>
      <c r="Q54" s="6"/>
      <c r="R54" s="102"/>
      <c r="S54" s="6"/>
      <c r="T54" s="102"/>
      <c r="U54" s="6"/>
      <c r="V54" s="102"/>
      <c r="W54" s="6"/>
      <c r="X54" s="6"/>
      <c r="Y54" s="6"/>
      <c r="Z54" s="6"/>
      <c r="AA54" s="6"/>
      <c r="AB54" s="6"/>
      <c r="AC54" s="102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102"/>
      <c r="AU54" s="6"/>
      <c r="AV54" s="6"/>
      <c r="AW54" s="102"/>
      <c r="AX54" s="99"/>
      <c r="AY54" s="7"/>
      <c r="AZ54" s="99"/>
      <c r="BA54" s="102"/>
      <c r="BB54" s="102"/>
      <c r="BC54" s="102"/>
      <c r="BD54" s="6"/>
      <c r="BE54" s="6"/>
      <c r="BF54" s="6"/>
      <c r="BG54" s="6"/>
      <c r="BH54" s="6"/>
      <c r="BI54" s="102"/>
      <c r="BJ54" s="6"/>
      <c r="BK54" s="6"/>
      <c r="BL54" s="6"/>
      <c r="BM54" s="102"/>
      <c r="BN54" s="99"/>
      <c r="BO54" s="100"/>
      <c r="BP54" s="100"/>
      <c r="BQ54" s="100"/>
      <c r="BR54" s="102"/>
      <c r="BS54" s="6"/>
      <c r="BT54" s="6"/>
      <c r="BU54" s="6"/>
      <c r="BV54" s="6"/>
    </row>
    <row r="55" spans="1:74" s="101" customFormat="1" x14ac:dyDescent="0.25">
      <c r="A55" s="98"/>
      <c r="B55" s="115"/>
      <c r="C55" s="116"/>
      <c r="D55" s="2"/>
      <c r="E55" s="127"/>
      <c r="F55" s="99"/>
      <c r="G55" s="87"/>
      <c r="H55" s="29"/>
      <c r="I55" s="98"/>
      <c r="J55" s="117"/>
      <c r="K55" s="117"/>
      <c r="L55" s="6"/>
      <c r="M55" s="7"/>
      <c r="N55" s="7"/>
      <c r="O55" s="7"/>
      <c r="P55" s="102"/>
      <c r="Q55" s="6"/>
      <c r="R55" s="102"/>
      <c r="S55" s="6"/>
      <c r="T55" s="102"/>
      <c r="U55" s="6"/>
      <c r="V55" s="102"/>
      <c r="W55" s="6"/>
      <c r="X55" s="6"/>
      <c r="Y55" s="6"/>
      <c r="Z55" s="6"/>
      <c r="AA55" s="6"/>
      <c r="AB55" s="6"/>
      <c r="AC55" s="102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102"/>
      <c r="AU55" s="6"/>
      <c r="AV55" s="6"/>
      <c r="AW55" s="102"/>
      <c r="AX55" s="99"/>
      <c r="AY55" s="7"/>
      <c r="AZ55" s="99"/>
      <c r="BA55" s="102"/>
      <c r="BB55" s="102"/>
      <c r="BC55" s="102"/>
      <c r="BD55" s="6"/>
      <c r="BE55" s="6"/>
      <c r="BF55" s="6"/>
      <c r="BG55" s="6"/>
      <c r="BH55" s="6"/>
      <c r="BI55" s="102"/>
      <c r="BJ55" s="6"/>
      <c r="BK55" s="6"/>
      <c r="BL55" s="6"/>
      <c r="BM55" s="102"/>
      <c r="BN55" s="99"/>
      <c r="BO55" s="100"/>
      <c r="BP55" s="100"/>
      <c r="BQ55" s="100"/>
      <c r="BR55" s="102"/>
      <c r="BS55" s="6"/>
      <c r="BT55" s="6"/>
      <c r="BU55" s="6"/>
      <c r="BV55" s="6"/>
    </row>
    <row r="56" spans="1:74" s="101" customFormat="1" x14ac:dyDescent="0.25">
      <c r="A56" s="98"/>
      <c r="B56" s="115"/>
      <c r="C56" s="116"/>
      <c r="D56" s="2"/>
      <c r="E56" s="127"/>
      <c r="F56" s="99"/>
      <c r="G56" s="87"/>
      <c r="H56" s="29"/>
      <c r="I56" s="98"/>
      <c r="J56" s="117"/>
      <c r="K56" s="117"/>
      <c r="L56" s="6"/>
      <c r="M56" s="7"/>
      <c r="N56" s="7"/>
      <c r="O56" s="7"/>
      <c r="P56" s="102"/>
      <c r="Q56" s="6"/>
      <c r="R56" s="102"/>
      <c r="S56" s="6"/>
      <c r="T56" s="102"/>
      <c r="U56" s="6"/>
      <c r="V56" s="102"/>
      <c r="W56" s="6"/>
      <c r="X56" s="6"/>
      <c r="Y56" s="6"/>
      <c r="Z56" s="6"/>
      <c r="AA56" s="6"/>
      <c r="AB56" s="6"/>
      <c r="AC56" s="102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102"/>
      <c r="AU56" s="6"/>
      <c r="AV56" s="6"/>
      <c r="AW56" s="102"/>
      <c r="AX56" s="99"/>
      <c r="AY56" s="7"/>
      <c r="AZ56" s="99"/>
      <c r="BA56" s="102"/>
      <c r="BB56" s="102"/>
      <c r="BC56" s="102"/>
      <c r="BD56" s="6"/>
      <c r="BE56" s="6"/>
      <c r="BF56" s="6"/>
      <c r="BG56" s="6"/>
      <c r="BH56" s="6"/>
      <c r="BI56" s="102"/>
      <c r="BJ56" s="6"/>
      <c r="BK56" s="6"/>
      <c r="BL56" s="6"/>
      <c r="BM56" s="102"/>
      <c r="BN56" s="99"/>
      <c r="BO56" s="100"/>
      <c r="BP56" s="100"/>
      <c r="BQ56" s="100"/>
      <c r="BR56" s="102"/>
      <c r="BS56" s="6"/>
      <c r="BT56" s="6"/>
      <c r="BU56" s="6"/>
      <c r="BV56" s="6"/>
    </row>
    <row r="57" spans="1:74" s="101" customFormat="1" x14ac:dyDescent="0.25">
      <c r="A57" s="98"/>
      <c r="B57" s="115"/>
      <c r="C57" s="116"/>
      <c r="D57" s="2"/>
      <c r="E57" s="127"/>
      <c r="F57" s="99"/>
      <c r="G57" s="87"/>
      <c r="H57" s="29"/>
      <c r="I57" s="98"/>
      <c r="J57" s="117"/>
      <c r="K57" s="117"/>
      <c r="L57" s="6"/>
      <c r="M57" s="7"/>
      <c r="N57" s="7"/>
      <c r="O57" s="7"/>
      <c r="P57" s="102"/>
      <c r="Q57" s="6"/>
      <c r="R57" s="102"/>
      <c r="S57" s="6"/>
      <c r="T57" s="102"/>
      <c r="U57" s="6"/>
      <c r="V57" s="102"/>
      <c r="W57" s="6"/>
      <c r="X57" s="6"/>
      <c r="Y57" s="6"/>
      <c r="Z57" s="6"/>
      <c r="AA57" s="6"/>
      <c r="AB57" s="6"/>
      <c r="AC57" s="102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102"/>
      <c r="AU57" s="6"/>
      <c r="AV57" s="6"/>
      <c r="AW57" s="102"/>
      <c r="AX57" s="99"/>
      <c r="AY57" s="7"/>
      <c r="AZ57" s="99"/>
      <c r="BA57" s="102"/>
      <c r="BB57" s="102"/>
      <c r="BC57" s="102"/>
      <c r="BD57" s="6"/>
      <c r="BE57" s="6"/>
      <c r="BF57" s="6"/>
      <c r="BG57" s="6"/>
      <c r="BH57" s="6"/>
      <c r="BI57" s="102"/>
      <c r="BJ57" s="6"/>
      <c r="BK57" s="6"/>
      <c r="BL57" s="6"/>
      <c r="BM57" s="102"/>
      <c r="BN57" s="99"/>
      <c r="BO57" s="100"/>
      <c r="BP57" s="100"/>
      <c r="BQ57" s="100"/>
      <c r="BR57" s="102"/>
      <c r="BS57" s="6"/>
      <c r="BT57" s="6"/>
      <c r="BU57" s="6"/>
      <c r="BV57" s="6"/>
    </row>
    <row r="58" spans="1:74" s="101" customFormat="1" x14ac:dyDescent="0.25">
      <c r="A58" s="98"/>
      <c r="B58" s="115"/>
      <c r="C58" s="116"/>
      <c r="D58" s="2"/>
      <c r="E58" s="127"/>
      <c r="F58" s="99"/>
      <c r="G58" s="87"/>
      <c r="H58" s="29"/>
      <c r="I58" s="98"/>
      <c r="J58" s="117"/>
      <c r="K58" s="117"/>
      <c r="L58" s="6"/>
      <c r="M58" s="7"/>
      <c r="N58" s="7"/>
      <c r="O58" s="7"/>
      <c r="P58" s="102"/>
      <c r="Q58" s="6"/>
      <c r="R58" s="102"/>
      <c r="S58" s="6"/>
      <c r="T58" s="102"/>
      <c r="U58" s="6"/>
      <c r="V58" s="102"/>
      <c r="W58" s="6"/>
      <c r="X58" s="6"/>
      <c r="Y58" s="6"/>
      <c r="Z58" s="6"/>
      <c r="AA58" s="6"/>
      <c r="AB58" s="6"/>
      <c r="AC58" s="102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102"/>
      <c r="AU58" s="6"/>
      <c r="AV58" s="6"/>
      <c r="AW58" s="102"/>
      <c r="AX58" s="99"/>
      <c r="AY58" s="7"/>
      <c r="AZ58" s="99"/>
      <c r="BA58" s="102"/>
      <c r="BB58" s="102"/>
      <c r="BC58" s="102"/>
      <c r="BD58" s="6"/>
      <c r="BE58" s="6"/>
      <c r="BF58" s="6"/>
      <c r="BG58" s="6"/>
      <c r="BH58" s="6"/>
      <c r="BI58" s="102"/>
      <c r="BJ58" s="6"/>
      <c r="BK58" s="6"/>
      <c r="BL58" s="6"/>
      <c r="BM58" s="102"/>
      <c r="BN58" s="99"/>
      <c r="BO58" s="100"/>
      <c r="BP58" s="100"/>
      <c r="BQ58" s="100"/>
      <c r="BR58" s="102"/>
      <c r="BS58" s="6"/>
      <c r="BT58" s="6"/>
      <c r="BU58" s="6"/>
      <c r="BV58" s="6"/>
    </row>
    <row r="59" spans="1:74" s="101" customFormat="1" x14ac:dyDescent="0.25">
      <c r="A59" s="98"/>
      <c r="B59" s="115"/>
      <c r="C59" s="116"/>
      <c r="D59" s="2"/>
      <c r="E59" s="127"/>
      <c r="F59" s="99"/>
      <c r="G59" s="87"/>
      <c r="H59" s="29"/>
      <c r="I59" s="98"/>
      <c r="J59" s="117"/>
      <c r="K59" s="117"/>
      <c r="L59" s="6"/>
      <c r="M59" s="7"/>
      <c r="N59" s="7"/>
      <c r="O59" s="7"/>
      <c r="P59" s="102"/>
      <c r="Q59" s="6"/>
      <c r="R59" s="102"/>
      <c r="S59" s="6"/>
      <c r="T59" s="102"/>
      <c r="U59" s="6"/>
      <c r="V59" s="102"/>
      <c r="W59" s="6"/>
      <c r="X59" s="6"/>
      <c r="Y59" s="6"/>
      <c r="Z59" s="6"/>
      <c r="AA59" s="6"/>
      <c r="AB59" s="6"/>
      <c r="AC59" s="102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102"/>
      <c r="AU59" s="6"/>
      <c r="AV59" s="6"/>
      <c r="AW59" s="102"/>
      <c r="AX59" s="99"/>
      <c r="AY59" s="7"/>
      <c r="AZ59" s="99"/>
      <c r="BA59" s="102"/>
      <c r="BB59" s="102"/>
      <c r="BC59" s="102"/>
      <c r="BD59" s="6"/>
      <c r="BE59" s="6"/>
      <c r="BF59" s="6"/>
      <c r="BG59" s="6"/>
      <c r="BH59" s="6"/>
      <c r="BI59" s="102"/>
      <c r="BJ59" s="6"/>
      <c r="BK59" s="6"/>
      <c r="BL59" s="6"/>
      <c r="BM59" s="102"/>
      <c r="BN59" s="99"/>
      <c r="BO59" s="100"/>
      <c r="BP59" s="100"/>
      <c r="BQ59" s="100"/>
      <c r="BR59" s="102"/>
      <c r="BS59" s="6"/>
      <c r="BT59" s="6"/>
      <c r="BU59" s="6"/>
      <c r="BV59" s="6"/>
    </row>
    <row r="60" spans="1:74" s="101" customFormat="1" x14ac:dyDescent="0.25">
      <c r="A60" s="98"/>
      <c r="B60" s="115"/>
      <c r="C60" s="116"/>
      <c r="D60" s="2"/>
      <c r="E60" s="127"/>
      <c r="F60" s="99"/>
      <c r="G60" s="87"/>
      <c r="H60" s="29"/>
      <c r="I60" s="98"/>
      <c r="J60" s="117"/>
      <c r="K60" s="117"/>
      <c r="L60" s="6"/>
      <c r="M60" s="7"/>
      <c r="N60" s="7"/>
      <c r="O60" s="7"/>
      <c r="P60" s="102"/>
      <c r="Q60" s="6"/>
      <c r="R60" s="102"/>
      <c r="S60" s="6"/>
      <c r="T60" s="102"/>
      <c r="U60" s="6"/>
      <c r="V60" s="102"/>
      <c r="W60" s="6"/>
      <c r="X60" s="6"/>
      <c r="Y60" s="6"/>
      <c r="Z60" s="6"/>
      <c r="AA60" s="6"/>
      <c r="AB60" s="6"/>
      <c r="AC60" s="102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102"/>
      <c r="AU60" s="6"/>
      <c r="AV60" s="6"/>
      <c r="AW60" s="102"/>
      <c r="AX60" s="99"/>
      <c r="AY60" s="7"/>
      <c r="AZ60" s="99"/>
      <c r="BA60" s="102"/>
      <c r="BB60" s="102"/>
      <c r="BC60" s="102"/>
      <c r="BD60" s="6"/>
      <c r="BE60" s="6"/>
      <c r="BF60" s="6"/>
      <c r="BG60" s="6"/>
      <c r="BH60" s="6"/>
      <c r="BI60" s="102"/>
      <c r="BJ60" s="6"/>
      <c r="BK60" s="6"/>
      <c r="BL60" s="6"/>
      <c r="BM60" s="102"/>
      <c r="BN60" s="99"/>
      <c r="BO60" s="100"/>
      <c r="BP60" s="100"/>
      <c r="BQ60" s="100"/>
      <c r="BR60" s="102"/>
      <c r="BS60" s="6"/>
      <c r="BT60" s="6"/>
      <c r="BU60" s="6"/>
      <c r="BV60" s="6"/>
    </row>
    <row r="61" spans="1:74" s="101" customFormat="1" x14ac:dyDescent="0.25">
      <c r="A61" s="98"/>
      <c r="B61" s="115"/>
      <c r="C61" s="116"/>
      <c r="D61" s="2"/>
      <c r="E61" s="127"/>
      <c r="F61" s="99"/>
      <c r="G61" s="87"/>
      <c r="H61" s="29"/>
      <c r="I61" s="98"/>
      <c r="J61" s="117"/>
      <c r="K61" s="117"/>
      <c r="L61" s="6"/>
      <c r="M61" s="7"/>
      <c r="N61" s="7"/>
      <c r="O61" s="7"/>
      <c r="P61" s="102"/>
      <c r="Q61" s="6"/>
      <c r="R61" s="102"/>
      <c r="S61" s="6"/>
      <c r="T61" s="102"/>
      <c r="U61" s="6"/>
      <c r="V61" s="102"/>
      <c r="W61" s="6"/>
      <c r="X61" s="6"/>
      <c r="Y61" s="6"/>
      <c r="Z61" s="6"/>
      <c r="AA61" s="6"/>
      <c r="AB61" s="6"/>
      <c r="AC61" s="102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102"/>
      <c r="AU61" s="6"/>
      <c r="AV61" s="6"/>
      <c r="AW61" s="102"/>
      <c r="AX61" s="99"/>
      <c r="AY61" s="7"/>
      <c r="AZ61" s="99"/>
      <c r="BA61" s="102"/>
      <c r="BB61" s="102"/>
      <c r="BC61" s="102"/>
      <c r="BD61" s="6"/>
      <c r="BE61" s="6"/>
      <c r="BF61" s="6"/>
      <c r="BG61" s="6"/>
      <c r="BH61" s="6"/>
      <c r="BI61" s="102"/>
      <c r="BJ61" s="6"/>
      <c r="BK61" s="6"/>
      <c r="BL61" s="6"/>
      <c r="BM61" s="102"/>
      <c r="BN61" s="99"/>
      <c r="BO61" s="100"/>
      <c r="BP61" s="100"/>
      <c r="BQ61" s="100"/>
      <c r="BR61" s="102"/>
      <c r="BS61" s="6"/>
      <c r="BT61" s="6"/>
      <c r="BU61" s="6"/>
      <c r="BV61" s="6"/>
    </row>
    <row r="62" spans="1:74" s="101" customFormat="1" x14ac:dyDescent="0.25">
      <c r="A62" s="98"/>
      <c r="B62" s="115"/>
      <c r="C62" s="116"/>
      <c r="D62" s="2"/>
      <c r="E62" s="127"/>
      <c r="F62" s="99"/>
      <c r="G62" s="87"/>
      <c r="H62" s="29"/>
      <c r="I62" s="98"/>
      <c r="J62" s="117"/>
      <c r="K62" s="117"/>
      <c r="L62" s="6"/>
      <c r="M62" s="7"/>
      <c r="N62" s="7"/>
      <c r="O62" s="7"/>
      <c r="P62" s="102"/>
      <c r="Q62" s="6"/>
      <c r="R62" s="102"/>
      <c r="S62" s="6"/>
      <c r="T62" s="102"/>
      <c r="U62" s="6"/>
      <c r="V62" s="102"/>
      <c r="W62" s="6"/>
      <c r="X62" s="6"/>
      <c r="Y62" s="6"/>
      <c r="Z62" s="6"/>
      <c r="AA62" s="6"/>
      <c r="AB62" s="6"/>
      <c r="AC62" s="102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102"/>
      <c r="AU62" s="6"/>
      <c r="AV62" s="6"/>
      <c r="AW62" s="102"/>
      <c r="AX62" s="99"/>
      <c r="AY62" s="7"/>
      <c r="AZ62" s="99"/>
      <c r="BA62" s="102"/>
      <c r="BB62" s="102"/>
      <c r="BC62" s="102"/>
      <c r="BD62" s="6"/>
      <c r="BE62" s="6"/>
      <c r="BF62" s="6"/>
      <c r="BG62" s="6"/>
      <c r="BH62" s="6"/>
      <c r="BI62" s="102"/>
      <c r="BJ62" s="6"/>
      <c r="BK62" s="6"/>
      <c r="BL62" s="6"/>
      <c r="BM62" s="102"/>
      <c r="BN62" s="99"/>
      <c r="BO62" s="100"/>
      <c r="BP62" s="100"/>
      <c r="BQ62" s="100"/>
      <c r="BR62" s="102"/>
      <c r="BS62" s="6"/>
      <c r="BT62" s="6"/>
      <c r="BU62" s="6"/>
      <c r="BV62" s="6"/>
    </row>
    <row r="63" spans="1:74" s="101" customFormat="1" x14ac:dyDescent="0.25">
      <c r="A63" s="98"/>
      <c r="B63" s="115"/>
      <c r="C63" s="116"/>
      <c r="D63" s="2"/>
      <c r="E63" s="127"/>
      <c r="F63" s="99"/>
      <c r="G63" s="87"/>
      <c r="H63" s="29"/>
      <c r="I63" s="98"/>
      <c r="J63" s="117"/>
      <c r="K63" s="117"/>
      <c r="L63" s="6"/>
      <c r="M63" s="7"/>
      <c r="N63" s="7"/>
      <c r="O63" s="7"/>
      <c r="P63" s="102"/>
      <c r="Q63" s="6"/>
      <c r="R63" s="102"/>
      <c r="S63" s="6"/>
      <c r="T63" s="102"/>
      <c r="U63" s="6"/>
      <c r="V63" s="102"/>
      <c r="W63" s="6"/>
      <c r="X63" s="6"/>
      <c r="Y63" s="6"/>
      <c r="Z63" s="6"/>
      <c r="AA63" s="6"/>
      <c r="AB63" s="6"/>
      <c r="AC63" s="102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102"/>
      <c r="AU63" s="6"/>
      <c r="AV63" s="6"/>
      <c r="AW63" s="102"/>
      <c r="AX63" s="99"/>
      <c r="AY63" s="7"/>
      <c r="AZ63" s="99"/>
      <c r="BA63" s="102"/>
      <c r="BB63" s="102"/>
      <c r="BC63" s="102"/>
      <c r="BD63" s="6"/>
      <c r="BE63" s="6"/>
      <c r="BF63" s="6"/>
      <c r="BG63" s="6"/>
      <c r="BH63" s="6"/>
      <c r="BI63" s="102"/>
      <c r="BJ63" s="6"/>
      <c r="BK63" s="6"/>
      <c r="BL63" s="6"/>
      <c r="BM63" s="102"/>
      <c r="BN63" s="99"/>
      <c r="BO63" s="100"/>
      <c r="BP63" s="100"/>
      <c r="BQ63" s="100"/>
      <c r="BR63" s="102"/>
      <c r="BS63" s="6"/>
      <c r="BT63" s="6"/>
      <c r="BU63" s="6"/>
      <c r="BV63" s="6"/>
    </row>
    <row r="64" spans="1:74" s="101" customFormat="1" x14ac:dyDescent="0.25">
      <c r="A64" s="98"/>
      <c r="B64" s="115"/>
      <c r="C64" s="116"/>
      <c r="D64" s="2"/>
      <c r="E64" s="127"/>
      <c r="F64" s="99"/>
      <c r="G64" s="87"/>
      <c r="H64" s="29"/>
      <c r="I64" s="98"/>
      <c r="J64" s="117"/>
      <c r="K64" s="117"/>
      <c r="L64" s="6"/>
      <c r="M64" s="7"/>
      <c r="N64" s="7"/>
      <c r="O64" s="7"/>
      <c r="P64" s="102"/>
      <c r="Q64" s="6"/>
      <c r="R64" s="102"/>
      <c r="S64" s="6"/>
      <c r="T64" s="102"/>
      <c r="U64" s="6"/>
      <c r="V64" s="102"/>
      <c r="W64" s="6"/>
      <c r="X64" s="6"/>
      <c r="Y64" s="6"/>
      <c r="Z64" s="6"/>
      <c r="AA64" s="6"/>
      <c r="AB64" s="6"/>
      <c r="AC64" s="102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102"/>
      <c r="AU64" s="6"/>
      <c r="AV64" s="6"/>
      <c r="AW64" s="102"/>
      <c r="AX64" s="99"/>
      <c r="AY64" s="7"/>
      <c r="AZ64" s="99"/>
      <c r="BA64" s="102"/>
      <c r="BB64" s="102"/>
      <c r="BC64" s="102"/>
      <c r="BD64" s="6"/>
      <c r="BE64" s="6"/>
      <c r="BF64" s="6"/>
      <c r="BG64" s="6"/>
      <c r="BH64" s="6"/>
      <c r="BI64" s="102"/>
      <c r="BJ64" s="6"/>
      <c r="BK64" s="6"/>
      <c r="BL64" s="6"/>
      <c r="BM64" s="102"/>
      <c r="BN64" s="99"/>
      <c r="BO64" s="100"/>
      <c r="BP64" s="100"/>
      <c r="BQ64" s="100"/>
      <c r="BR64" s="102"/>
      <c r="BS64" s="6"/>
      <c r="BT64" s="6"/>
      <c r="BU64" s="6"/>
      <c r="BV64" s="6"/>
    </row>
    <row r="65" spans="1:74" s="101" customFormat="1" x14ac:dyDescent="0.25">
      <c r="A65" s="98"/>
      <c r="B65" s="115"/>
      <c r="C65" s="116"/>
      <c r="D65" s="2"/>
      <c r="E65" s="127"/>
      <c r="F65" s="99"/>
      <c r="G65" s="87"/>
      <c r="H65" s="29"/>
      <c r="I65" s="98"/>
      <c r="J65" s="117"/>
      <c r="K65" s="117"/>
      <c r="L65" s="6"/>
      <c r="M65" s="7"/>
      <c r="N65" s="7"/>
      <c r="O65" s="7"/>
      <c r="P65" s="102"/>
      <c r="Q65" s="6"/>
      <c r="R65" s="102"/>
      <c r="S65" s="6"/>
      <c r="T65" s="102"/>
      <c r="U65" s="6"/>
      <c r="V65" s="102"/>
      <c r="W65" s="6"/>
      <c r="X65" s="6"/>
      <c r="Y65" s="6"/>
      <c r="Z65" s="6"/>
      <c r="AA65" s="6"/>
      <c r="AB65" s="6"/>
      <c r="AC65" s="102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102"/>
      <c r="AU65" s="6"/>
      <c r="AV65" s="6"/>
      <c r="AW65" s="102"/>
      <c r="AX65" s="99"/>
      <c r="AY65" s="7"/>
      <c r="AZ65" s="99"/>
      <c r="BA65" s="102"/>
      <c r="BB65" s="102"/>
      <c r="BC65" s="102"/>
      <c r="BD65" s="6"/>
      <c r="BE65" s="6"/>
      <c r="BF65" s="6"/>
      <c r="BG65" s="6"/>
      <c r="BH65" s="6"/>
      <c r="BI65" s="102"/>
      <c r="BJ65" s="6"/>
      <c r="BK65" s="6"/>
      <c r="BL65" s="6"/>
      <c r="BM65" s="102"/>
      <c r="BN65" s="99"/>
      <c r="BO65" s="100"/>
      <c r="BP65" s="100"/>
      <c r="BQ65" s="100"/>
      <c r="BR65" s="102"/>
      <c r="BS65" s="6"/>
      <c r="BT65" s="6"/>
      <c r="BU65" s="6"/>
      <c r="BV65" s="6"/>
    </row>
    <row r="66" spans="1:74" s="101" customFormat="1" x14ac:dyDescent="0.25">
      <c r="A66" s="98"/>
      <c r="B66" s="115"/>
      <c r="C66" s="116"/>
      <c r="D66" s="2"/>
      <c r="E66" s="127"/>
      <c r="F66" s="99"/>
      <c r="G66" s="87"/>
      <c r="H66" s="29"/>
      <c r="I66" s="98"/>
      <c r="J66" s="117"/>
      <c r="K66" s="117"/>
      <c r="L66" s="6"/>
      <c r="M66" s="7"/>
      <c r="N66" s="7"/>
      <c r="O66" s="7"/>
      <c r="P66" s="102"/>
      <c r="Q66" s="6"/>
      <c r="R66" s="102"/>
      <c r="S66" s="6"/>
      <c r="T66" s="102"/>
      <c r="U66" s="6"/>
      <c r="V66" s="102"/>
      <c r="W66" s="6"/>
      <c r="X66" s="6"/>
      <c r="Y66" s="6"/>
      <c r="Z66" s="6"/>
      <c r="AA66" s="6"/>
      <c r="AB66" s="6"/>
      <c r="AC66" s="102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102"/>
      <c r="AU66" s="6"/>
      <c r="AV66" s="6"/>
      <c r="AW66" s="102"/>
      <c r="AX66" s="99"/>
      <c r="AY66" s="7"/>
      <c r="AZ66" s="99"/>
      <c r="BA66" s="102"/>
      <c r="BB66" s="102"/>
      <c r="BC66" s="102"/>
      <c r="BD66" s="6"/>
      <c r="BE66" s="6"/>
      <c r="BF66" s="6"/>
      <c r="BG66" s="6"/>
      <c r="BH66" s="6"/>
      <c r="BI66" s="102"/>
      <c r="BJ66" s="6"/>
      <c r="BK66" s="6"/>
      <c r="BL66" s="6"/>
      <c r="BM66" s="102"/>
      <c r="BN66" s="99"/>
      <c r="BO66" s="100"/>
      <c r="BP66" s="100"/>
      <c r="BQ66" s="100"/>
      <c r="BR66" s="102"/>
      <c r="BS66" s="6"/>
      <c r="BT66" s="6"/>
      <c r="BU66" s="6"/>
      <c r="BV66" s="6"/>
    </row>
    <row r="67" spans="1:74" s="101" customFormat="1" x14ac:dyDescent="0.25">
      <c r="A67" s="98"/>
      <c r="B67" s="115"/>
      <c r="C67" s="116"/>
      <c r="D67" s="2"/>
      <c r="E67" s="127"/>
      <c r="F67" s="99"/>
      <c r="G67" s="87"/>
      <c r="H67" s="29"/>
      <c r="I67" s="98"/>
      <c r="J67" s="117"/>
      <c r="K67" s="117"/>
      <c r="L67" s="6"/>
      <c r="M67" s="7"/>
      <c r="N67" s="7"/>
      <c r="O67" s="7"/>
      <c r="P67" s="102"/>
      <c r="Q67" s="6"/>
      <c r="R67" s="102"/>
      <c r="S67" s="6"/>
      <c r="T67" s="102"/>
      <c r="U67" s="6"/>
      <c r="V67" s="102"/>
      <c r="W67" s="6"/>
      <c r="X67" s="6"/>
      <c r="Y67" s="6"/>
      <c r="Z67" s="6"/>
      <c r="AA67" s="6"/>
      <c r="AB67" s="6"/>
      <c r="AC67" s="102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102"/>
      <c r="AU67" s="6"/>
      <c r="AV67" s="6"/>
      <c r="AW67" s="102"/>
      <c r="AX67" s="99"/>
      <c r="AY67" s="7"/>
      <c r="AZ67" s="99"/>
      <c r="BA67" s="102"/>
      <c r="BB67" s="102"/>
      <c r="BC67" s="102"/>
      <c r="BD67" s="6"/>
      <c r="BE67" s="6"/>
      <c r="BF67" s="6"/>
      <c r="BG67" s="6"/>
      <c r="BH67" s="6"/>
      <c r="BI67" s="102"/>
      <c r="BJ67" s="6"/>
      <c r="BK67" s="6"/>
      <c r="BL67" s="6"/>
      <c r="BM67" s="102"/>
      <c r="BN67" s="99"/>
      <c r="BO67" s="100"/>
      <c r="BP67" s="100"/>
      <c r="BQ67" s="100"/>
      <c r="BR67" s="102"/>
      <c r="BS67" s="6"/>
      <c r="BT67" s="6"/>
      <c r="BU67" s="6"/>
      <c r="BV67" s="6"/>
    </row>
    <row r="68" spans="1:74" s="101" customFormat="1" x14ac:dyDescent="0.25">
      <c r="A68" s="98"/>
      <c r="B68" s="115"/>
      <c r="C68" s="116"/>
      <c r="D68" s="2"/>
      <c r="E68" s="127"/>
      <c r="F68" s="99"/>
      <c r="G68" s="87"/>
      <c r="H68" s="29"/>
      <c r="I68" s="98"/>
      <c r="J68" s="117"/>
      <c r="K68" s="117"/>
      <c r="L68" s="6"/>
      <c r="M68" s="7"/>
      <c r="N68" s="7"/>
      <c r="O68" s="7"/>
      <c r="P68" s="102"/>
      <c r="Q68" s="6"/>
      <c r="R68" s="102"/>
      <c r="S68" s="6"/>
      <c r="T68" s="102"/>
      <c r="U68" s="6"/>
      <c r="V68" s="102"/>
      <c r="W68" s="6"/>
      <c r="X68" s="6"/>
      <c r="Y68" s="6"/>
      <c r="Z68" s="6"/>
      <c r="AA68" s="6"/>
      <c r="AB68" s="6"/>
      <c r="AC68" s="102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102"/>
      <c r="AU68" s="6"/>
      <c r="AV68" s="6"/>
      <c r="AW68" s="102"/>
      <c r="AX68" s="99"/>
      <c r="AY68" s="7"/>
      <c r="AZ68" s="99"/>
      <c r="BA68" s="102"/>
      <c r="BB68" s="102"/>
      <c r="BC68" s="102"/>
      <c r="BD68" s="6"/>
      <c r="BE68" s="6"/>
      <c r="BF68" s="6"/>
      <c r="BG68" s="6"/>
      <c r="BH68" s="6"/>
      <c r="BI68" s="102"/>
      <c r="BJ68" s="6"/>
      <c r="BK68" s="6"/>
      <c r="BL68" s="6"/>
      <c r="BM68" s="102"/>
      <c r="BN68" s="99"/>
      <c r="BO68" s="100"/>
      <c r="BP68" s="100"/>
      <c r="BQ68" s="100"/>
      <c r="BR68" s="102"/>
      <c r="BS68" s="6"/>
      <c r="BT68" s="6"/>
      <c r="BU68" s="6"/>
      <c r="BV68" s="6"/>
    </row>
    <row r="69" spans="1:74" s="101" customFormat="1" x14ac:dyDescent="0.25">
      <c r="A69" s="98"/>
      <c r="B69" s="115"/>
      <c r="C69" s="116"/>
      <c r="D69" s="2"/>
      <c r="E69" s="127"/>
      <c r="F69" s="99"/>
      <c r="G69" s="87"/>
      <c r="H69" s="29"/>
      <c r="I69" s="98"/>
      <c r="J69" s="117"/>
      <c r="K69" s="117"/>
      <c r="L69" s="6"/>
      <c r="M69" s="7"/>
      <c r="N69" s="7"/>
      <c r="O69" s="7"/>
      <c r="P69" s="102"/>
      <c r="Q69" s="6"/>
      <c r="R69" s="102"/>
      <c r="S69" s="6"/>
      <c r="T69" s="102"/>
      <c r="U69" s="6"/>
      <c r="V69" s="102"/>
      <c r="W69" s="6"/>
      <c r="X69" s="6"/>
      <c r="Y69" s="6"/>
      <c r="Z69" s="6"/>
      <c r="AA69" s="6"/>
      <c r="AB69" s="6"/>
      <c r="AC69" s="102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102"/>
      <c r="AU69" s="6"/>
      <c r="AV69" s="6"/>
      <c r="AW69" s="102"/>
      <c r="AX69" s="99"/>
      <c r="AY69" s="7"/>
      <c r="AZ69" s="99"/>
      <c r="BA69" s="102"/>
      <c r="BB69" s="102"/>
      <c r="BC69" s="102"/>
      <c r="BD69" s="6"/>
      <c r="BE69" s="6"/>
      <c r="BF69" s="6"/>
      <c r="BG69" s="6"/>
      <c r="BH69" s="6"/>
      <c r="BI69" s="102"/>
      <c r="BJ69" s="6"/>
      <c r="BK69" s="6"/>
      <c r="BL69" s="6"/>
      <c r="BM69" s="102"/>
      <c r="BN69" s="99"/>
      <c r="BO69" s="100"/>
      <c r="BP69" s="100"/>
      <c r="BQ69" s="100"/>
      <c r="BR69" s="102"/>
      <c r="BS69" s="6"/>
      <c r="BT69" s="6"/>
      <c r="BU69" s="6"/>
      <c r="BV69" s="6"/>
    </row>
    <row r="70" spans="1:74" s="101" customFormat="1" x14ac:dyDescent="0.25">
      <c r="A70" s="98"/>
      <c r="B70" s="115"/>
      <c r="C70" s="116"/>
      <c r="D70" s="2"/>
      <c r="E70" s="127"/>
      <c r="F70" s="99"/>
      <c r="G70" s="87"/>
      <c r="H70" s="29"/>
      <c r="I70" s="98"/>
      <c r="J70" s="117"/>
      <c r="K70" s="117"/>
      <c r="L70" s="6"/>
      <c r="M70" s="7"/>
      <c r="N70" s="7"/>
      <c r="O70" s="7"/>
      <c r="P70" s="102"/>
      <c r="Q70" s="6"/>
      <c r="R70" s="102"/>
      <c r="S70" s="6"/>
      <c r="T70" s="102"/>
      <c r="U70" s="6"/>
      <c r="V70" s="102"/>
      <c r="W70" s="6"/>
      <c r="X70" s="6"/>
      <c r="Y70" s="6"/>
      <c r="Z70" s="6"/>
      <c r="AA70" s="6"/>
      <c r="AB70" s="6"/>
      <c r="AC70" s="102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102"/>
      <c r="AU70" s="6"/>
      <c r="AV70" s="6"/>
      <c r="AW70" s="102"/>
      <c r="AX70" s="99"/>
      <c r="AY70" s="7"/>
      <c r="AZ70" s="99"/>
      <c r="BA70" s="102"/>
      <c r="BB70" s="102"/>
      <c r="BC70" s="102"/>
      <c r="BD70" s="6"/>
      <c r="BE70" s="6"/>
      <c r="BF70" s="6"/>
      <c r="BG70" s="6"/>
      <c r="BH70" s="6"/>
      <c r="BI70" s="102"/>
      <c r="BJ70" s="6"/>
      <c r="BK70" s="6"/>
      <c r="BL70" s="6"/>
      <c r="BM70" s="102"/>
      <c r="BN70" s="99"/>
      <c r="BO70" s="100"/>
      <c r="BP70" s="100"/>
      <c r="BQ70" s="100"/>
      <c r="BR70" s="102"/>
      <c r="BS70" s="6"/>
      <c r="BT70" s="6"/>
      <c r="BU70" s="6"/>
      <c r="BV70" s="6"/>
    </row>
    <row r="71" spans="1:74" s="101" customFormat="1" x14ac:dyDescent="0.25">
      <c r="A71" s="98"/>
      <c r="B71" s="115"/>
      <c r="C71" s="116"/>
      <c r="D71" s="2"/>
      <c r="E71" s="127"/>
      <c r="F71" s="99"/>
      <c r="G71" s="87"/>
      <c r="H71" s="29"/>
      <c r="I71" s="98"/>
      <c r="J71" s="117"/>
      <c r="K71" s="117"/>
      <c r="L71" s="6"/>
      <c r="M71" s="7"/>
      <c r="N71" s="7"/>
      <c r="O71" s="7"/>
      <c r="P71" s="102"/>
      <c r="Q71" s="6"/>
      <c r="R71" s="102"/>
      <c r="S71" s="6"/>
      <c r="T71" s="102"/>
      <c r="U71" s="6"/>
      <c r="V71" s="102"/>
      <c r="W71" s="6"/>
      <c r="X71" s="6"/>
      <c r="Y71" s="6"/>
      <c r="Z71" s="6"/>
      <c r="AA71" s="6"/>
      <c r="AB71" s="6"/>
      <c r="AC71" s="102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102"/>
      <c r="AU71" s="6"/>
      <c r="AV71" s="6"/>
      <c r="AW71" s="102"/>
      <c r="AX71" s="99"/>
      <c r="AY71" s="7"/>
      <c r="AZ71" s="99"/>
      <c r="BA71" s="102"/>
      <c r="BB71" s="102"/>
      <c r="BC71" s="102"/>
      <c r="BD71" s="6"/>
      <c r="BE71" s="6"/>
      <c r="BF71" s="6"/>
      <c r="BG71" s="6"/>
      <c r="BH71" s="6"/>
      <c r="BI71" s="102"/>
      <c r="BJ71" s="6"/>
      <c r="BK71" s="6"/>
      <c r="BL71" s="6"/>
      <c r="BM71" s="102"/>
      <c r="BN71" s="99"/>
      <c r="BO71" s="100"/>
      <c r="BP71" s="100"/>
      <c r="BQ71" s="100"/>
      <c r="BR71" s="102"/>
      <c r="BS71" s="6"/>
      <c r="BT71" s="6"/>
      <c r="BU71" s="6"/>
      <c r="BV71" s="6"/>
    </row>
    <row r="72" spans="1:74" s="101" customFormat="1" x14ac:dyDescent="0.25">
      <c r="A72" s="98"/>
      <c r="B72" s="115"/>
      <c r="C72" s="116"/>
      <c r="D72" s="2"/>
      <c r="E72" s="127"/>
      <c r="F72" s="99"/>
      <c r="G72" s="87"/>
      <c r="H72" s="29"/>
      <c r="I72" s="98"/>
      <c r="J72" s="117"/>
      <c r="K72" s="117"/>
      <c r="L72" s="6"/>
      <c r="M72" s="7"/>
      <c r="N72" s="7"/>
      <c r="O72" s="7"/>
      <c r="P72" s="102"/>
      <c r="Q72" s="6"/>
      <c r="R72" s="102"/>
      <c r="S72" s="6"/>
      <c r="T72" s="102"/>
      <c r="U72" s="6"/>
      <c r="V72" s="102"/>
      <c r="W72" s="6"/>
      <c r="X72" s="6"/>
      <c r="Y72" s="6"/>
      <c r="Z72" s="6"/>
      <c r="AA72" s="6"/>
      <c r="AB72" s="6"/>
      <c r="AC72" s="102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102"/>
      <c r="AU72" s="6"/>
      <c r="AV72" s="6"/>
      <c r="AW72" s="102"/>
      <c r="AX72" s="99"/>
      <c r="AY72" s="7"/>
      <c r="AZ72" s="99"/>
      <c r="BA72" s="102"/>
      <c r="BB72" s="102"/>
      <c r="BC72" s="102"/>
      <c r="BD72" s="6"/>
      <c r="BE72" s="6"/>
      <c r="BF72" s="6"/>
      <c r="BG72" s="6"/>
      <c r="BH72" s="6"/>
      <c r="BI72" s="102"/>
      <c r="BJ72" s="6"/>
      <c r="BK72" s="6"/>
      <c r="BL72" s="6"/>
      <c r="BM72" s="102"/>
      <c r="BN72" s="99"/>
      <c r="BO72" s="100"/>
      <c r="BP72" s="100"/>
      <c r="BQ72" s="100"/>
      <c r="BR72" s="102"/>
      <c r="BS72" s="6"/>
      <c r="BT72" s="6"/>
      <c r="BU72" s="6"/>
      <c r="BV72" s="6"/>
    </row>
    <row r="73" spans="1:74" s="101" customFormat="1" x14ac:dyDescent="0.25">
      <c r="A73" s="98"/>
      <c r="B73" s="115"/>
      <c r="C73" s="116"/>
      <c r="D73" s="2"/>
      <c r="E73" s="127"/>
      <c r="F73" s="99"/>
      <c r="G73" s="87"/>
      <c r="H73" s="29"/>
      <c r="I73" s="98"/>
      <c r="J73" s="117"/>
      <c r="K73" s="117"/>
      <c r="L73" s="6"/>
      <c r="M73" s="7"/>
      <c r="N73" s="7"/>
      <c r="O73" s="7"/>
      <c r="P73" s="102"/>
      <c r="Q73" s="6"/>
      <c r="R73" s="102"/>
      <c r="S73" s="6"/>
      <c r="T73" s="102"/>
      <c r="U73" s="6"/>
      <c r="V73" s="102"/>
      <c r="W73" s="6"/>
      <c r="X73" s="6"/>
      <c r="Y73" s="6"/>
      <c r="Z73" s="6"/>
      <c r="AA73" s="6"/>
      <c r="AB73" s="6"/>
      <c r="AC73" s="102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102"/>
      <c r="AU73" s="6"/>
      <c r="AV73" s="6"/>
      <c r="AW73" s="102"/>
      <c r="AX73" s="99"/>
      <c r="AY73" s="7"/>
      <c r="AZ73" s="99"/>
      <c r="BA73" s="102"/>
      <c r="BB73" s="102"/>
      <c r="BC73" s="102"/>
      <c r="BD73" s="6"/>
      <c r="BE73" s="6"/>
      <c r="BF73" s="6"/>
      <c r="BG73" s="6"/>
      <c r="BH73" s="6"/>
      <c r="BI73" s="102"/>
      <c r="BJ73" s="6"/>
      <c r="BK73" s="6"/>
      <c r="BL73" s="6"/>
      <c r="BM73" s="102"/>
      <c r="BN73" s="99"/>
      <c r="BO73" s="100"/>
      <c r="BP73" s="100"/>
      <c r="BQ73" s="100"/>
      <c r="BR73" s="102"/>
      <c r="BS73" s="6"/>
      <c r="BT73" s="6"/>
      <c r="BU73" s="6"/>
      <c r="BV73" s="6"/>
    </row>
    <row r="74" spans="1:74" s="101" customFormat="1" x14ac:dyDescent="0.25">
      <c r="A74" s="98"/>
      <c r="B74" s="115"/>
      <c r="C74" s="116"/>
      <c r="D74" s="2"/>
      <c r="E74" s="127"/>
      <c r="F74" s="99"/>
      <c r="G74" s="87"/>
      <c r="H74" s="29"/>
      <c r="I74" s="98"/>
      <c r="J74" s="117"/>
      <c r="K74" s="117"/>
      <c r="L74" s="6"/>
      <c r="M74" s="7"/>
      <c r="N74" s="7"/>
      <c r="O74" s="7"/>
      <c r="P74" s="102"/>
      <c r="Q74" s="6"/>
      <c r="R74" s="102"/>
      <c r="S74" s="6"/>
      <c r="T74" s="102"/>
      <c r="U74" s="6"/>
      <c r="V74" s="102"/>
      <c r="W74" s="6"/>
      <c r="X74" s="6"/>
      <c r="Y74" s="6"/>
      <c r="Z74" s="6"/>
      <c r="AA74" s="6"/>
      <c r="AB74" s="6"/>
      <c r="AC74" s="102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102"/>
      <c r="AU74" s="6"/>
      <c r="AV74" s="6"/>
      <c r="AW74" s="102"/>
      <c r="AX74" s="99"/>
      <c r="AY74" s="7"/>
      <c r="AZ74" s="99"/>
      <c r="BA74" s="102"/>
      <c r="BB74" s="102"/>
      <c r="BC74" s="102"/>
      <c r="BD74" s="6"/>
      <c r="BE74" s="6"/>
      <c r="BF74" s="6"/>
      <c r="BG74" s="6"/>
      <c r="BH74" s="6"/>
      <c r="BI74" s="102"/>
      <c r="BJ74" s="6"/>
      <c r="BK74" s="6"/>
      <c r="BL74" s="6"/>
      <c r="BM74" s="102"/>
      <c r="BN74" s="99"/>
      <c r="BO74" s="100"/>
      <c r="BP74" s="100"/>
      <c r="BQ74" s="100"/>
      <c r="BR74" s="102"/>
      <c r="BS74" s="6"/>
      <c r="BT74" s="6"/>
      <c r="BU74" s="6"/>
      <c r="BV74" s="6"/>
    </row>
    <row r="75" spans="1:74" s="101" customFormat="1" x14ac:dyDescent="0.25">
      <c r="A75" s="98"/>
      <c r="B75" s="115"/>
      <c r="C75" s="116"/>
      <c r="D75" s="2"/>
      <c r="E75" s="127"/>
      <c r="F75" s="99"/>
      <c r="G75" s="87"/>
      <c r="H75" s="29"/>
      <c r="I75" s="98"/>
      <c r="J75" s="117"/>
      <c r="K75" s="117"/>
      <c r="L75" s="6"/>
      <c r="M75" s="7"/>
      <c r="N75" s="7"/>
      <c r="O75" s="7"/>
      <c r="P75" s="102"/>
      <c r="Q75" s="6"/>
      <c r="R75" s="102"/>
      <c r="S75" s="6"/>
      <c r="T75" s="102"/>
      <c r="U75" s="6"/>
      <c r="V75" s="102"/>
      <c r="W75" s="6"/>
      <c r="X75" s="6"/>
      <c r="Y75" s="6"/>
      <c r="Z75" s="6"/>
      <c r="AA75" s="6"/>
      <c r="AB75" s="6"/>
      <c r="AC75" s="102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102"/>
      <c r="AU75" s="6"/>
      <c r="AV75" s="6"/>
      <c r="AW75" s="102"/>
      <c r="AX75" s="99"/>
      <c r="AY75" s="7"/>
      <c r="AZ75" s="99"/>
      <c r="BA75" s="102"/>
      <c r="BB75" s="102"/>
      <c r="BC75" s="102"/>
      <c r="BD75" s="6"/>
      <c r="BE75" s="6"/>
      <c r="BF75" s="6"/>
      <c r="BG75" s="6"/>
      <c r="BH75" s="6"/>
      <c r="BI75" s="102"/>
      <c r="BJ75" s="6"/>
      <c r="BK75" s="6"/>
      <c r="BL75" s="6"/>
      <c r="BM75" s="102"/>
      <c r="BN75" s="99"/>
      <c r="BO75" s="100"/>
      <c r="BP75" s="100"/>
      <c r="BQ75" s="100"/>
      <c r="BR75" s="102"/>
      <c r="BS75" s="6"/>
      <c r="BT75" s="6"/>
      <c r="BU75" s="6"/>
      <c r="BV75" s="6"/>
    </row>
    <row r="76" spans="1:74" s="101" customFormat="1" x14ac:dyDescent="0.25">
      <c r="A76" s="98"/>
      <c r="B76" s="115"/>
      <c r="C76" s="116"/>
      <c r="D76" s="2"/>
      <c r="E76" s="127"/>
      <c r="F76" s="99"/>
      <c r="G76" s="87"/>
      <c r="H76" s="29"/>
      <c r="I76" s="98"/>
      <c r="J76" s="117"/>
      <c r="K76" s="117"/>
      <c r="L76" s="6"/>
      <c r="M76" s="7"/>
      <c r="N76" s="7"/>
      <c r="O76" s="7"/>
      <c r="P76" s="102"/>
      <c r="Q76" s="6"/>
      <c r="R76" s="102"/>
      <c r="S76" s="6"/>
      <c r="T76" s="102"/>
      <c r="U76" s="6"/>
      <c r="V76" s="102"/>
      <c r="W76" s="6"/>
      <c r="X76" s="6"/>
      <c r="Y76" s="6"/>
      <c r="Z76" s="6"/>
      <c r="AA76" s="6"/>
      <c r="AB76" s="6"/>
      <c r="AC76" s="102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102"/>
      <c r="AU76" s="6"/>
      <c r="AV76" s="6"/>
      <c r="AW76" s="102"/>
      <c r="AX76" s="99"/>
      <c r="AY76" s="7"/>
      <c r="AZ76" s="99"/>
      <c r="BA76" s="102"/>
      <c r="BB76" s="102"/>
      <c r="BC76" s="102"/>
      <c r="BD76" s="6"/>
      <c r="BE76" s="6"/>
      <c r="BF76" s="6"/>
      <c r="BG76" s="6"/>
      <c r="BH76" s="6"/>
      <c r="BI76" s="102"/>
      <c r="BJ76" s="6"/>
      <c r="BK76" s="6"/>
      <c r="BL76" s="6"/>
      <c r="BM76" s="102"/>
      <c r="BN76" s="99"/>
      <c r="BO76" s="100"/>
      <c r="BP76" s="100"/>
      <c r="BQ76" s="100"/>
      <c r="BR76" s="102"/>
      <c r="BS76" s="6"/>
      <c r="BT76" s="6"/>
      <c r="BU76" s="6"/>
      <c r="BV76" s="6"/>
    </row>
    <row r="77" spans="1:74" s="101" customFormat="1" x14ac:dyDescent="0.25">
      <c r="A77" s="98"/>
      <c r="B77" s="115"/>
      <c r="C77" s="116"/>
      <c r="D77" s="2"/>
      <c r="E77" s="127"/>
      <c r="F77" s="99"/>
      <c r="G77" s="87"/>
      <c r="H77" s="29"/>
      <c r="I77" s="98"/>
      <c r="J77" s="117"/>
      <c r="K77" s="117"/>
      <c r="L77" s="6"/>
      <c r="M77" s="7"/>
      <c r="N77" s="7"/>
      <c r="O77" s="7"/>
      <c r="P77" s="102"/>
      <c r="Q77" s="6"/>
      <c r="R77" s="102"/>
      <c r="S77" s="6"/>
      <c r="T77" s="102"/>
      <c r="U77" s="6"/>
      <c r="V77" s="102"/>
      <c r="W77" s="6"/>
      <c r="X77" s="6"/>
      <c r="Y77" s="6"/>
      <c r="Z77" s="6"/>
      <c r="AA77" s="6"/>
      <c r="AB77" s="6"/>
      <c r="AC77" s="102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102"/>
      <c r="AU77" s="6"/>
      <c r="AV77" s="6"/>
      <c r="AW77" s="102"/>
      <c r="AX77" s="99"/>
      <c r="AY77" s="7"/>
      <c r="AZ77" s="99"/>
      <c r="BA77" s="102"/>
      <c r="BB77" s="102"/>
      <c r="BC77" s="102"/>
      <c r="BD77" s="6"/>
      <c r="BE77" s="6"/>
      <c r="BF77" s="6"/>
      <c r="BG77" s="6"/>
      <c r="BH77" s="6"/>
      <c r="BI77" s="102"/>
      <c r="BJ77" s="6"/>
      <c r="BK77" s="6"/>
      <c r="BL77" s="6"/>
      <c r="BM77" s="102"/>
      <c r="BN77" s="99"/>
      <c r="BO77" s="100"/>
      <c r="BP77" s="100"/>
      <c r="BQ77" s="100"/>
      <c r="BR77" s="102"/>
      <c r="BS77" s="6"/>
      <c r="BT77" s="6"/>
      <c r="BU77" s="6"/>
      <c r="BV77" s="6"/>
    </row>
    <row r="78" spans="1:74" s="101" customFormat="1" x14ac:dyDescent="0.25">
      <c r="A78" s="98"/>
      <c r="B78" s="115"/>
      <c r="C78" s="116"/>
      <c r="D78" s="2"/>
      <c r="E78" s="127"/>
      <c r="F78" s="99"/>
      <c r="G78" s="87"/>
      <c r="H78" s="29"/>
      <c r="I78" s="98"/>
      <c r="J78" s="117"/>
      <c r="K78" s="117"/>
      <c r="L78" s="6"/>
      <c r="M78" s="7"/>
      <c r="N78" s="7"/>
      <c r="O78" s="7"/>
      <c r="P78" s="102"/>
      <c r="Q78" s="6"/>
      <c r="R78" s="102"/>
      <c r="S78" s="6"/>
      <c r="T78" s="102"/>
      <c r="U78" s="6"/>
      <c r="V78" s="102"/>
      <c r="W78" s="6"/>
      <c r="X78" s="6"/>
      <c r="Y78" s="6"/>
      <c r="Z78" s="6"/>
      <c r="AA78" s="6"/>
      <c r="AB78" s="6"/>
      <c r="AC78" s="102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102"/>
      <c r="AU78" s="6"/>
      <c r="AV78" s="6"/>
      <c r="AW78" s="102"/>
      <c r="AX78" s="99"/>
      <c r="AY78" s="7"/>
      <c r="AZ78" s="99"/>
      <c r="BA78" s="102"/>
      <c r="BB78" s="102"/>
      <c r="BC78" s="102"/>
      <c r="BD78" s="6"/>
      <c r="BE78" s="6"/>
      <c r="BF78" s="6"/>
      <c r="BG78" s="6"/>
      <c r="BH78" s="6"/>
      <c r="BI78" s="102"/>
      <c r="BJ78" s="6"/>
      <c r="BK78" s="6"/>
      <c r="BL78" s="6"/>
      <c r="BM78" s="102"/>
      <c r="BN78" s="99"/>
      <c r="BO78" s="100"/>
      <c r="BP78" s="100"/>
      <c r="BQ78" s="100"/>
      <c r="BR78" s="102"/>
      <c r="BS78" s="6"/>
      <c r="BT78" s="6"/>
      <c r="BU78" s="6"/>
      <c r="BV78" s="6"/>
    </row>
    <row r="79" spans="1:74" s="101" customFormat="1" x14ac:dyDescent="0.25">
      <c r="A79" s="98"/>
      <c r="B79" s="115"/>
      <c r="C79" s="116"/>
      <c r="D79" s="2"/>
      <c r="E79" s="127"/>
      <c r="F79" s="99"/>
      <c r="G79" s="87"/>
      <c r="H79" s="29"/>
      <c r="I79" s="98"/>
      <c r="J79" s="117"/>
      <c r="K79" s="117"/>
      <c r="L79" s="6"/>
      <c r="M79" s="7"/>
      <c r="N79" s="7"/>
      <c r="O79" s="7"/>
      <c r="P79" s="102"/>
      <c r="Q79" s="6"/>
      <c r="R79" s="102"/>
      <c r="S79" s="6"/>
      <c r="T79" s="102"/>
      <c r="U79" s="6"/>
      <c r="V79" s="102"/>
      <c r="W79" s="6"/>
      <c r="X79" s="6"/>
      <c r="Y79" s="6"/>
      <c r="Z79" s="6"/>
      <c r="AA79" s="6"/>
      <c r="AB79" s="6"/>
      <c r="AC79" s="102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102"/>
      <c r="AU79" s="6"/>
      <c r="AV79" s="6"/>
      <c r="AW79" s="102"/>
      <c r="AX79" s="99"/>
      <c r="AY79" s="7"/>
      <c r="AZ79" s="99"/>
      <c r="BA79" s="102"/>
      <c r="BB79" s="102"/>
      <c r="BC79" s="102"/>
      <c r="BD79" s="6"/>
      <c r="BE79" s="6"/>
      <c r="BF79" s="6"/>
      <c r="BG79" s="6"/>
      <c r="BH79" s="6"/>
      <c r="BI79" s="102"/>
      <c r="BJ79" s="6"/>
      <c r="BK79" s="6"/>
      <c r="BL79" s="6"/>
      <c r="BM79" s="102"/>
      <c r="BN79" s="99"/>
      <c r="BO79" s="100"/>
      <c r="BP79" s="100"/>
      <c r="BQ79" s="100"/>
      <c r="BR79" s="102"/>
      <c r="BS79" s="6"/>
      <c r="BT79" s="6"/>
      <c r="BU79" s="6"/>
      <c r="BV79" s="6"/>
    </row>
    <row r="80" spans="1:74" s="101" customFormat="1" x14ac:dyDescent="0.25">
      <c r="A80" s="98"/>
      <c r="B80" s="115"/>
      <c r="C80" s="116"/>
      <c r="D80" s="2"/>
      <c r="E80" s="127"/>
      <c r="F80" s="99"/>
      <c r="G80" s="87"/>
      <c r="H80" s="29"/>
      <c r="I80" s="98"/>
      <c r="J80" s="117"/>
      <c r="K80" s="117"/>
      <c r="L80" s="6"/>
      <c r="M80" s="7"/>
      <c r="N80" s="7"/>
      <c r="O80" s="7"/>
      <c r="P80" s="102"/>
      <c r="Q80" s="6"/>
      <c r="R80" s="102"/>
      <c r="S80" s="6"/>
      <c r="T80" s="102"/>
      <c r="U80" s="6"/>
      <c r="V80" s="102"/>
      <c r="W80" s="6"/>
      <c r="X80" s="6"/>
      <c r="Y80" s="6"/>
      <c r="Z80" s="6"/>
      <c r="AA80" s="6"/>
      <c r="AB80" s="6"/>
      <c r="AC80" s="102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102"/>
      <c r="AU80" s="6"/>
      <c r="AV80" s="6"/>
      <c r="AW80" s="102"/>
      <c r="AX80" s="99"/>
      <c r="AY80" s="7"/>
      <c r="AZ80" s="99"/>
      <c r="BA80" s="102"/>
      <c r="BB80" s="102"/>
      <c r="BC80" s="102"/>
      <c r="BD80" s="6"/>
      <c r="BE80" s="6"/>
      <c r="BF80" s="6"/>
      <c r="BG80" s="6"/>
      <c r="BH80" s="6"/>
      <c r="BI80" s="102"/>
      <c r="BJ80" s="6"/>
      <c r="BK80" s="6"/>
      <c r="BL80" s="6"/>
      <c r="BM80" s="102"/>
      <c r="BN80" s="99"/>
      <c r="BO80" s="100"/>
      <c r="BP80" s="100"/>
      <c r="BQ80" s="100"/>
      <c r="BR80" s="102"/>
      <c r="BS80" s="6"/>
      <c r="BT80" s="6"/>
      <c r="BU80" s="6"/>
      <c r="BV80" s="6"/>
    </row>
    <row r="81" spans="1:74" s="101" customFormat="1" x14ac:dyDescent="0.25">
      <c r="A81" s="98"/>
      <c r="B81" s="115"/>
      <c r="C81" s="116"/>
      <c r="D81" s="2"/>
      <c r="E81" s="127"/>
      <c r="F81" s="99"/>
      <c r="G81" s="87"/>
      <c r="H81" s="29"/>
      <c r="I81" s="98"/>
      <c r="J81" s="117"/>
      <c r="K81" s="117"/>
      <c r="L81" s="6"/>
      <c r="M81" s="7"/>
      <c r="N81" s="7"/>
      <c r="O81" s="7"/>
      <c r="P81" s="102"/>
      <c r="Q81" s="6"/>
      <c r="R81" s="102"/>
      <c r="S81" s="6"/>
      <c r="T81" s="102"/>
      <c r="U81" s="6"/>
      <c r="V81" s="102"/>
      <c r="W81" s="6"/>
      <c r="X81" s="6"/>
      <c r="Y81" s="6"/>
      <c r="Z81" s="6"/>
      <c r="AA81" s="6"/>
      <c r="AB81" s="6"/>
      <c r="AC81" s="102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102"/>
      <c r="AU81" s="6"/>
      <c r="AV81" s="6"/>
      <c r="AW81" s="102"/>
      <c r="AX81" s="99"/>
      <c r="AY81" s="7"/>
      <c r="AZ81" s="99"/>
      <c r="BA81" s="102"/>
      <c r="BB81" s="102"/>
      <c r="BC81" s="102"/>
      <c r="BD81" s="6"/>
      <c r="BE81" s="6"/>
      <c r="BF81" s="6"/>
      <c r="BG81" s="6"/>
      <c r="BH81" s="6"/>
      <c r="BI81" s="102"/>
      <c r="BJ81" s="6"/>
      <c r="BK81" s="6"/>
      <c r="BL81" s="6"/>
      <c r="BM81" s="102"/>
      <c r="BN81" s="99"/>
      <c r="BO81" s="100"/>
      <c r="BP81" s="100"/>
      <c r="BQ81" s="100"/>
      <c r="BR81" s="102"/>
      <c r="BS81" s="6"/>
      <c r="BT81" s="6"/>
      <c r="BU81" s="6"/>
      <c r="BV81" s="6"/>
    </row>
    <row r="82" spans="1:74" s="101" customFormat="1" x14ac:dyDescent="0.25">
      <c r="A82" s="98"/>
      <c r="B82" s="115"/>
      <c r="C82" s="116"/>
      <c r="D82" s="2"/>
      <c r="E82" s="127"/>
      <c r="F82" s="99"/>
      <c r="G82" s="87"/>
      <c r="H82" s="29"/>
      <c r="I82" s="98"/>
      <c r="J82" s="117"/>
      <c r="K82" s="117"/>
      <c r="L82" s="6"/>
      <c r="M82" s="7"/>
      <c r="N82" s="7"/>
      <c r="O82" s="7"/>
      <c r="P82" s="102"/>
      <c r="Q82" s="6"/>
      <c r="R82" s="102"/>
      <c r="S82" s="6"/>
      <c r="T82" s="102"/>
      <c r="U82" s="6"/>
      <c r="V82" s="102"/>
      <c r="W82" s="6"/>
      <c r="X82" s="6"/>
      <c r="Y82" s="6"/>
      <c r="Z82" s="6"/>
      <c r="AA82" s="6"/>
      <c r="AB82" s="6"/>
      <c r="AC82" s="102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102"/>
      <c r="AU82" s="6"/>
      <c r="AV82" s="6"/>
      <c r="AW82" s="102"/>
      <c r="AX82" s="99"/>
      <c r="AY82" s="7"/>
      <c r="AZ82" s="99"/>
      <c r="BA82" s="102"/>
      <c r="BB82" s="102"/>
      <c r="BC82" s="102"/>
      <c r="BD82" s="6"/>
      <c r="BE82" s="6"/>
      <c r="BF82" s="6"/>
      <c r="BG82" s="6"/>
      <c r="BH82" s="6"/>
      <c r="BI82" s="102"/>
      <c r="BJ82" s="6"/>
      <c r="BK82" s="6"/>
      <c r="BL82" s="6"/>
      <c r="BM82" s="102"/>
      <c r="BN82" s="99"/>
      <c r="BO82" s="100"/>
      <c r="BP82" s="100"/>
      <c r="BQ82" s="100"/>
      <c r="BR82" s="102"/>
      <c r="BS82" s="6"/>
      <c r="BT82" s="6"/>
      <c r="BU82" s="6"/>
      <c r="BV82" s="6"/>
    </row>
    <row r="83" spans="1:74" s="101" customFormat="1" x14ac:dyDescent="0.25">
      <c r="A83" s="98"/>
      <c r="B83" s="115"/>
      <c r="C83" s="116"/>
      <c r="D83" s="2"/>
      <c r="E83" s="127"/>
      <c r="F83" s="99"/>
      <c r="G83" s="87"/>
      <c r="H83" s="29"/>
      <c r="I83" s="98"/>
      <c r="J83" s="117"/>
      <c r="K83" s="117"/>
      <c r="L83" s="6"/>
      <c r="M83" s="7"/>
      <c r="N83" s="7"/>
      <c r="O83" s="7"/>
      <c r="P83" s="102"/>
      <c r="Q83" s="6"/>
      <c r="R83" s="102"/>
      <c r="S83" s="6"/>
      <c r="T83" s="102"/>
      <c r="U83" s="6"/>
      <c r="V83" s="102"/>
      <c r="W83" s="6"/>
      <c r="X83" s="6"/>
      <c r="Y83" s="6"/>
      <c r="Z83" s="6"/>
      <c r="AA83" s="6"/>
      <c r="AB83" s="6"/>
      <c r="AC83" s="102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102"/>
      <c r="AU83" s="6"/>
      <c r="AV83" s="6"/>
      <c r="AW83" s="102"/>
      <c r="AX83" s="99"/>
      <c r="AY83" s="7"/>
      <c r="AZ83" s="99"/>
      <c r="BA83" s="102"/>
      <c r="BB83" s="102"/>
      <c r="BC83" s="102"/>
      <c r="BD83" s="6"/>
      <c r="BE83" s="6"/>
      <c r="BF83" s="6"/>
      <c r="BG83" s="6"/>
      <c r="BH83" s="6"/>
      <c r="BI83" s="102"/>
      <c r="BJ83" s="6"/>
      <c r="BK83" s="6"/>
      <c r="BL83" s="6"/>
      <c r="BM83" s="102"/>
      <c r="BN83" s="99"/>
      <c r="BO83" s="100"/>
      <c r="BP83" s="100"/>
      <c r="BQ83" s="100"/>
      <c r="BR83" s="102"/>
      <c r="BS83" s="6"/>
      <c r="BT83" s="6"/>
      <c r="BU83" s="6"/>
      <c r="BV83" s="6"/>
    </row>
    <row r="84" spans="1:74" s="101" customFormat="1" x14ac:dyDescent="0.25">
      <c r="A84" s="98"/>
      <c r="B84" s="115"/>
      <c r="C84" s="116"/>
      <c r="D84" s="2"/>
      <c r="E84" s="127"/>
      <c r="F84" s="99"/>
      <c r="G84" s="87"/>
      <c r="H84" s="29"/>
      <c r="I84" s="98"/>
      <c r="J84" s="117"/>
      <c r="K84" s="117"/>
      <c r="L84" s="6"/>
      <c r="M84" s="7"/>
      <c r="N84" s="7"/>
      <c r="O84" s="7"/>
      <c r="P84" s="102"/>
      <c r="Q84" s="6"/>
      <c r="R84" s="102"/>
      <c r="S84" s="6"/>
      <c r="T84" s="102"/>
      <c r="U84" s="6"/>
      <c r="V84" s="102"/>
      <c r="W84" s="6"/>
      <c r="X84" s="6"/>
      <c r="Y84" s="6"/>
      <c r="Z84" s="6"/>
      <c r="AA84" s="6"/>
      <c r="AB84" s="6"/>
      <c r="AC84" s="102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102"/>
      <c r="AU84" s="6"/>
      <c r="AV84" s="6"/>
      <c r="AW84" s="102"/>
      <c r="AX84" s="99"/>
      <c r="AY84" s="7"/>
      <c r="AZ84" s="99"/>
      <c r="BA84" s="102"/>
      <c r="BB84" s="102"/>
      <c r="BC84" s="102"/>
      <c r="BD84" s="6"/>
      <c r="BE84" s="6"/>
      <c r="BF84" s="6"/>
      <c r="BG84" s="6"/>
      <c r="BH84" s="6"/>
      <c r="BI84" s="102"/>
      <c r="BJ84" s="6"/>
      <c r="BK84" s="6"/>
      <c r="BL84" s="6"/>
      <c r="BM84" s="102"/>
      <c r="BN84" s="99"/>
      <c r="BO84" s="100"/>
      <c r="BP84" s="100"/>
      <c r="BQ84" s="100"/>
      <c r="BR84" s="102"/>
      <c r="BS84" s="6"/>
      <c r="BT84" s="6"/>
      <c r="BU84" s="6"/>
      <c r="BV84" s="6"/>
    </row>
    <row r="85" spans="1:74" s="101" customFormat="1" x14ac:dyDescent="0.25">
      <c r="A85" s="98"/>
      <c r="B85" s="115"/>
      <c r="C85" s="116"/>
      <c r="D85" s="2"/>
      <c r="E85" s="127"/>
      <c r="F85" s="99"/>
      <c r="G85" s="87"/>
      <c r="H85" s="29"/>
      <c r="I85" s="98"/>
      <c r="J85" s="117"/>
      <c r="K85" s="117"/>
      <c r="L85" s="6"/>
      <c r="M85" s="7"/>
      <c r="N85" s="7"/>
      <c r="O85" s="7"/>
      <c r="P85" s="102"/>
      <c r="Q85" s="6"/>
      <c r="R85" s="102"/>
      <c r="S85" s="6"/>
      <c r="T85" s="102"/>
      <c r="U85" s="6"/>
      <c r="V85" s="102"/>
      <c r="W85" s="6"/>
      <c r="X85" s="6"/>
      <c r="Y85" s="6"/>
      <c r="Z85" s="6"/>
      <c r="AA85" s="6"/>
      <c r="AB85" s="6"/>
      <c r="AC85" s="102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102"/>
      <c r="AU85" s="6"/>
      <c r="AV85" s="6"/>
      <c r="AW85" s="102"/>
      <c r="AX85" s="99"/>
      <c r="AY85" s="7"/>
      <c r="AZ85" s="99"/>
      <c r="BA85" s="102"/>
      <c r="BB85" s="102"/>
      <c r="BC85" s="102"/>
      <c r="BD85" s="6"/>
      <c r="BE85" s="6"/>
      <c r="BF85" s="6"/>
      <c r="BG85" s="6"/>
      <c r="BH85" s="6"/>
      <c r="BI85" s="102"/>
      <c r="BJ85" s="6"/>
      <c r="BK85" s="6"/>
      <c r="BL85" s="6"/>
      <c r="BM85" s="102"/>
      <c r="BN85" s="99"/>
      <c r="BO85" s="100"/>
      <c r="BP85" s="100"/>
      <c r="BQ85" s="100"/>
      <c r="BR85" s="102"/>
      <c r="BS85" s="6"/>
      <c r="BT85" s="6"/>
      <c r="BU85" s="6"/>
      <c r="BV85" s="6"/>
    </row>
    <row r="86" spans="1:74" s="101" customFormat="1" x14ac:dyDescent="0.25">
      <c r="A86" s="98"/>
      <c r="B86" s="115"/>
      <c r="C86" s="116"/>
      <c r="D86" s="2"/>
      <c r="E86" s="127"/>
      <c r="F86" s="99"/>
      <c r="G86" s="87"/>
      <c r="H86" s="29"/>
      <c r="I86" s="98"/>
      <c r="J86" s="117"/>
      <c r="K86" s="117"/>
      <c r="L86" s="6"/>
      <c r="M86" s="7"/>
      <c r="N86" s="7"/>
      <c r="O86" s="7"/>
      <c r="P86" s="102"/>
      <c r="Q86" s="6"/>
      <c r="R86" s="102"/>
      <c r="S86" s="6"/>
      <c r="T86" s="102"/>
      <c r="U86" s="6"/>
      <c r="V86" s="102"/>
      <c r="W86" s="6"/>
      <c r="X86" s="6"/>
      <c r="Y86" s="6"/>
      <c r="Z86" s="6"/>
      <c r="AA86" s="6"/>
      <c r="AB86" s="6"/>
      <c r="AC86" s="102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102"/>
      <c r="AU86" s="6"/>
      <c r="AV86" s="6"/>
      <c r="AW86" s="102"/>
      <c r="AX86" s="99"/>
      <c r="AY86" s="7"/>
      <c r="AZ86" s="99"/>
      <c r="BA86" s="102"/>
      <c r="BB86" s="102"/>
      <c r="BC86" s="102"/>
      <c r="BD86" s="6"/>
      <c r="BE86" s="6"/>
      <c r="BF86" s="6"/>
      <c r="BG86" s="6"/>
      <c r="BH86" s="6"/>
      <c r="BI86" s="102"/>
      <c r="BJ86" s="6"/>
      <c r="BK86" s="6"/>
      <c r="BL86" s="6"/>
      <c r="BM86" s="102"/>
      <c r="BN86" s="99"/>
      <c r="BO86" s="100"/>
      <c r="BP86" s="100"/>
      <c r="BQ86" s="100"/>
      <c r="BR86" s="102"/>
      <c r="BS86" s="6"/>
      <c r="BT86" s="6"/>
      <c r="BU86" s="6"/>
      <c r="BV86" s="6"/>
    </row>
    <row r="87" spans="1:74" s="101" customFormat="1" x14ac:dyDescent="0.25">
      <c r="A87" s="98"/>
      <c r="B87" s="115"/>
      <c r="C87" s="116"/>
      <c r="D87" s="2"/>
      <c r="E87" s="127"/>
      <c r="F87" s="99"/>
      <c r="G87" s="87"/>
      <c r="H87" s="29"/>
      <c r="I87" s="98"/>
      <c r="J87" s="117"/>
      <c r="K87" s="117"/>
      <c r="L87" s="6"/>
      <c r="M87" s="7"/>
      <c r="N87" s="7"/>
      <c r="O87" s="7"/>
      <c r="P87" s="102"/>
      <c r="Q87" s="6"/>
      <c r="R87" s="102"/>
      <c r="S87" s="6"/>
      <c r="T87" s="102"/>
      <c r="U87" s="6"/>
      <c r="V87" s="102"/>
      <c r="W87" s="6"/>
      <c r="X87" s="6"/>
      <c r="Y87" s="6"/>
      <c r="Z87" s="6"/>
      <c r="AA87" s="6"/>
      <c r="AB87" s="6"/>
      <c r="AC87" s="102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102"/>
      <c r="AU87" s="6"/>
      <c r="AV87" s="6"/>
      <c r="AW87" s="102"/>
      <c r="AX87" s="99"/>
      <c r="AY87" s="7"/>
      <c r="AZ87" s="99"/>
      <c r="BA87" s="102"/>
      <c r="BB87" s="102"/>
      <c r="BC87" s="102"/>
      <c r="BD87" s="6"/>
      <c r="BE87" s="6"/>
      <c r="BF87" s="6"/>
      <c r="BG87" s="6"/>
      <c r="BH87" s="6"/>
      <c r="BI87" s="102"/>
      <c r="BJ87" s="6"/>
      <c r="BK87" s="6"/>
      <c r="BL87" s="6"/>
      <c r="BM87" s="102"/>
      <c r="BN87" s="99"/>
      <c r="BO87" s="100"/>
      <c r="BP87" s="100"/>
      <c r="BQ87" s="100"/>
      <c r="BR87" s="102"/>
      <c r="BS87" s="6"/>
      <c r="BT87" s="6"/>
      <c r="BU87" s="6"/>
      <c r="BV87" s="6"/>
    </row>
    <row r="88" spans="1:74" s="101" customFormat="1" x14ac:dyDescent="0.25">
      <c r="A88" s="98"/>
      <c r="B88" s="115"/>
      <c r="C88" s="116"/>
      <c r="D88" s="2"/>
      <c r="E88" s="127"/>
      <c r="F88" s="99"/>
      <c r="G88" s="87"/>
      <c r="H88" s="29"/>
      <c r="I88" s="98"/>
      <c r="J88" s="117"/>
      <c r="K88" s="117"/>
      <c r="L88" s="6"/>
      <c r="M88" s="7"/>
      <c r="N88" s="7"/>
      <c r="O88" s="7"/>
      <c r="P88" s="102"/>
      <c r="Q88" s="6"/>
      <c r="R88" s="102"/>
      <c r="S88" s="6"/>
      <c r="T88" s="102"/>
      <c r="U88" s="6"/>
      <c r="V88" s="102"/>
      <c r="W88" s="6"/>
      <c r="X88" s="6"/>
      <c r="Y88" s="6"/>
      <c r="Z88" s="6"/>
      <c r="AA88" s="6"/>
      <c r="AB88" s="6"/>
      <c r="AC88" s="102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102"/>
      <c r="AU88" s="6"/>
      <c r="AV88" s="6"/>
      <c r="AW88" s="102"/>
      <c r="AX88" s="99"/>
      <c r="AY88" s="7"/>
      <c r="AZ88" s="99"/>
      <c r="BA88" s="102"/>
      <c r="BB88" s="102"/>
      <c r="BC88" s="102"/>
      <c r="BD88" s="6"/>
      <c r="BE88" s="6"/>
      <c r="BF88" s="6"/>
      <c r="BG88" s="6"/>
      <c r="BH88" s="6"/>
      <c r="BI88" s="102"/>
      <c r="BJ88" s="6"/>
      <c r="BK88" s="6"/>
      <c r="BL88" s="6"/>
      <c r="BM88" s="102"/>
      <c r="BN88" s="99"/>
      <c r="BO88" s="100"/>
      <c r="BP88" s="100"/>
      <c r="BQ88" s="100"/>
      <c r="BR88" s="102"/>
      <c r="BS88" s="6"/>
      <c r="BT88" s="6"/>
      <c r="BU88" s="6"/>
      <c r="BV88" s="6"/>
    </row>
    <row r="89" spans="1:74" s="101" customFormat="1" x14ac:dyDescent="0.25">
      <c r="A89" s="98"/>
      <c r="B89" s="115"/>
      <c r="C89" s="116"/>
      <c r="D89" s="2"/>
      <c r="E89" s="127"/>
      <c r="F89" s="99"/>
      <c r="G89" s="87"/>
      <c r="H89" s="29"/>
      <c r="I89" s="98"/>
      <c r="J89" s="117"/>
      <c r="K89" s="117"/>
      <c r="L89" s="6"/>
      <c r="M89" s="7"/>
      <c r="N89" s="7"/>
      <c r="O89" s="7"/>
      <c r="P89" s="102"/>
      <c r="Q89" s="6"/>
      <c r="R89" s="102"/>
      <c r="S89" s="6"/>
      <c r="T89" s="102"/>
      <c r="U89" s="6"/>
      <c r="V89" s="102"/>
      <c r="W89" s="6"/>
      <c r="X89" s="6"/>
      <c r="Y89" s="6"/>
      <c r="Z89" s="6"/>
      <c r="AA89" s="6"/>
      <c r="AB89" s="6"/>
      <c r="AC89" s="102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102"/>
      <c r="AU89" s="6"/>
      <c r="AV89" s="6"/>
      <c r="AW89" s="102"/>
      <c r="AX89" s="99"/>
      <c r="AY89" s="7"/>
      <c r="AZ89" s="99"/>
      <c r="BA89" s="102"/>
      <c r="BB89" s="102"/>
      <c r="BC89" s="102"/>
      <c r="BD89" s="6"/>
      <c r="BE89" s="6"/>
      <c r="BF89" s="6"/>
      <c r="BG89" s="6"/>
      <c r="BH89" s="6"/>
      <c r="BI89" s="102"/>
      <c r="BJ89" s="6"/>
      <c r="BK89" s="6"/>
      <c r="BL89" s="6"/>
      <c r="BM89" s="102"/>
      <c r="BN89" s="99"/>
      <c r="BO89" s="100"/>
      <c r="BP89" s="100"/>
      <c r="BQ89" s="100"/>
      <c r="BR89" s="102"/>
      <c r="BS89" s="6"/>
      <c r="BT89" s="6"/>
      <c r="BU89" s="6"/>
      <c r="BV89" s="6"/>
    </row>
    <row r="90" spans="1:74" s="101" customFormat="1" x14ac:dyDescent="0.25">
      <c r="A90" s="98"/>
      <c r="B90" s="115"/>
      <c r="C90" s="116"/>
      <c r="D90" s="2"/>
      <c r="E90" s="127"/>
      <c r="F90" s="99"/>
      <c r="G90" s="87"/>
      <c r="H90" s="29"/>
      <c r="I90" s="98"/>
      <c r="J90" s="117"/>
      <c r="K90" s="117"/>
      <c r="L90" s="6"/>
      <c r="M90" s="7"/>
      <c r="N90" s="7"/>
      <c r="O90" s="7"/>
      <c r="P90" s="102"/>
      <c r="Q90" s="6"/>
      <c r="R90" s="102"/>
      <c r="S90" s="6"/>
      <c r="T90" s="102"/>
      <c r="U90" s="6"/>
      <c r="V90" s="102"/>
      <c r="W90" s="6"/>
      <c r="X90" s="6"/>
      <c r="Y90" s="6"/>
      <c r="Z90" s="6"/>
      <c r="AA90" s="6"/>
      <c r="AB90" s="6"/>
      <c r="AC90" s="102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102"/>
      <c r="AU90" s="6"/>
      <c r="AV90" s="6"/>
      <c r="AW90" s="102"/>
      <c r="AX90" s="99"/>
      <c r="AY90" s="7"/>
      <c r="AZ90" s="99"/>
      <c r="BA90" s="102"/>
      <c r="BB90" s="102"/>
      <c r="BC90" s="102"/>
      <c r="BD90" s="6"/>
      <c r="BE90" s="6"/>
      <c r="BF90" s="6"/>
      <c r="BG90" s="6"/>
      <c r="BH90" s="6"/>
      <c r="BI90" s="102"/>
      <c r="BJ90" s="6"/>
      <c r="BK90" s="6"/>
      <c r="BL90" s="6"/>
      <c r="BM90" s="102"/>
      <c r="BN90" s="99"/>
      <c r="BO90" s="100"/>
      <c r="BP90" s="100"/>
      <c r="BQ90" s="100"/>
      <c r="BR90" s="102"/>
      <c r="BS90" s="6"/>
      <c r="BT90" s="6"/>
      <c r="BU90" s="6"/>
      <c r="BV90" s="6"/>
    </row>
    <row r="91" spans="1:74" s="101" customFormat="1" x14ac:dyDescent="0.25">
      <c r="A91" s="98"/>
      <c r="B91" s="115"/>
      <c r="C91" s="116"/>
      <c r="D91" s="2"/>
      <c r="E91" s="127"/>
      <c r="F91" s="99"/>
      <c r="G91" s="87"/>
      <c r="H91" s="29"/>
      <c r="I91" s="98"/>
      <c r="J91" s="117"/>
      <c r="K91" s="117"/>
      <c r="L91" s="6"/>
      <c r="M91" s="7"/>
      <c r="N91" s="7"/>
      <c r="O91" s="7"/>
      <c r="P91" s="102"/>
      <c r="Q91" s="6"/>
      <c r="R91" s="102"/>
      <c r="S91" s="6"/>
      <c r="T91" s="102"/>
      <c r="U91" s="6"/>
      <c r="V91" s="102"/>
      <c r="W91" s="6"/>
      <c r="X91" s="6"/>
      <c r="Y91" s="6"/>
      <c r="Z91" s="6"/>
      <c r="AA91" s="6"/>
      <c r="AB91" s="6"/>
      <c r="AC91" s="102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102"/>
      <c r="AU91" s="6"/>
      <c r="AV91" s="6"/>
      <c r="AW91" s="102"/>
      <c r="AX91" s="99"/>
      <c r="AY91" s="7"/>
      <c r="AZ91" s="99"/>
      <c r="BA91" s="102"/>
      <c r="BB91" s="102"/>
      <c r="BC91" s="102"/>
      <c r="BD91" s="6"/>
      <c r="BE91" s="6"/>
      <c r="BF91" s="6"/>
      <c r="BG91" s="6"/>
      <c r="BH91" s="6"/>
      <c r="BI91" s="102"/>
      <c r="BJ91" s="6"/>
      <c r="BK91" s="6"/>
      <c r="BL91" s="6"/>
      <c r="BM91" s="102"/>
      <c r="BN91" s="99"/>
      <c r="BO91" s="100"/>
      <c r="BP91" s="100"/>
      <c r="BQ91" s="100"/>
      <c r="BR91" s="102"/>
      <c r="BS91" s="6"/>
      <c r="BT91" s="6"/>
      <c r="BU91" s="6"/>
      <c r="BV91" s="6"/>
    </row>
    <row r="92" spans="1:74" s="101" customFormat="1" x14ac:dyDescent="0.25">
      <c r="A92" s="98"/>
      <c r="B92" s="115"/>
      <c r="C92" s="116"/>
      <c r="D92" s="2"/>
      <c r="E92" s="127"/>
      <c r="F92" s="99"/>
      <c r="G92" s="87"/>
      <c r="H92" s="29"/>
      <c r="I92" s="98"/>
      <c r="J92" s="117"/>
      <c r="K92" s="117"/>
      <c r="L92" s="6"/>
      <c r="M92" s="7"/>
      <c r="N92" s="7"/>
      <c r="O92" s="7"/>
      <c r="P92" s="102"/>
      <c r="Q92" s="6"/>
      <c r="R92" s="102"/>
      <c r="S92" s="6"/>
      <c r="T92" s="102"/>
      <c r="U92" s="6"/>
      <c r="V92" s="102"/>
      <c r="W92" s="6"/>
      <c r="X92" s="6"/>
      <c r="Y92" s="6"/>
      <c r="Z92" s="6"/>
      <c r="AA92" s="6"/>
      <c r="AB92" s="6"/>
      <c r="AC92" s="102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102"/>
      <c r="AU92" s="6"/>
      <c r="AV92" s="6"/>
      <c r="AW92" s="102"/>
      <c r="AX92" s="99"/>
      <c r="AY92" s="7"/>
      <c r="AZ92" s="99"/>
      <c r="BA92" s="102"/>
      <c r="BB92" s="102"/>
      <c r="BC92" s="102"/>
      <c r="BD92" s="6"/>
      <c r="BE92" s="6"/>
      <c r="BF92" s="6"/>
      <c r="BG92" s="6"/>
      <c r="BH92" s="6"/>
      <c r="BI92" s="102"/>
      <c r="BJ92" s="6"/>
      <c r="BK92" s="6"/>
      <c r="BL92" s="6"/>
      <c r="BM92" s="102"/>
      <c r="BN92" s="99"/>
      <c r="BO92" s="100"/>
      <c r="BP92" s="100"/>
      <c r="BQ92" s="100"/>
      <c r="BR92" s="102"/>
      <c r="BS92" s="6"/>
      <c r="BT92" s="6"/>
      <c r="BU92" s="6"/>
      <c r="BV92" s="6"/>
    </row>
    <row r="93" spans="1:74" s="101" customFormat="1" x14ac:dyDescent="0.25">
      <c r="A93" s="98"/>
      <c r="B93" s="115"/>
      <c r="C93" s="116"/>
      <c r="D93" s="4"/>
      <c r="E93" s="127"/>
      <c r="F93" s="99"/>
      <c r="G93" s="87"/>
      <c r="H93" s="29"/>
      <c r="I93" s="98"/>
      <c r="J93" s="117"/>
      <c r="K93" s="117"/>
      <c r="L93" s="6"/>
      <c r="M93" s="6"/>
      <c r="N93" s="6"/>
      <c r="O93" s="6"/>
      <c r="P93" s="99"/>
      <c r="Q93" s="6"/>
      <c r="R93" s="99"/>
      <c r="S93" s="6"/>
      <c r="T93" s="6"/>
      <c r="U93" s="6"/>
      <c r="V93" s="99"/>
      <c r="W93" s="6"/>
      <c r="X93" s="6"/>
      <c r="Y93" s="6"/>
      <c r="Z93" s="6"/>
      <c r="AA93" s="6"/>
      <c r="AB93" s="6"/>
      <c r="AC93" s="99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99"/>
      <c r="AU93" s="6"/>
      <c r="AV93" s="6"/>
      <c r="AW93" s="99"/>
      <c r="AX93" s="99"/>
      <c r="AY93" s="6"/>
      <c r="AZ93" s="99"/>
      <c r="BA93" s="99"/>
      <c r="BB93" s="99"/>
      <c r="BC93" s="99"/>
      <c r="BD93" s="6"/>
      <c r="BE93" s="6"/>
      <c r="BF93" s="6"/>
      <c r="BG93" s="6"/>
      <c r="BH93" s="6"/>
      <c r="BI93" s="99"/>
      <c r="BJ93" s="6"/>
      <c r="BK93" s="6"/>
      <c r="BL93" s="6"/>
      <c r="BM93" s="99"/>
      <c r="BN93" s="99"/>
      <c r="BO93" s="100"/>
      <c r="BP93" s="100"/>
      <c r="BQ93" s="100"/>
      <c r="BR93" s="99"/>
      <c r="BS93" s="6"/>
      <c r="BT93" s="6"/>
      <c r="BU93" s="6"/>
      <c r="BV93" s="6"/>
    </row>
    <row r="94" spans="1:74" s="101" customFormat="1" x14ac:dyDescent="0.25">
      <c r="A94" s="98"/>
      <c r="B94" s="115"/>
      <c r="C94" s="116"/>
      <c r="D94" s="2"/>
      <c r="E94" s="127"/>
      <c r="F94" s="99"/>
      <c r="G94" s="87"/>
      <c r="H94" s="29"/>
      <c r="I94" s="98"/>
      <c r="J94" s="117"/>
      <c r="K94" s="117"/>
      <c r="L94" s="6"/>
      <c r="M94" s="7"/>
      <c r="N94" s="7"/>
      <c r="O94" s="7"/>
      <c r="P94" s="102"/>
      <c r="Q94" s="6"/>
      <c r="R94" s="102"/>
      <c r="S94" s="6"/>
      <c r="T94" s="102"/>
      <c r="U94" s="6"/>
      <c r="V94" s="102"/>
      <c r="W94" s="6"/>
      <c r="X94" s="6"/>
      <c r="Y94" s="6"/>
      <c r="Z94" s="6"/>
      <c r="AA94" s="6"/>
      <c r="AB94" s="6"/>
      <c r="AC94" s="102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102"/>
      <c r="AU94" s="6"/>
      <c r="AV94" s="6"/>
      <c r="AW94" s="102"/>
      <c r="AX94" s="99"/>
      <c r="AY94" s="6"/>
      <c r="AZ94" s="99"/>
      <c r="BA94" s="102"/>
      <c r="BB94" s="102"/>
      <c r="BC94" s="102"/>
      <c r="BD94" s="6"/>
      <c r="BE94" s="6"/>
      <c r="BF94" s="6"/>
      <c r="BG94" s="6"/>
      <c r="BH94" s="6"/>
      <c r="BI94" s="102"/>
      <c r="BJ94" s="6"/>
      <c r="BK94" s="6"/>
      <c r="BL94" s="6"/>
      <c r="BM94" s="102"/>
      <c r="BN94" s="99"/>
      <c r="BO94" s="100"/>
      <c r="BP94" s="100"/>
      <c r="BQ94" s="100"/>
      <c r="BR94" s="102"/>
      <c r="BS94" s="6"/>
      <c r="BT94" s="6"/>
      <c r="BU94" s="6"/>
      <c r="BV94" s="6"/>
    </row>
    <row r="95" spans="1:74" s="101" customFormat="1" x14ac:dyDescent="0.25">
      <c r="A95" s="98"/>
      <c r="B95" s="115"/>
      <c r="C95" s="116"/>
      <c r="D95" s="2"/>
      <c r="E95" s="127"/>
      <c r="F95" s="99"/>
      <c r="G95" s="87"/>
      <c r="H95" s="29"/>
      <c r="I95" s="98"/>
      <c r="J95" s="117"/>
      <c r="K95" s="117"/>
      <c r="L95" s="6"/>
      <c r="M95" s="7"/>
      <c r="N95" s="7"/>
      <c r="O95" s="7"/>
      <c r="P95" s="102"/>
      <c r="Q95" s="6"/>
      <c r="R95" s="102"/>
      <c r="S95" s="6"/>
      <c r="T95" s="102"/>
      <c r="U95" s="6"/>
      <c r="V95" s="102"/>
      <c r="W95" s="6"/>
      <c r="X95" s="6"/>
      <c r="Y95" s="6"/>
      <c r="Z95" s="6"/>
      <c r="AA95" s="6"/>
      <c r="AB95" s="6"/>
      <c r="AC95" s="102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102"/>
      <c r="AU95" s="6"/>
      <c r="AV95" s="6"/>
      <c r="AW95" s="102"/>
      <c r="AX95" s="99"/>
      <c r="AY95" s="7"/>
      <c r="AZ95" s="99"/>
      <c r="BA95" s="102"/>
      <c r="BB95" s="102"/>
      <c r="BC95" s="102"/>
      <c r="BD95" s="6"/>
      <c r="BE95" s="6"/>
      <c r="BF95" s="6"/>
      <c r="BG95" s="6"/>
      <c r="BH95" s="6"/>
      <c r="BI95" s="102"/>
      <c r="BJ95" s="6"/>
      <c r="BK95" s="6"/>
      <c r="BL95" s="6"/>
      <c r="BM95" s="102"/>
      <c r="BN95" s="99"/>
      <c r="BO95" s="100"/>
      <c r="BP95" s="100"/>
      <c r="BQ95" s="100"/>
      <c r="BR95" s="102"/>
      <c r="BS95" s="6"/>
      <c r="BT95" s="6"/>
      <c r="BU95" s="6"/>
      <c r="BV95" s="6"/>
    </row>
    <row r="96" spans="1:74" s="101" customFormat="1" x14ac:dyDescent="0.25">
      <c r="A96" s="98"/>
      <c r="B96" s="115"/>
      <c r="C96" s="116"/>
      <c r="D96" s="2"/>
      <c r="E96" s="127"/>
      <c r="F96" s="99"/>
      <c r="G96" s="87"/>
      <c r="H96" s="29"/>
      <c r="I96" s="98"/>
      <c r="J96" s="117"/>
      <c r="K96" s="117"/>
      <c r="L96" s="6"/>
      <c r="M96" s="7"/>
      <c r="N96" s="7"/>
      <c r="O96" s="7"/>
      <c r="P96" s="102"/>
      <c r="Q96" s="6"/>
      <c r="R96" s="102"/>
      <c r="S96" s="6"/>
      <c r="T96" s="102"/>
      <c r="U96" s="6"/>
      <c r="V96" s="102"/>
      <c r="W96" s="6"/>
      <c r="X96" s="6"/>
      <c r="Y96" s="6"/>
      <c r="Z96" s="6"/>
      <c r="AA96" s="6"/>
      <c r="AB96" s="6"/>
      <c r="AC96" s="102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102"/>
      <c r="AU96" s="6"/>
      <c r="AV96" s="6"/>
      <c r="AW96" s="102"/>
      <c r="AX96" s="99"/>
      <c r="AY96" s="7"/>
      <c r="AZ96" s="99"/>
      <c r="BA96" s="102"/>
      <c r="BB96" s="102"/>
      <c r="BC96" s="102"/>
      <c r="BD96" s="6"/>
      <c r="BE96" s="6"/>
      <c r="BF96" s="6"/>
      <c r="BG96" s="6"/>
      <c r="BH96" s="6"/>
      <c r="BI96" s="102"/>
      <c r="BJ96" s="6"/>
      <c r="BK96" s="6"/>
      <c r="BL96" s="6"/>
      <c r="BM96" s="102"/>
      <c r="BN96" s="99"/>
      <c r="BO96" s="100"/>
      <c r="BP96" s="100"/>
      <c r="BQ96" s="100"/>
      <c r="BR96" s="102"/>
      <c r="BS96" s="6"/>
      <c r="BT96" s="6"/>
      <c r="BU96" s="6"/>
      <c r="BV96" s="6"/>
    </row>
    <row r="97" spans="1:74" s="101" customFormat="1" x14ac:dyDescent="0.25">
      <c r="A97" s="98"/>
      <c r="B97" s="115"/>
      <c r="C97" s="116"/>
      <c r="D97" s="2"/>
      <c r="E97" s="127"/>
      <c r="F97" s="99"/>
      <c r="G97" s="87"/>
      <c r="H97" s="29"/>
      <c r="I97" s="98"/>
      <c r="J97" s="117"/>
      <c r="K97" s="117"/>
      <c r="L97" s="6"/>
      <c r="M97" s="7"/>
      <c r="N97" s="7"/>
      <c r="O97" s="7"/>
      <c r="P97" s="102"/>
      <c r="Q97" s="6"/>
      <c r="R97" s="102"/>
      <c r="S97" s="6"/>
      <c r="T97" s="102"/>
      <c r="U97" s="6"/>
      <c r="V97" s="102"/>
      <c r="W97" s="6"/>
      <c r="X97" s="6"/>
      <c r="Y97" s="6"/>
      <c r="Z97" s="6"/>
      <c r="AA97" s="6"/>
      <c r="AB97" s="6"/>
      <c r="AC97" s="102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102"/>
      <c r="AU97" s="6"/>
      <c r="AV97" s="6"/>
      <c r="AW97" s="102"/>
      <c r="AX97" s="99"/>
      <c r="AY97" s="7"/>
      <c r="AZ97" s="99"/>
      <c r="BA97" s="102"/>
      <c r="BB97" s="102"/>
      <c r="BC97" s="102"/>
      <c r="BD97" s="6"/>
      <c r="BE97" s="6"/>
      <c r="BF97" s="6"/>
      <c r="BG97" s="6"/>
      <c r="BH97" s="6"/>
      <c r="BI97" s="102"/>
      <c r="BJ97" s="6"/>
      <c r="BK97" s="6"/>
      <c r="BL97" s="6"/>
      <c r="BM97" s="102"/>
      <c r="BN97" s="99"/>
      <c r="BO97" s="100"/>
      <c r="BP97" s="100"/>
      <c r="BQ97" s="100"/>
      <c r="BR97" s="102"/>
      <c r="BS97" s="6"/>
      <c r="BT97" s="6"/>
      <c r="BU97" s="6"/>
      <c r="BV97" s="6"/>
    </row>
    <row r="98" spans="1:74" s="101" customFormat="1" x14ac:dyDescent="0.25">
      <c r="A98" s="98"/>
      <c r="B98" s="115"/>
      <c r="C98" s="116"/>
      <c r="D98" s="2"/>
      <c r="E98" s="127"/>
      <c r="F98" s="99"/>
      <c r="G98" s="87"/>
      <c r="H98" s="29"/>
      <c r="I98" s="98"/>
      <c r="J98" s="117"/>
      <c r="K98" s="117"/>
      <c r="L98" s="6"/>
      <c r="M98" s="7"/>
      <c r="N98" s="7"/>
      <c r="O98" s="7"/>
      <c r="P98" s="102"/>
      <c r="Q98" s="6"/>
      <c r="R98" s="102"/>
      <c r="S98" s="6"/>
      <c r="T98" s="102"/>
      <c r="U98" s="6"/>
      <c r="V98" s="102"/>
      <c r="W98" s="6"/>
      <c r="X98" s="6"/>
      <c r="Y98" s="6"/>
      <c r="Z98" s="6"/>
      <c r="AA98" s="6"/>
      <c r="AB98" s="6"/>
      <c r="AC98" s="102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102"/>
      <c r="AU98" s="6"/>
      <c r="AV98" s="6"/>
      <c r="AW98" s="102"/>
      <c r="AX98" s="99"/>
      <c r="AY98" s="7"/>
      <c r="AZ98" s="99"/>
      <c r="BA98" s="102"/>
      <c r="BB98" s="102"/>
      <c r="BC98" s="102"/>
      <c r="BD98" s="6"/>
      <c r="BE98" s="6"/>
      <c r="BF98" s="6"/>
      <c r="BG98" s="6"/>
      <c r="BH98" s="6"/>
      <c r="BI98" s="102"/>
      <c r="BJ98" s="6"/>
      <c r="BK98" s="6"/>
      <c r="BL98" s="6"/>
      <c r="BM98" s="102"/>
      <c r="BN98" s="99"/>
      <c r="BO98" s="100"/>
      <c r="BP98" s="100"/>
      <c r="BQ98" s="100"/>
      <c r="BR98" s="102"/>
      <c r="BS98" s="6"/>
      <c r="BT98" s="6"/>
      <c r="BU98" s="6"/>
      <c r="BV98" s="6"/>
    </row>
    <row r="99" spans="1:74" s="101" customFormat="1" x14ac:dyDescent="0.25">
      <c r="A99" s="98"/>
      <c r="B99" s="115"/>
      <c r="C99" s="116"/>
      <c r="D99" s="2"/>
      <c r="E99" s="127"/>
      <c r="F99" s="99"/>
      <c r="G99" s="87"/>
      <c r="H99" s="29"/>
      <c r="I99" s="98"/>
      <c r="J99" s="117"/>
      <c r="K99" s="117"/>
      <c r="L99" s="6"/>
      <c r="M99" s="7"/>
      <c r="N99" s="7"/>
      <c r="O99" s="7"/>
      <c r="P99" s="102"/>
      <c r="Q99" s="6"/>
      <c r="R99" s="102"/>
      <c r="S99" s="6"/>
      <c r="T99" s="102"/>
      <c r="U99" s="6"/>
      <c r="V99" s="102"/>
      <c r="W99" s="6"/>
      <c r="X99" s="6"/>
      <c r="Y99" s="6"/>
      <c r="Z99" s="6"/>
      <c r="AA99" s="6"/>
      <c r="AB99" s="6"/>
      <c r="AC99" s="102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102"/>
      <c r="AU99" s="6"/>
      <c r="AV99" s="6"/>
      <c r="AW99" s="102"/>
      <c r="AX99" s="99"/>
      <c r="AY99" s="7"/>
      <c r="AZ99" s="99"/>
      <c r="BA99" s="102"/>
      <c r="BB99" s="102"/>
      <c r="BC99" s="102"/>
      <c r="BD99" s="6"/>
      <c r="BE99" s="6"/>
      <c r="BF99" s="6"/>
      <c r="BG99" s="6"/>
      <c r="BH99" s="6"/>
      <c r="BI99" s="102"/>
      <c r="BJ99" s="6"/>
      <c r="BK99" s="6"/>
      <c r="BL99" s="6"/>
      <c r="BM99" s="102"/>
      <c r="BN99" s="99"/>
      <c r="BO99" s="100"/>
      <c r="BP99" s="100"/>
      <c r="BQ99" s="100"/>
      <c r="BR99" s="102"/>
      <c r="BS99" s="6"/>
      <c r="BT99" s="6"/>
      <c r="BU99" s="6"/>
      <c r="BV99" s="6"/>
    </row>
    <row r="100" spans="1:74" s="101" customFormat="1" x14ac:dyDescent="0.25">
      <c r="A100" s="98"/>
      <c r="B100" s="115"/>
      <c r="C100" s="116"/>
      <c r="D100" s="2"/>
      <c r="E100" s="127"/>
      <c r="F100" s="99"/>
      <c r="G100" s="87"/>
      <c r="H100" s="29"/>
      <c r="I100" s="98"/>
      <c r="J100" s="117"/>
      <c r="K100" s="117"/>
      <c r="L100" s="6"/>
      <c r="M100" s="7"/>
      <c r="N100" s="7"/>
      <c r="O100" s="7"/>
      <c r="P100" s="102"/>
      <c r="Q100" s="6"/>
      <c r="R100" s="102"/>
      <c r="S100" s="6"/>
      <c r="T100" s="102"/>
      <c r="U100" s="6"/>
      <c r="V100" s="102"/>
      <c r="W100" s="6"/>
      <c r="X100" s="6"/>
      <c r="Y100" s="6"/>
      <c r="Z100" s="6"/>
      <c r="AA100" s="6"/>
      <c r="AB100" s="6"/>
      <c r="AC100" s="102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102"/>
      <c r="AU100" s="6"/>
      <c r="AV100" s="6"/>
      <c r="AW100" s="102"/>
      <c r="AX100" s="99"/>
      <c r="AY100" s="7"/>
      <c r="AZ100" s="99"/>
      <c r="BA100" s="102"/>
      <c r="BB100" s="102"/>
      <c r="BC100" s="102"/>
      <c r="BD100" s="6"/>
      <c r="BE100" s="6"/>
      <c r="BF100" s="6"/>
      <c r="BG100" s="6"/>
      <c r="BH100" s="6"/>
      <c r="BI100" s="102"/>
      <c r="BJ100" s="6"/>
      <c r="BK100" s="6"/>
      <c r="BL100" s="6"/>
      <c r="BM100" s="102"/>
      <c r="BN100" s="99"/>
      <c r="BO100" s="100"/>
      <c r="BP100" s="100"/>
      <c r="BQ100" s="100"/>
      <c r="BR100" s="102"/>
      <c r="BS100" s="6"/>
      <c r="BT100" s="6"/>
      <c r="BU100" s="6"/>
      <c r="BV100" s="6"/>
    </row>
    <row r="101" spans="1:74" s="101" customFormat="1" x14ac:dyDescent="0.25">
      <c r="A101" s="98"/>
      <c r="B101" s="115"/>
      <c r="C101" s="116"/>
      <c r="D101" s="2"/>
      <c r="E101" s="127"/>
      <c r="F101" s="99"/>
      <c r="G101" s="87"/>
      <c r="H101" s="29"/>
      <c r="I101" s="98"/>
      <c r="J101" s="117"/>
      <c r="K101" s="117"/>
      <c r="L101" s="6"/>
      <c r="M101" s="7"/>
      <c r="N101" s="7"/>
      <c r="O101" s="7"/>
      <c r="P101" s="102"/>
      <c r="Q101" s="6"/>
      <c r="R101" s="102"/>
      <c r="S101" s="6"/>
      <c r="T101" s="102"/>
      <c r="U101" s="6"/>
      <c r="V101" s="102"/>
      <c r="W101" s="6"/>
      <c r="X101" s="6"/>
      <c r="Y101" s="6"/>
      <c r="Z101" s="6"/>
      <c r="AA101" s="6"/>
      <c r="AB101" s="6"/>
      <c r="AC101" s="102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102"/>
      <c r="AU101" s="6"/>
      <c r="AV101" s="6"/>
      <c r="AW101" s="102"/>
      <c r="AX101" s="99"/>
      <c r="AY101" s="7"/>
      <c r="AZ101" s="99"/>
      <c r="BA101" s="102"/>
      <c r="BB101" s="102"/>
      <c r="BC101" s="102"/>
      <c r="BD101" s="6"/>
      <c r="BE101" s="6"/>
      <c r="BF101" s="6"/>
      <c r="BG101" s="6"/>
      <c r="BH101" s="6"/>
      <c r="BI101" s="102"/>
      <c r="BJ101" s="6"/>
      <c r="BK101" s="6"/>
      <c r="BL101" s="6"/>
      <c r="BM101" s="102"/>
      <c r="BN101" s="99"/>
      <c r="BO101" s="100"/>
      <c r="BP101" s="100"/>
      <c r="BQ101" s="100"/>
      <c r="BR101" s="102"/>
      <c r="BS101" s="6"/>
      <c r="BT101" s="6"/>
      <c r="BU101" s="6"/>
      <c r="BV101" s="6"/>
    </row>
    <row r="102" spans="1:74" s="101" customFormat="1" x14ac:dyDescent="0.25">
      <c r="A102" s="98"/>
      <c r="B102" s="115"/>
      <c r="C102" s="116"/>
      <c r="D102" s="2"/>
      <c r="E102" s="127"/>
      <c r="F102" s="99"/>
      <c r="G102" s="87"/>
      <c r="H102" s="29"/>
      <c r="I102" s="98"/>
      <c r="J102" s="117"/>
      <c r="K102" s="117"/>
      <c r="L102" s="6"/>
      <c r="M102" s="7"/>
      <c r="N102" s="7"/>
      <c r="O102" s="7"/>
      <c r="P102" s="102"/>
      <c r="Q102" s="6"/>
      <c r="R102" s="102"/>
      <c r="S102" s="6"/>
      <c r="T102" s="102"/>
      <c r="U102" s="6"/>
      <c r="V102" s="102"/>
      <c r="W102" s="6"/>
      <c r="X102" s="6"/>
      <c r="Y102" s="6"/>
      <c r="Z102" s="6"/>
      <c r="AA102" s="6"/>
      <c r="AB102" s="6"/>
      <c r="AC102" s="102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102"/>
      <c r="AU102" s="6"/>
      <c r="AV102" s="6"/>
      <c r="AW102" s="102"/>
      <c r="AX102" s="99"/>
      <c r="AY102" s="7"/>
      <c r="AZ102" s="99"/>
      <c r="BA102" s="102"/>
      <c r="BB102" s="102"/>
      <c r="BC102" s="102"/>
      <c r="BD102" s="6"/>
      <c r="BE102" s="6"/>
      <c r="BF102" s="6"/>
      <c r="BG102" s="6"/>
      <c r="BH102" s="6"/>
      <c r="BI102" s="102"/>
      <c r="BJ102" s="6"/>
      <c r="BK102" s="6"/>
      <c r="BL102" s="6"/>
      <c r="BM102" s="102"/>
      <c r="BN102" s="99"/>
      <c r="BO102" s="100"/>
      <c r="BP102" s="100"/>
      <c r="BQ102" s="100"/>
      <c r="BR102" s="102"/>
      <c r="BS102" s="6"/>
      <c r="BT102" s="6"/>
      <c r="BU102" s="6"/>
      <c r="BV102" s="6"/>
    </row>
    <row r="103" spans="1:74" s="101" customFormat="1" x14ac:dyDescent="0.25">
      <c r="A103" s="98"/>
      <c r="B103" s="115"/>
      <c r="C103" s="116"/>
      <c r="D103" s="2"/>
      <c r="E103" s="127"/>
      <c r="F103" s="99"/>
      <c r="G103" s="87"/>
      <c r="H103" s="29"/>
      <c r="I103" s="98"/>
      <c r="J103" s="117"/>
      <c r="K103" s="117"/>
      <c r="L103" s="6"/>
      <c r="M103" s="7"/>
      <c r="N103" s="7"/>
      <c r="O103" s="7"/>
      <c r="P103" s="102"/>
      <c r="Q103" s="6"/>
      <c r="R103" s="102"/>
      <c r="S103" s="6"/>
      <c r="T103" s="102"/>
      <c r="U103" s="6"/>
      <c r="V103" s="102"/>
      <c r="W103" s="6"/>
      <c r="X103" s="6"/>
      <c r="Y103" s="6"/>
      <c r="Z103" s="6"/>
      <c r="AA103" s="6"/>
      <c r="AB103" s="6"/>
      <c r="AC103" s="102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102"/>
      <c r="AU103" s="6"/>
      <c r="AV103" s="6"/>
      <c r="AW103" s="102"/>
      <c r="AX103" s="99"/>
      <c r="AY103" s="7"/>
      <c r="AZ103" s="99"/>
      <c r="BA103" s="102"/>
      <c r="BB103" s="102"/>
      <c r="BC103" s="102"/>
      <c r="BD103" s="6"/>
      <c r="BE103" s="6"/>
      <c r="BF103" s="6"/>
      <c r="BG103" s="6"/>
      <c r="BH103" s="6"/>
      <c r="BI103" s="102"/>
      <c r="BJ103" s="6"/>
      <c r="BK103" s="6"/>
      <c r="BL103" s="6"/>
      <c r="BM103" s="102"/>
      <c r="BN103" s="99"/>
      <c r="BO103" s="100"/>
      <c r="BP103" s="100"/>
      <c r="BQ103" s="100"/>
      <c r="BR103" s="102"/>
      <c r="BS103" s="6"/>
      <c r="BT103" s="6"/>
      <c r="BU103" s="6"/>
      <c r="BV103" s="6"/>
    </row>
    <row r="104" spans="1:74" s="101" customFormat="1" x14ac:dyDescent="0.25">
      <c r="A104" s="98"/>
      <c r="B104" s="115"/>
      <c r="C104" s="116"/>
      <c r="D104" s="2"/>
      <c r="E104" s="127"/>
      <c r="F104" s="99"/>
      <c r="G104" s="87"/>
      <c r="H104" s="29"/>
      <c r="I104" s="98"/>
      <c r="J104" s="117"/>
      <c r="K104" s="117"/>
      <c r="L104" s="6"/>
      <c r="M104" s="7"/>
      <c r="N104" s="7"/>
      <c r="O104" s="7"/>
      <c r="P104" s="102"/>
      <c r="Q104" s="6"/>
      <c r="R104" s="102"/>
      <c r="S104" s="6"/>
      <c r="T104" s="102"/>
      <c r="U104" s="6"/>
      <c r="V104" s="102"/>
      <c r="W104" s="6"/>
      <c r="X104" s="6"/>
      <c r="Y104" s="6"/>
      <c r="Z104" s="6"/>
      <c r="AA104" s="6"/>
      <c r="AB104" s="6"/>
      <c r="AC104" s="102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102"/>
      <c r="AU104" s="6"/>
      <c r="AV104" s="6"/>
      <c r="AW104" s="102"/>
      <c r="AX104" s="99"/>
      <c r="AY104" s="7"/>
      <c r="AZ104" s="99"/>
      <c r="BA104" s="102"/>
      <c r="BB104" s="102"/>
      <c r="BC104" s="102"/>
      <c r="BD104" s="6"/>
      <c r="BE104" s="6"/>
      <c r="BF104" s="6"/>
      <c r="BG104" s="6"/>
      <c r="BH104" s="6"/>
      <c r="BI104" s="102"/>
      <c r="BJ104" s="6"/>
      <c r="BK104" s="6"/>
      <c r="BL104" s="6"/>
      <c r="BM104" s="102"/>
      <c r="BN104" s="99"/>
      <c r="BO104" s="100"/>
      <c r="BP104" s="100"/>
      <c r="BQ104" s="100"/>
      <c r="BR104" s="102"/>
      <c r="BS104" s="6"/>
      <c r="BT104" s="6"/>
      <c r="BU104" s="6"/>
      <c r="BV104" s="6"/>
    </row>
    <row r="105" spans="1:74" s="101" customFormat="1" x14ac:dyDescent="0.25">
      <c r="A105" s="98"/>
      <c r="B105" s="115"/>
      <c r="C105" s="116"/>
      <c r="D105" s="2"/>
      <c r="E105" s="127"/>
      <c r="F105" s="99"/>
      <c r="G105" s="87"/>
      <c r="H105" s="29"/>
      <c r="I105" s="98"/>
      <c r="J105" s="117"/>
      <c r="K105" s="117"/>
      <c r="L105" s="6"/>
      <c r="M105" s="7"/>
      <c r="N105" s="7"/>
      <c r="O105" s="7"/>
      <c r="P105" s="102"/>
      <c r="Q105" s="6"/>
      <c r="R105" s="102"/>
      <c r="S105" s="6"/>
      <c r="T105" s="102"/>
      <c r="U105" s="6"/>
      <c r="V105" s="102"/>
      <c r="W105" s="6"/>
      <c r="X105" s="6"/>
      <c r="Y105" s="6"/>
      <c r="Z105" s="6"/>
      <c r="AA105" s="6"/>
      <c r="AB105" s="6"/>
      <c r="AC105" s="102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102"/>
      <c r="AU105" s="6"/>
      <c r="AV105" s="6"/>
      <c r="AW105" s="102"/>
      <c r="AX105" s="99"/>
      <c r="AY105" s="7"/>
      <c r="AZ105" s="99"/>
      <c r="BA105" s="102"/>
      <c r="BB105" s="102"/>
      <c r="BC105" s="102"/>
      <c r="BD105" s="6"/>
      <c r="BE105" s="6"/>
      <c r="BF105" s="6"/>
      <c r="BG105" s="6"/>
      <c r="BH105" s="6"/>
      <c r="BI105" s="102"/>
      <c r="BJ105" s="6"/>
      <c r="BK105" s="6"/>
      <c r="BL105" s="6"/>
      <c r="BM105" s="102"/>
      <c r="BN105" s="99"/>
      <c r="BO105" s="100"/>
      <c r="BP105" s="100"/>
      <c r="BQ105" s="100"/>
      <c r="BR105" s="102"/>
      <c r="BS105" s="6"/>
      <c r="BT105" s="6"/>
      <c r="BU105" s="6"/>
      <c r="BV105" s="6"/>
    </row>
    <row r="106" spans="1:74" s="101" customFormat="1" x14ac:dyDescent="0.25">
      <c r="A106" s="98"/>
      <c r="B106" s="115"/>
      <c r="C106" s="116"/>
      <c r="D106" s="2"/>
      <c r="E106" s="127"/>
      <c r="F106" s="99"/>
      <c r="G106" s="87"/>
      <c r="H106" s="29"/>
      <c r="I106" s="98"/>
      <c r="J106" s="117"/>
      <c r="K106" s="117"/>
      <c r="L106" s="6"/>
      <c r="M106" s="7"/>
      <c r="N106" s="7"/>
      <c r="O106" s="7"/>
      <c r="P106" s="102"/>
      <c r="Q106" s="6"/>
      <c r="R106" s="102"/>
      <c r="S106" s="6"/>
      <c r="T106" s="102"/>
      <c r="U106" s="6"/>
      <c r="V106" s="102"/>
      <c r="W106" s="6"/>
      <c r="X106" s="6"/>
      <c r="Y106" s="6"/>
      <c r="Z106" s="6"/>
      <c r="AA106" s="6"/>
      <c r="AB106" s="6"/>
      <c r="AC106" s="102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102"/>
      <c r="AU106" s="6"/>
      <c r="AV106" s="6"/>
      <c r="AW106" s="102"/>
      <c r="AX106" s="99"/>
      <c r="AY106" s="7"/>
      <c r="AZ106" s="99"/>
      <c r="BA106" s="102"/>
      <c r="BB106" s="102"/>
      <c r="BC106" s="102"/>
      <c r="BD106" s="6"/>
      <c r="BE106" s="6"/>
      <c r="BF106" s="6"/>
      <c r="BG106" s="6"/>
      <c r="BH106" s="6"/>
      <c r="BI106" s="102"/>
      <c r="BJ106" s="6"/>
      <c r="BK106" s="6"/>
      <c r="BL106" s="6"/>
      <c r="BM106" s="102"/>
      <c r="BN106" s="99"/>
      <c r="BO106" s="100"/>
      <c r="BP106" s="100"/>
      <c r="BQ106" s="100"/>
      <c r="BR106" s="102"/>
      <c r="BS106" s="6"/>
      <c r="BT106" s="6"/>
      <c r="BU106" s="6"/>
      <c r="BV106" s="6"/>
    </row>
    <row r="107" spans="1:74" s="101" customFormat="1" x14ac:dyDescent="0.25">
      <c r="A107" s="98"/>
      <c r="B107" s="115"/>
      <c r="C107" s="116"/>
      <c r="D107" s="2"/>
      <c r="E107" s="127"/>
      <c r="F107" s="99"/>
      <c r="G107" s="87"/>
      <c r="H107" s="29"/>
      <c r="I107" s="98"/>
      <c r="J107" s="117"/>
      <c r="K107" s="117"/>
      <c r="L107" s="6"/>
      <c r="M107" s="7"/>
      <c r="N107" s="7"/>
      <c r="O107" s="7"/>
      <c r="P107" s="102"/>
      <c r="Q107" s="6"/>
      <c r="R107" s="102"/>
      <c r="S107" s="6"/>
      <c r="T107" s="102"/>
      <c r="U107" s="6"/>
      <c r="V107" s="102"/>
      <c r="W107" s="6"/>
      <c r="X107" s="6"/>
      <c r="Y107" s="6"/>
      <c r="Z107" s="6"/>
      <c r="AA107" s="6"/>
      <c r="AB107" s="6"/>
      <c r="AC107" s="102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102"/>
      <c r="AU107" s="6"/>
      <c r="AV107" s="6"/>
      <c r="AW107" s="102"/>
      <c r="AX107" s="99"/>
      <c r="AY107" s="7"/>
      <c r="AZ107" s="99"/>
      <c r="BA107" s="102"/>
      <c r="BB107" s="102"/>
      <c r="BC107" s="102"/>
      <c r="BD107" s="6"/>
      <c r="BE107" s="6"/>
      <c r="BF107" s="6"/>
      <c r="BG107" s="6"/>
      <c r="BH107" s="6"/>
      <c r="BI107" s="102"/>
      <c r="BJ107" s="6"/>
      <c r="BK107" s="6"/>
      <c r="BL107" s="6"/>
      <c r="BM107" s="102"/>
      <c r="BN107" s="99"/>
      <c r="BO107" s="100"/>
      <c r="BP107" s="100"/>
      <c r="BQ107" s="100"/>
      <c r="BR107" s="102"/>
      <c r="BS107" s="6"/>
      <c r="BT107" s="6"/>
      <c r="BU107" s="6"/>
      <c r="BV107" s="6"/>
    </row>
    <row r="108" spans="1:74" s="101" customFormat="1" x14ac:dyDescent="0.25">
      <c r="A108" s="98"/>
      <c r="B108" s="115"/>
      <c r="C108" s="116"/>
      <c r="D108" s="2"/>
      <c r="E108" s="127"/>
      <c r="F108" s="99"/>
      <c r="G108" s="87"/>
      <c r="H108" s="29"/>
      <c r="I108" s="98"/>
      <c r="J108" s="117"/>
      <c r="K108" s="117"/>
      <c r="L108" s="6"/>
      <c r="M108" s="7"/>
      <c r="N108" s="7"/>
      <c r="O108" s="7"/>
      <c r="P108" s="102"/>
      <c r="Q108" s="6"/>
      <c r="R108" s="102"/>
      <c r="S108" s="6"/>
      <c r="T108" s="102"/>
      <c r="U108" s="6"/>
      <c r="V108" s="102"/>
      <c r="W108" s="6"/>
      <c r="X108" s="6"/>
      <c r="Y108" s="6"/>
      <c r="Z108" s="6"/>
      <c r="AA108" s="6"/>
      <c r="AB108" s="6"/>
      <c r="AC108" s="102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102"/>
      <c r="AU108" s="6"/>
      <c r="AV108" s="6"/>
      <c r="AW108" s="102"/>
      <c r="AX108" s="99"/>
      <c r="AY108" s="7"/>
      <c r="AZ108" s="99"/>
      <c r="BA108" s="102"/>
      <c r="BB108" s="102"/>
      <c r="BC108" s="102"/>
      <c r="BD108" s="6"/>
      <c r="BE108" s="6"/>
      <c r="BF108" s="6"/>
      <c r="BG108" s="6"/>
      <c r="BH108" s="6"/>
      <c r="BI108" s="102"/>
      <c r="BJ108" s="6"/>
      <c r="BK108" s="6"/>
      <c r="BL108" s="6"/>
      <c r="BM108" s="102"/>
      <c r="BN108" s="99"/>
      <c r="BO108" s="100"/>
      <c r="BP108" s="100"/>
      <c r="BQ108" s="100"/>
      <c r="BR108" s="102"/>
      <c r="BS108" s="6"/>
      <c r="BT108" s="6"/>
      <c r="BU108" s="6"/>
      <c r="BV108" s="6"/>
    </row>
    <row r="109" spans="1:74" s="101" customFormat="1" x14ac:dyDescent="0.25">
      <c r="A109" s="98"/>
      <c r="B109" s="115"/>
      <c r="C109" s="116"/>
      <c r="D109" s="2"/>
      <c r="E109" s="127"/>
      <c r="F109" s="99"/>
      <c r="G109" s="87"/>
      <c r="H109" s="29"/>
      <c r="I109" s="98"/>
      <c r="J109" s="117"/>
      <c r="K109" s="117"/>
      <c r="L109" s="6"/>
      <c r="M109" s="7"/>
      <c r="N109" s="7"/>
      <c r="O109" s="7"/>
      <c r="P109" s="102"/>
      <c r="Q109" s="6"/>
      <c r="R109" s="102"/>
      <c r="S109" s="6"/>
      <c r="T109" s="102"/>
      <c r="U109" s="6"/>
      <c r="V109" s="102"/>
      <c r="W109" s="6"/>
      <c r="X109" s="6"/>
      <c r="Y109" s="6"/>
      <c r="Z109" s="6"/>
      <c r="AA109" s="6"/>
      <c r="AB109" s="6"/>
      <c r="AC109" s="102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102"/>
      <c r="AU109" s="6"/>
      <c r="AV109" s="6"/>
      <c r="AW109" s="102"/>
      <c r="AX109" s="99"/>
      <c r="AY109" s="7"/>
      <c r="AZ109" s="99"/>
      <c r="BA109" s="102"/>
      <c r="BB109" s="102"/>
      <c r="BC109" s="102"/>
      <c r="BD109" s="6"/>
      <c r="BE109" s="6"/>
      <c r="BF109" s="6"/>
      <c r="BG109" s="6"/>
      <c r="BH109" s="6"/>
      <c r="BI109" s="102"/>
      <c r="BJ109" s="6"/>
      <c r="BK109" s="6"/>
      <c r="BL109" s="6"/>
      <c r="BM109" s="102"/>
      <c r="BN109" s="99"/>
      <c r="BO109" s="100"/>
      <c r="BP109" s="100"/>
      <c r="BQ109" s="100"/>
      <c r="BR109" s="102"/>
      <c r="BS109" s="6"/>
      <c r="BT109" s="6"/>
      <c r="BU109" s="6"/>
      <c r="BV109" s="6"/>
    </row>
    <row r="110" spans="1:74" s="101" customFormat="1" x14ac:dyDescent="0.25">
      <c r="A110" s="98"/>
      <c r="B110" s="115"/>
      <c r="C110" s="116"/>
      <c r="D110" s="2"/>
      <c r="E110" s="127"/>
      <c r="F110" s="99"/>
      <c r="G110" s="87"/>
      <c r="H110" s="29"/>
      <c r="I110" s="98"/>
      <c r="J110" s="117"/>
      <c r="K110" s="117"/>
      <c r="L110" s="6"/>
      <c r="M110" s="7"/>
      <c r="N110" s="7"/>
      <c r="O110" s="7"/>
      <c r="P110" s="102"/>
      <c r="Q110" s="6"/>
      <c r="R110" s="102"/>
      <c r="S110" s="6"/>
      <c r="T110" s="102"/>
      <c r="U110" s="6"/>
      <c r="V110" s="102"/>
      <c r="W110" s="6"/>
      <c r="X110" s="6"/>
      <c r="Y110" s="6"/>
      <c r="Z110" s="6"/>
      <c r="AA110" s="6"/>
      <c r="AB110" s="6"/>
      <c r="AC110" s="102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102"/>
      <c r="AU110" s="6"/>
      <c r="AV110" s="6"/>
      <c r="AW110" s="102"/>
      <c r="AX110" s="99"/>
      <c r="AY110" s="7"/>
      <c r="AZ110" s="99"/>
      <c r="BA110" s="102"/>
      <c r="BB110" s="102"/>
      <c r="BC110" s="102"/>
      <c r="BD110" s="6"/>
      <c r="BE110" s="6"/>
      <c r="BF110" s="6"/>
      <c r="BG110" s="6"/>
      <c r="BH110" s="6"/>
      <c r="BI110" s="102"/>
      <c r="BJ110" s="6"/>
      <c r="BK110" s="6"/>
      <c r="BL110" s="6"/>
      <c r="BM110" s="102"/>
      <c r="BN110" s="99"/>
      <c r="BO110" s="100"/>
      <c r="BP110" s="100"/>
      <c r="BQ110" s="100"/>
      <c r="BR110" s="102"/>
      <c r="BS110" s="6"/>
      <c r="BT110" s="6"/>
      <c r="BU110" s="6"/>
      <c r="BV110" s="6"/>
    </row>
    <row r="111" spans="1:74" s="101" customFormat="1" x14ac:dyDescent="0.25">
      <c r="A111" s="98"/>
      <c r="B111" s="115"/>
      <c r="C111" s="116"/>
      <c r="D111" s="2"/>
      <c r="E111" s="127"/>
      <c r="F111" s="99"/>
      <c r="G111" s="87"/>
      <c r="H111" s="29"/>
      <c r="I111" s="98"/>
      <c r="J111" s="117"/>
      <c r="K111" s="117"/>
      <c r="L111" s="6"/>
      <c r="M111" s="7"/>
      <c r="N111" s="7"/>
      <c r="O111" s="7"/>
      <c r="P111" s="102"/>
      <c r="Q111" s="6"/>
      <c r="R111" s="102"/>
      <c r="S111" s="6"/>
      <c r="T111" s="102"/>
      <c r="U111" s="6"/>
      <c r="V111" s="102"/>
      <c r="W111" s="6"/>
      <c r="X111" s="6"/>
      <c r="Y111" s="6"/>
      <c r="Z111" s="6"/>
      <c r="AA111" s="6"/>
      <c r="AB111" s="6"/>
      <c r="AC111" s="102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102"/>
      <c r="AU111" s="6"/>
      <c r="AV111" s="6"/>
      <c r="AW111" s="102"/>
      <c r="AX111" s="99"/>
      <c r="AY111" s="7"/>
      <c r="AZ111" s="99"/>
      <c r="BA111" s="102"/>
      <c r="BB111" s="102"/>
      <c r="BC111" s="102"/>
      <c r="BD111" s="6"/>
      <c r="BE111" s="6"/>
      <c r="BF111" s="6"/>
      <c r="BG111" s="6"/>
      <c r="BH111" s="6"/>
      <c r="BI111" s="102"/>
      <c r="BJ111" s="6"/>
      <c r="BK111" s="6"/>
      <c r="BL111" s="6"/>
      <c r="BM111" s="102"/>
      <c r="BN111" s="99"/>
      <c r="BO111" s="100"/>
      <c r="BP111" s="100"/>
      <c r="BQ111" s="100"/>
      <c r="BR111" s="102"/>
      <c r="BS111" s="6"/>
      <c r="BT111" s="6"/>
      <c r="BU111" s="6"/>
      <c r="BV111" s="6"/>
    </row>
    <row r="112" spans="1:74" s="101" customFormat="1" x14ac:dyDescent="0.25">
      <c r="A112" s="98"/>
      <c r="B112" s="115"/>
      <c r="C112" s="116"/>
      <c r="D112" s="2"/>
      <c r="E112" s="127"/>
      <c r="F112" s="99"/>
      <c r="G112" s="87"/>
      <c r="H112" s="29"/>
      <c r="I112" s="98"/>
      <c r="J112" s="117"/>
      <c r="K112" s="117"/>
      <c r="L112" s="6"/>
      <c r="M112" s="7"/>
      <c r="N112" s="7"/>
      <c r="O112" s="7"/>
      <c r="P112" s="102"/>
      <c r="Q112" s="6"/>
      <c r="R112" s="102"/>
      <c r="S112" s="6"/>
      <c r="T112" s="102"/>
      <c r="U112" s="6"/>
      <c r="V112" s="102"/>
      <c r="W112" s="6"/>
      <c r="X112" s="6"/>
      <c r="Y112" s="6"/>
      <c r="Z112" s="6"/>
      <c r="AA112" s="6"/>
      <c r="AB112" s="6"/>
      <c r="AC112" s="102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102"/>
      <c r="AU112" s="6"/>
      <c r="AV112" s="6"/>
      <c r="AW112" s="102"/>
      <c r="AX112" s="99"/>
      <c r="AY112" s="7"/>
      <c r="AZ112" s="99"/>
      <c r="BA112" s="102"/>
      <c r="BB112" s="102"/>
      <c r="BC112" s="102"/>
      <c r="BD112" s="6"/>
      <c r="BE112" s="6"/>
      <c r="BF112" s="6"/>
      <c r="BG112" s="6"/>
      <c r="BH112" s="6"/>
      <c r="BI112" s="102"/>
      <c r="BJ112" s="6"/>
      <c r="BK112" s="6"/>
      <c r="BL112" s="6"/>
      <c r="BM112" s="102"/>
      <c r="BN112" s="99"/>
      <c r="BO112" s="100"/>
      <c r="BP112" s="100"/>
      <c r="BQ112" s="100"/>
      <c r="BR112" s="102"/>
      <c r="BS112" s="6"/>
      <c r="BT112" s="6"/>
      <c r="BU112" s="6"/>
      <c r="BV112" s="6"/>
    </row>
    <row r="113" spans="1:74" s="101" customFormat="1" x14ac:dyDescent="0.25">
      <c r="A113" s="98"/>
      <c r="B113" s="115"/>
      <c r="C113" s="116"/>
      <c r="D113" s="2"/>
      <c r="E113" s="127"/>
      <c r="F113" s="99"/>
      <c r="G113" s="87"/>
      <c r="H113" s="29"/>
      <c r="I113" s="98"/>
      <c r="J113" s="117"/>
      <c r="K113" s="117"/>
      <c r="L113" s="6"/>
      <c r="M113" s="7"/>
      <c r="N113" s="7"/>
      <c r="O113" s="7"/>
      <c r="P113" s="102"/>
      <c r="Q113" s="6"/>
      <c r="R113" s="102"/>
      <c r="S113" s="6"/>
      <c r="T113" s="102"/>
      <c r="U113" s="6"/>
      <c r="V113" s="102"/>
      <c r="W113" s="6"/>
      <c r="X113" s="6"/>
      <c r="Y113" s="6"/>
      <c r="Z113" s="6"/>
      <c r="AA113" s="6"/>
      <c r="AB113" s="6"/>
      <c r="AC113" s="102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102"/>
      <c r="AU113" s="6"/>
      <c r="AV113" s="6"/>
      <c r="AW113" s="102"/>
      <c r="AX113" s="99"/>
      <c r="AY113" s="7"/>
      <c r="AZ113" s="99"/>
      <c r="BA113" s="102"/>
      <c r="BB113" s="102"/>
      <c r="BC113" s="102"/>
      <c r="BD113" s="6"/>
      <c r="BE113" s="6"/>
      <c r="BF113" s="6"/>
      <c r="BG113" s="6"/>
      <c r="BH113" s="6"/>
      <c r="BI113" s="102"/>
      <c r="BJ113" s="6"/>
      <c r="BK113" s="6"/>
      <c r="BL113" s="6"/>
      <c r="BM113" s="102"/>
      <c r="BN113" s="99"/>
      <c r="BO113" s="100"/>
      <c r="BP113" s="100"/>
      <c r="BQ113" s="100"/>
      <c r="BR113" s="102"/>
      <c r="BS113" s="6"/>
      <c r="BT113" s="6"/>
      <c r="BU113" s="6"/>
      <c r="BV113" s="6"/>
    </row>
    <row r="114" spans="1:74" s="101" customFormat="1" x14ac:dyDescent="0.25">
      <c r="A114" s="98"/>
      <c r="B114" s="115"/>
      <c r="C114" s="116"/>
      <c r="D114" s="2"/>
      <c r="E114" s="127"/>
      <c r="F114" s="99"/>
      <c r="G114" s="87"/>
      <c r="H114" s="29"/>
      <c r="I114" s="98"/>
      <c r="J114" s="117"/>
      <c r="K114" s="117"/>
      <c r="L114" s="6"/>
      <c r="M114" s="7"/>
      <c r="N114" s="7"/>
      <c r="O114" s="7"/>
      <c r="P114" s="102"/>
      <c r="Q114" s="6"/>
      <c r="R114" s="102"/>
      <c r="S114" s="6"/>
      <c r="T114" s="102"/>
      <c r="U114" s="6"/>
      <c r="V114" s="102"/>
      <c r="W114" s="6"/>
      <c r="X114" s="6"/>
      <c r="Y114" s="6"/>
      <c r="Z114" s="6"/>
      <c r="AA114" s="6"/>
      <c r="AB114" s="6"/>
      <c r="AC114" s="102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102"/>
      <c r="AU114" s="6"/>
      <c r="AV114" s="6"/>
      <c r="AW114" s="102"/>
      <c r="AX114" s="99"/>
      <c r="AY114" s="7"/>
      <c r="AZ114" s="99"/>
      <c r="BA114" s="102"/>
      <c r="BB114" s="102"/>
      <c r="BC114" s="102"/>
      <c r="BD114" s="6"/>
      <c r="BE114" s="6"/>
      <c r="BF114" s="6"/>
      <c r="BG114" s="6"/>
      <c r="BH114" s="6"/>
      <c r="BI114" s="102"/>
      <c r="BJ114" s="6"/>
      <c r="BK114" s="6"/>
      <c r="BL114" s="6"/>
      <c r="BM114" s="102"/>
      <c r="BN114" s="99"/>
      <c r="BO114" s="100"/>
      <c r="BP114" s="100"/>
      <c r="BQ114" s="100"/>
      <c r="BR114" s="102"/>
      <c r="BS114" s="6"/>
      <c r="BT114" s="6"/>
      <c r="BU114" s="6"/>
      <c r="BV114" s="6"/>
    </row>
    <row r="115" spans="1:74" s="101" customFormat="1" x14ac:dyDescent="0.25">
      <c r="A115" s="98"/>
      <c r="B115" s="115"/>
      <c r="C115" s="116"/>
      <c r="D115" s="2"/>
      <c r="E115" s="127"/>
      <c r="F115" s="99"/>
      <c r="G115" s="87"/>
      <c r="H115" s="29"/>
      <c r="I115" s="98"/>
      <c r="J115" s="117"/>
      <c r="K115" s="117"/>
      <c r="L115" s="6"/>
      <c r="M115" s="7"/>
      <c r="N115" s="7"/>
      <c r="O115" s="7"/>
      <c r="P115" s="102"/>
      <c r="Q115" s="6"/>
      <c r="R115" s="102"/>
      <c r="S115" s="6"/>
      <c r="T115" s="102"/>
      <c r="U115" s="6"/>
      <c r="V115" s="102"/>
      <c r="W115" s="6"/>
      <c r="X115" s="6"/>
      <c r="Y115" s="6"/>
      <c r="Z115" s="6"/>
      <c r="AA115" s="6"/>
      <c r="AB115" s="6"/>
      <c r="AC115" s="102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102"/>
      <c r="AU115" s="6"/>
      <c r="AV115" s="6"/>
      <c r="AW115" s="102"/>
      <c r="AX115" s="99"/>
      <c r="AY115" s="7"/>
      <c r="AZ115" s="99"/>
      <c r="BA115" s="102"/>
      <c r="BB115" s="102"/>
      <c r="BC115" s="102"/>
      <c r="BD115" s="6"/>
      <c r="BE115" s="6"/>
      <c r="BF115" s="6"/>
      <c r="BG115" s="6"/>
      <c r="BH115" s="6"/>
      <c r="BI115" s="102"/>
      <c r="BJ115" s="6"/>
      <c r="BK115" s="6"/>
      <c r="BL115" s="6"/>
      <c r="BM115" s="102"/>
      <c r="BN115" s="99"/>
      <c r="BO115" s="100"/>
      <c r="BP115" s="100"/>
      <c r="BQ115" s="100"/>
      <c r="BR115" s="102"/>
      <c r="BS115" s="6"/>
      <c r="BT115" s="6"/>
      <c r="BU115" s="6"/>
      <c r="BV115" s="6"/>
    </row>
    <row r="116" spans="1:74" s="101" customFormat="1" x14ac:dyDescent="0.25">
      <c r="A116" s="98"/>
      <c r="B116" s="115"/>
      <c r="C116" s="116"/>
      <c r="D116" s="2"/>
      <c r="E116" s="127"/>
      <c r="F116" s="99"/>
      <c r="G116" s="87"/>
      <c r="H116" s="29"/>
      <c r="I116" s="98"/>
      <c r="J116" s="117"/>
      <c r="K116" s="117"/>
      <c r="L116" s="6"/>
      <c r="M116" s="7"/>
      <c r="N116" s="7"/>
      <c r="O116" s="7"/>
      <c r="P116" s="102"/>
      <c r="Q116" s="6"/>
      <c r="R116" s="102"/>
      <c r="S116" s="6"/>
      <c r="T116" s="102"/>
      <c r="U116" s="6"/>
      <c r="V116" s="102"/>
      <c r="W116" s="6"/>
      <c r="X116" s="6"/>
      <c r="Y116" s="6"/>
      <c r="Z116" s="6"/>
      <c r="AA116" s="6"/>
      <c r="AB116" s="6"/>
      <c r="AC116" s="102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102"/>
      <c r="AU116" s="6"/>
      <c r="AV116" s="6"/>
      <c r="AW116" s="102"/>
      <c r="AX116" s="99"/>
      <c r="AY116" s="7"/>
      <c r="AZ116" s="99"/>
      <c r="BA116" s="102"/>
      <c r="BB116" s="102"/>
      <c r="BC116" s="102"/>
      <c r="BD116" s="6"/>
      <c r="BE116" s="6"/>
      <c r="BF116" s="6"/>
      <c r="BG116" s="6"/>
      <c r="BH116" s="6"/>
      <c r="BI116" s="102"/>
      <c r="BJ116" s="6"/>
      <c r="BK116" s="6"/>
      <c r="BL116" s="6"/>
      <c r="BM116" s="102"/>
      <c r="BN116" s="99"/>
      <c r="BO116" s="100"/>
      <c r="BP116" s="100"/>
      <c r="BQ116" s="100"/>
      <c r="BR116" s="102"/>
      <c r="BS116" s="6"/>
      <c r="BT116" s="6"/>
      <c r="BU116" s="6"/>
      <c r="BV116" s="6"/>
    </row>
    <row r="117" spans="1:74" s="101" customFormat="1" x14ac:dyDescent="0.25">
      <c r="A117" s="98"/>
      <c r="B117" s="115"/>
      <c r="C117" s="116"/>
      <c r="D117" s="2"/>
      <c r="E117" s="127"/>
      <c r="F117" s="99"/>
      <c r="G117" s="87"/>
      <c r="H117" s="29"/>
      <c r="I117" s="98"/>
      <c r="J117" s="117"/>
      <c r="K117" s="117"/>
      <c r="L117" s="6"/>
      <c r="M117" s="7"/>
      <c r="N117" s="7"/>
      <c r="O117" s="7"/>
      <c r="P117" s="102"/>
      <c r="Q117" s="6"/>
      <c r="R117" s="102"/>
      <c r="S117" s="6"/>
      <c r="T117" s="102"/>
      <c r="U117" s="6"/>
      <c r="V117" s="102"/>
      <c r="W117" s="6"/>
      <c r="X117" s="6"/>
      <c r="Y117" s="6"/>
      <c r="Z117" s="6"/>
      <c r="AA117" s="6"/>
      <c r="AB117" s="6"/>
      <c r="AC117" s="102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102"/>
      <c r="AU117" s="6"/>
      <c r="AV117" s="6"/>
      <c r="AW117" s="102"/>
      <c r="AX117" s="99"/>
      <c r="AY117" s="7"/>
      <c r="AZ117" s="99"/>
      <c r="BA117" s="102"/>
      <c r="BB117" s="102"/>
      <c r="BC117" s="102"/>
      <c r="BD117" s="6"/>
      <c r="BE117" s="6"/>
      <c r="BF117" s="6"/>
      <c r="BG117" s="6"/>
      <c r="BH117" s="6"/>
      <c r="BI117" s="102"/>
      <c r="BJ117" s="6"/>
      <c r="BK117" s="6"/>
      <c r="BL117" s="6"/>
      <c r="BM117" s="102"/>
      <c r="BN117" s="99"/>
      <c r="BO117" s="100"/>
      <c r="BP117" s="100"/>
      <c r="BQ117" s="100"/>
      <c r="BR117" s="102"/>
      <c r="BS117" s="6"/>
      <c r="BT117" s="6"/>
      <c r="BU117" s="6"/>
      <c r="BV117" s="6"/>
    </row>
    <row r="118" spans="1:74" s="101" customFormat="1" x14ac:dyDescent="0.25">
      <c r="A118" s="98"/>
      <c r="B118" s="115"/>
      <c r="C118" s="116"/>
      <c r="D118" s="2"/>
      <c r="E118" s="127"/>
      <c r="F118" s="99"/>
      <c r="G118" s="87"/>
      <c r="H118" s="29"/>
      <c r="I118" s="98"/>
      <c r="J118" s="117"/>
      <c r="K118" s="117"/>
      <c r="L118" s="6"/>
      <c r="M118" s="7"/>
      <c r="N118" s="7"/>
      <c r="O118" s="7"/>
      <c r="P118" s="102"/>
      <c r="Q118" s="6"/>
      <c r="R118" s="102"/>
      <c r="S118" s="6"/>
      <c r="T118" s="102"/>
      <c r="U118" s="6"/>
      <c r="V118" s="102"/>
      <c r="W118" s="6"/>
      <c r="X118" s="6"/>
      <c r="Y118" s="6"/>
      <c r="Z118" s="6"/>
      <c r="AA118" s="6"/>
      <c r="AB118" s="6"/>
      <c r="AC118" s="102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102"/>
      <c r="AU118" s="6"/>
      <c r="AV118" s="6"/>
      <c r="AW118" s="102"/>
      <c r="AX118" s="99"/>
      <c r="AY118" s="7"/>
      <c r="AZ118" s="99"/>
      <c r="BA118" s="102"/>
      <c r="BB118" s="102"/>
      <c r="BC118" s="102"/>
      <c r="BD118" s="6"/>
      <c r="BE118" s="6"/>
      <c r="BF118" s="6"/>
      <c r="BG118" s="6"/>
      <c r="BH118" s="6"/>
      <c r="BI118" s="102"/>
      <c r="BJ118" s="6"/>
      <c r="BK118" s="6"/>
      <c r="BL118" s="6"/>
      <c r="BM118" s="102"/>
      <c r="BN118" s="99"/>
      <c r="BO118" s="100"/>
      <c r="BP118" s="100"/>
      <c r="BQ118" s="100"/>
      <c r="BR118" s="102"/>
      <c r="BS118" s="6"/>
      <c r="BT118" s="6"/>
      <c r="BU118" s="6"/>
      <c r="BV118" s="6"/>
    </row>
    <row r="119" spans="1:74" s="101" customFormat="1" x14ac:dyDescent="0.25">
      <c r="A119" s="98"/>
      <c r="B119" s="115"/>
      <c r="C119" s="116"/>
      <c r="D119" s="2"/>
      <c r="E119" s="127"/>
      <c r="F119" s="99"/>
      <c r="G119" s="87"/>
      <c r="H119" s="29"/>
      <c r="I119" s="98"/>
      <c r="J119" s="117"/>
      <c r="K119" s="117"/>
      <c r="L119" s="6"/>
      <c r="M119" s="7"/>
      <c r="N119" s="7"/>
      <c r="O119" s="7"/>
      <c r="P119" s="102"/>
      <c r="Q119" s="6"/>
      <c r="R119" s="102"/>
      <c r="S119" s="6"/>
      <c r="T119" s="102"/>
      <c r="U119" s="6"/>
      <c r="V119" s="102"/>
      <c r="W119" s="6"/>
      <c r="X119" s="6"/>
      <c r="Y119" s="6"/>
      <c r="Z119" s="6"/>
      <c r="AA119" s="6"/>
      <c r="AB119" s="6"/>
      <c r="AC119" s="102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102"/>
      <c r="AU119" s="6"/>
      <c r="AV119" s="6"/>
      <c r="AW119" s="102"/>
      <c r="AX119" s="99"/>
      <c r="AY119" s="7"/>
      <c r="AZ119" s="99"/>
      <c r="BA119" s="102"/>
      <c r="BB119" s="102"/>
      <c r="BC119" s="102"/>
      <c r="BD119" s="6"/>
      <c r="BE119" s="6"/>
      <c r="BF119" s="6"/>
      <c r="BG119" s="6"/>
      <c r="BH119" s="6"/>
      <c r="BI119" s="102"/>
      <c r="BJ119" s="6"/>
      <c r="BK119" s="6"/>
      <c r="BL119" s="6"/>
      <c r="BM119" s="102"/>
      <c r="BN119" s="99"/>
      <c r="BO119" s="100"/>
      <c r="BP119" s="100"/>
      <c r="BQ119" s="100"/>
      <c r="BR119" s="102"/>
      <c r="BS119" s="6"/>
      <c r="BT119" s="6"/>
      <c r="BU119" s="6"/>
      <c r="BV119" s="6"/>
    </row>
    <row r="120" spans="1:74" s="101" customFormat="1" x14ac:dyDescent="0.25">
      <c r="A120" s="98"/>
      <c r="B120" s="115"/>
      <c r="C120" s="116"/>
      <c r="D120" s="2"/>
      <c r="E120" s="127"/>
      <c r="F120" s="99"/>
      <c r="G120" s="87"/>
      <c r="H120" s="29"/>
      <c r="I120" s="98"/>
      <c r="J120" s="117"/>
      <c r="K120" s="117"/>
      <c r="L120" s="6"/>
      <c r="M120" s="7"/>
      <c r="N120" s="7"/>
      <c r="O120" s="7"/>
      <c r="P120" s="102"/>
      <c r="Q120" s="6"/>
      <c r="R120" s="102"/>
      <c r="S120" s="6"/>
      <c r="T120" s="102"/>
      <c r="U120" s="6"/>
      <c r="V120" s="102"/>
      <c r="W120" s="6"/>
      <c r="X120" s="6"/>
      <c r="Y120" s="6"/>
      <c r="Z120" s="6"/>
      <c r="AA120" s="6"/>
      <c r="AB120" s="6"/>
      <c r="AC120" s="102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102"/>
      <c r="AU120" s="6"/>
      <c r="AV120" s="6"/>
      <c r="AW120" s="102"/>
      <c r="AX120" s="99"/>
      <c r="AY120" s="7"/>
      <c r="AZ120" s="99"/>
      <c r="BA120" s="102"/>
      <c r="BB120" s="102"/>
      <c r="BC120" s="102"/>
      <c r="BD120" s="6"/>
      <c r="BE120" s="6"/>
      <c r="BF120" s="6"/>
      <c r="BG120" s="6"/>
      <c r="BH120" s="6"/>
      <c r="BI120" s="102"/>
      <c r="BJ120" s="6"/>
      <c r="BK120" s="6"/>
      <c r="BL120" s="6"/>
      <c r="BM120" s="102"/>
      <c r="BN120" s="99"/>
      <c r="BO120" s="100"/>
      <c r="BP120" s="100"/>
      <c r="BQ120" s="100"/>
      <c r="BR120" s="102"/>
      <c r="BS120" s="6"/>
      <c r="BT120" s="6"/>
      <c r="BU120" s="6"/>
      <c r="BV120" s="6"/>
    </row>
    <row r="121" spans="1:74" s="101" customFormat="1" x14ac:dyDescent="0.25">
      <c r="A121" s="98"/>
      <c r="B121" s="115"/>
      <c r="C121" s="116"/>
      <c r="D121" s="2"/>
      <c r="E121" s="127"/>
      <c r="F121" s="99"/>
      <c r="G121" s="87"/>
      <c r="H121" s="29"/>
      <c r="I121" s="98"/>
      <c r="J121" s="117"/>
      <c r="K121" s="117"/>
      <c r="L121" s="6"/>
      <c r="M121" s="7"/>
      <c r="N121" s="7"/>
      <c r="O121" s="7"/>
      <c r="P121" s="102"/>
      <c r="Q121" s="6"/>
      <c r="R121" s="102"/>
      <c r="S121" s="6"/>
      <c r="T121" s="102"/>
      <c r="U121" s="6"/>
      <c r="V121" s="102"/>
      <c r="W121" s="6"/>
      <c r="X121" s="6"/>
      <c r="Y121" s="6"/>
      <c r="Z121" s="6"/>
      <c r="AA121" s="6"/>
      <c r="AB121" s="6"/>
      <c r="AC121" s="102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102"/>
      <c r="AU121" s="6"/>
      <c r="AV121" s="6"/>
      <c r="AW121" s="102"/>
      <c r="AX121" s="99"/>
      <c r="AY121" s="7"/>
      <c r="AZ121" s="99"/>
      <c r="BA121" s="102"/>
      <c r="BB121" s="102"/>
      <c r="BC121" s="102"/>
      <c r="BD121" s="6"/>
      <c r="BE121" s="6"/>
      <c r="BF121" s="6"/>
      <c r="BG121" s="6"/>
      <c r="BH121" s="6"/>
      <c r="BI121" s="102"/>
      <c r="BJ121" s="6"/>
      <c r="BK121" s="6"/>
      <c r="BL121" s="6"/>
      <c r="BM121" s="102"/>
      <c r="BN121" s="99"/>
      <c r="BO121" s="100"/>
      <c r="BP121" s="100"/>
      <c r="BQ121" s="100"/>
      <c r="BR121" s="102"/>
      <c r="BS121" s="6"/>
      <c r="BT121" s="6"/>
      <c r="BU121" s="6"/>
      <c r="BV121" s="6"/>
    </row>
    <row r="122" spans="1:74" s="101" customFormat="1" x14ac:dyDescent="0.25">
      <c r="A122" s="98"/>
      <c r="B122" s="115"/>
      <c r="C122" s="116"/>
      <c r="D122" s="2"/>
      <c r="E122" s="127"/>
      <c r="F122" s="99"/>
      <c r="G122" s="87"/>
      <c r="H122" s="29"/>
      <c r="I122" s="98"/>
      <c r="J122" s="117"/>
      <c r="K122" s="117"/>
      <c r="L122" s="6"/>
      <c r="M122" s="7"/>
      <c r="N122" s="7"/>
      <c r="O122" s="7"/>
      <c r="P122" s="102"/>
      <c r="Q122" s="6"/>
      <c r="R122" s="102"/>
      <c r="S122" s="6"/>
      <c r="T122" s="102"/>
      <c r="U122" s="6"/>
      <c r="V122" s="102"/>
      <c r="W122" s="6"/>
      <c r="X122" s="6"/>
      <c r="Y122" s="6"/>
      <c r="Z122" s="6"/>
      <c r="AA122" s="6"/>
      <c r="AB122" s="6"/>
      <c r="AC122" s="102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102"/>
      <c r="AU122" s="6"/>
      <c r="AV122" s="6"/>
      <c r="AW122" s="102"/>
      <c r="AX122" s="99"/>
      <c r="AY122" s="7"/>
      <c r="AZ122" s="99"/>
      <c r="BA122" s="102"/>
      <c r="BB122" s="102"/>
      <c r="BC122" s="102"/>
      <c r="BD122" s="6"/>
      <c r="BE122" s="6"/>
      <c r="BF122" s="6"/>
      <c r="BG122" s="6"/>
      <c r="BH122" s="6"/>
      <c r="BI122" s="102"/>
      <c r="BJ122" s="6"/>
      <c r="BK122" s="6"/>
      <c r="BL122" s="6"/>
      <c r="BM122" s="102"/>
      <c r="BN122" s="99"/>
      <c r="BO122" s="100"/>
      <c r="BP122" s="100"/>
      <c r="BQ122" s="100"/>
      <c r="BR122" s="102"/>
      <c r="BS122" s="6"/>
      <c r="BT122" s="6"/>
      <c r="BU122" s="6"/>
      <c r="BV122" s="6"/>
    </row>
    <row r="123" spans="1:74" s="101" customFormat="1" x14ac:dyDescent="0.25">
      <c r="A123" s="98"/>
      <c r="B123" s="115"/>
      <c r="C123" s="116"/>
      <c r="D123" s="2"/>
      <c r="E123" s="127"/>
      <c r="F123" s="99"/>
      <c r="G123" s="87"/>
      <c r="H123" s="29"/>
      <c r="I123" s="98"/>
      <c r="J123" s="117"/>
      <c r="K123" s="117"/>
      <c r="L123" s="6"/>
      <c r="M123" s="7"/>
      <c r="N123" s="7"/>
      <c r="O123" s="7"/>
      <c r="P123" s="102"/>
      <c r="Q123" s="6"/>
      <c r="R123" s="102"/>
      <c r="S123" s="6"/>
      <c r="T123" s="102"/>
      <c r="U123" s="6"/>
      <c r="V123" s="102"/>
      <c r="W123" s="6"/>
      <c r="X123" s="6"/>
      <c r="Y123" s="6"/>
      <c r="Z123" s="6"/>
      <c r="AA123" s="6"/>
      <c r="AB123" s="6"/>
      <c r="AC123" s="102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102"/>
      <c r="AU123" s="6"/>
      <c r="AV123" s="6"/>
      <c r="AW123" s="102"/>
      <c r="AX123" s="99"/>
      <c r="AY123" s="7"/>
      <c r="AZ123" s="99"/>
      <c r="BA123" s="102"/>
      <c r="BB123" s="102"/>
      <c r="BC123" s="102"/>
      <c r="BD123" s="6"/>
      <c r="BE123" s="6"/>
      <c r="BF123" s="6"/>
      <c r="BG123" s="6"/>
      <c r="BH123" s="6"/>
      <c r="BI123" s="102"/>
      <c r="BJ123" s="6"/>
      <c r="BK123" s="6"/>
      <c r="BL123" s="6"/>
      <c r="BM123" s="102"/>
      <c r="BN123" s="99"/>
      <c r="BO123" s="100"/>
      <c r="BP123" s="100"/>
      <c r="BQ123" s="100"/>
      <c r="BR123" s="102"/>
      <c r="BS123" s="6"/>
      <c r="BT123" s="6"/>
      <c r="BU123" s="6"/>
      <c r="BV123" s="6"/>
    </row>
    <row r="124" spans="1:74" s="101" customFormat="1" x14ac:dyDescent="0.25">
      <c r="A124" s="98"/>
      <c r="B124" s="115"/>
      <c r="C124" s="116"/>
      <c r="D124" s="2"/>
      <c r="E124" s="127"/>
      <c r="F124" s="99"/>
      <c r="G124" s="87"/>
      <c r="H124" s="29"/>
      <c r="I124" s="98"/>
      <c r="J124" s="117"/>
      <c r="K124" s="117"/>
      <c r="L124" s="6"/>
      <c r="M124" s="7"/>
      <c r="N124" s="7"/>
      <c r="O124" s="7"/>
      <c r="P124" s="102"/>
      <c r="Q124" s="6"/>
      <c r="R124" s="102"/>
      <c r="S124" s="6"/>
      <c r="T124" s="102"/>
      <c r="U124" s="6"/>
      <c r="V124" s="102"/>
      <c r="W124" s="6"/>
      <c r="X124" s="6"/>
      <c r="Y124" s="6"/>
      <c r="Z124" s="6"/>
      <c r="AA124" s="6"/>
      <c r="AB124" s="6"/>
      <c r="AC124" s="102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102"/>
      <c r="AU124" s="6"/>
      <c r="AV124" s="6"/>
      <c r="AW124" s="102"/>
      <c r="AX124" s="99"/>
      <c r="AY124" s="7"/>
      <c r="AZ124" s="99"/>
      <c r="BA124" s="102"/>
      <c r="BB124" s="102"/>
      <c r="BC124" s="102"/>
      <c r="BD124" s="6"/>
      <c r="BE124" s="6"/>
      <c r="BF124" s="6"/>
      <c r="BG124" s="6"/>
      <c r="BH124" s="6"/>
      <c r="BI124" s="102"/>
      <c r="BJ124" s="6"/>
      <c r="BK124" s="6"/>
      <c r="BL124" s="6"/>
      <c r="BM124" s="102"/>
      <c r="BN124" s="99"/>
      <c r="BO124" s="100"/>
      <c r="BP124" s="100"/>
      <c r="BQ124" s="100"/>
      <c r="BR124" s="102"/>
      <c r="BS124" s="6"/>
      <c r="BT124" s="6"/>
      <c r="BU124" s="6"/>
      <c r="BV124" s="6"/>
    </row>
    <row r="125" spans="1:74" s="101" customFormat="1" x14ac:dyDescent="0.25">
      <c r="A125" s="98"/>
      <c r="B125" s="115"/>
      <c r="C125" s="116"/>
      <c r="D125" s="2"/>
      <c r="E125" s="127"/>
      <c r="F125" s="99"/>
      <c r="G125" s="87"/>
      <c r="H125" s="29"/>
      <c r="I125" s="98"/>
      <c r="J125" s="117"/>
      <c r="K125" s="117"/>
      <c r="L125" s="6"/>
      <c r="M125" s="7"/>
      <c r="N125" s="7"/>
      <c r="O125" s="7"/>
      <c r="P125" s="102"/>
      <c r="Q125" s="6"/>
      <c r="R125" s="102"/>
      <c r="S125" s="6"/>
      <c r="T125" s="102"/>
      <c r="U125" s="6"/>
      <c r="V125" s="102"/>
      <c r="W125" s="6"/>
      <c r="X125" s="6"/>
      <c r="Y125" s="6"/>
      <c r="Z125" s="6"/>
      <c r="AA125" s="6"/>
      <c r="AB125" s="6"/>
      <c r="AC125" s="102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102"/>
      <c r="AU125" s="6"/>
      <c r="AV125" s="6"/>
      <c r="AW125" s="102"/>
      <c r="AX125" s="99"/>
      <c r="AY125" s="7"/>
      <c r="AZ125" s="99"/>
      <c r="BA125" s="102"/>
      <c r="BB125" s="102"/>
      <c r="BC125" s="102"/>
      <c r="BD125" s="6"/>
      <c r="BE125" s="6"/>
      <c r="BF125" s="6"/>
      <c r="BG125" s="6"/>
      <c r="BH125" s="6"/>
      <c r="BI125" s="102"/>
      <c r="BJ125" s="6"/>
      <c r="BK125" s="6"/>
      <c r="BL125" s="6"/>
      <c r="BM125" s="102"/>
      <c r="BN125" s="99"/>
      <c r="BO125" s="100"/>
      <c r="BP125" s="100"/>
      <c r="BQ125" s="100"/>
      <c r="BR125" s="102"/>
      <c r="BS125" s="6"/>
      <c r="BT125" s="6"/>
      <c r="BU125" s="6"/>
      <c r="BV125" s="6"/>
    </row>
    <row r="126" spans="1:74" s="101" customFormat="1" x14ac:dyDescent="0.25">
      <c r="A126" s="98"/>
      <c r="B126" s="115"/>
      <c r="C126" s="116"/>
      <c r="D126" s="2"/>
      <c r="E126" s="127"/>
      <c r="F126" s="99"/>
      <c r="G126" s="87"/>
      <c r="H126" s="29"/>
      <c r="I126" s="98"/>
      <c r="J126" s="117"/>
      <c r="K126" s="117"/>
      <c r="L126" s="6"/>
      <c r="M126" s="7"/>
      <c r="N126" s="7"/>
      <c r="O126" s="7"/>
      <c r="P126" s="102"/>
      <c r="Q126" s="6"/>
      <c r="R126" s="102"/>
      <c r="S126" s="6"/>
      <c r="T126" s="102"/>
      <c r="U126" s="6"/>
      <c r="V126" s="102"/>
      <c r="W126" s="6"/>
      <c r="X126" s="6"/>
      <c r="Y126" s="6"/>
      <c r="Z126" s="6"/>
      <c r="AA126" s="6"/>
      <c r="AB126" s="6"/>
      <c r="AC126" s="102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102"/>
      <c r="AU126" s="6"/>
      <c r="AV126" s="6"/>
      <c r="AW126" s="102"/>
      <c r="AX126" s="99"/>
      <c r="AY126" s="7"/>
      <c r="AZ126" s="99"/>
      <c r="BA126" s="102"/>
      <c r="BB126" s="102"/>
      <c r="BC126" s="102"/>
      <c r="BD126" s="6"/>
      <c r="BE126" s="6"/>
      <c r="BF126" s="6"/>
      <c r="BG126" s="6"/>
      <c r="BH126" s="6"/>
      <c r="BI126" s="102"/>
      <c r="BJ126" s="6"/>
      <c r="BK126" s="6"/>
      <c r="BL126" s="6"/>
      <c r="BM126" s="102"/>
      <c r="BN126" s="99"/>
      <c r="BO126" s="100"/>
      <c r="BP126" s="100"/>
      <c r="BQ126" s="100"/>
      <c r="BR126" s="102"/>
      <c r="BS126" s="6"/>
      <c r="BT126" s="6"/>
      <c r="BU126" s="6"/>
      <c r="BV126" s="6"/>
    </row>
    <row r="127" spans="1:74" s="101" customFormat="1" x14ac:dyDescent="0.25">
      <c r="A127" s="98"/>
      <c r="B127" s="115"/>
      <c r="C127" s="116"/>
      <c r="D127" s="2"/>
      <c r="E127" s="127"/>
      <c r="F127" s="99"/>
      <c r="G127" s="87"/>
      <c r="H127" s="29"/>
      <c r="I127" s="98"/>
      <c r="J127" s="117"/>
      <c r="K127" s="117"/>
      <c r="L127" s="6"/>
      <c r="M127" s="7"/>
      <c r="N127" s="7"/>
      <c r="O127" s="7"/>
      <c r="P127" s="102"/>
      <c r="Q127" s="6"/>
      <c r="R127" s="102"/>
      <c r="S127" s="6"/>
      <c r="T127" s="102"/>
      <c r="U127" s="6"/>
      <c r="V127" s="102"/>
      <c r="W127" s="6"/>
      <c r="X127" s="6"/>
      <c r="Y127" s="6"/>
      <c r="Z127" s="6"/>
      <c r="AA127" s="6"/>
      <c r="AB127" s="6"/>
      <c r="AC127" s="102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102"/>
      <c r="AU127" s="6"/>
      <c r="AV127" s="6"/>
      <c r="AW127" s="102"/>
      <c r="AX127" s="99"/>
      <c r="AY127" s="7"/>
      <c r="AZ127" s="99"/>
      <c r="BA127" s="102"/>
      <c r="BB127" s="102"/>
      <c r="BC127" s="102"/>
      <c r="BD127" s="6"/>
      <c r="BE127" s="6"/>
      <c r="BF127" s="6"/>
      <c r="BG127" s="6"/>
      <c r="BH127" s="6"/>
      <c r="BI127" s="102"/>
      <c r="BJ127" s="6"/>
      <c r="BK127" s="6"/>
      <c r="BL127" s="6"/>
      <c r="BM127" s="102"/>
      <c r="BN127" s="99"/>
      <c r="BO127" s="100"/>
      <c r="BP127" s="100"/>
      <c r="BQ127" s="100"/>
      <c r="BR127" s="102"/>
      <c r="BS127" s="6"/>
      <c r="BT127" s="6"/>
      <c r="BU127" s="6"/>
      <c r="BV127" s="6"/>
    </row>
    <row r="128" spans="1:74" s="101" customFormat="1" x14ac:dyDescent="0.25">
      <c r="A128" s="98"/>
      <c r="B128" s="115"/>
      <c r="C128" s="116"/>
      <c r="D128" s="2"/>
      <c r="E128" s="127"/>
      <c r="F128" s="99"/>
      <c r="G128" s="87"/>
      <c r="H128" s="29"/>
      <c r="I128" s="98"/>
      <c r="J128" s="117"/>
      <c r="K128" s="117"/>
      <c r="L128" s="6"/>
      <c r="M128" s="7"/>
      <c r="N128" s="7"/>
      <c r="O128" s="7"/>
      <c r="P128" s="102"/>
      <c r="Q128" s="6"/>
      <c r="R128" s="102"/>
      <c r="S128" s="6"/>
      <c r="T128" s="102"/>
      <c r="U128" s="6"/>
      <c r="V128" s="102"/>
      <c r="W128" s="6"/>
      <c r="X128" s="6"/>
      <c r="Y128" s="6"/>
      <c r="Z128" s="6"/>
      <c r="AA128" s="6"/>
      <c r="AB128" s="6"/>
      <c r="AC128" s="102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102"/>
      <c r="AU128" s="6"/>
      <c r="AV128" s="6"/>
      <c r="AW128" s="102"/>
      <c r="AX128" s="99"/>
      <c r="AY128" s="7"/>
      <c r="AZ128" s="99"/>
      <c r="BA128" s="102"/>
      <c r="BB128" s="102"/>
      <c r="BC128" s="102"/>
      <c r="BD128" s="6"/>
      <c r="BE128" s="6"/>
      <c r="BF128" s="6"/>
      <c r="BG128" s="6"/>
      <c r="BH128" s="6"/>
      <c r="BI128" s="102"/>
      <c r="BJ128" s="6"/>
      <c r="BK128" s="6"/>
      <c r="BL128" s="6"/>
      <c r="BM128" s="102"/>
      <c r="BN128" s="99"/>
      <c r="BO128" s="100"/>
      <c r="BP128" s="100"/>
      <c r="BQ128" s="100"/>
      <c r="BR128" s="102"/>
      <c r="BS128" s="6"/>
      <c r="BT128" s="6"/>
      <c r="BU128" s="6"/>
      <c r="BV128" s="6"/>
    </row>
    <row r="129" spans="1:74" s="101" customFormat="1" x14ac:dyDescent="0.25">
      <c r="A129" s="98"/>
      <c r="B129" s="115"/>
      <c r="C129" s="116"/>
      <c r="D129" s="2"/>
      <c r="E129" s="127"/>
      <c r="F129" s="99"/>
      <c r="G129" s="87"/>
      <c r="H129" s="29"/>
      <c r="I129" s="98"/>
      <c r="J129" s="117"/>
      <c r="K129" s="117"/>
      <c r="L129" s="6"/>
      <c r="M129" s="7"/>
      <c r="N129" s="7"/>
      <c r="O129" s="7"/>
      <c r="P129" s="102"/>
      <c r="Q129" s="6"/>
      <c r="R129" s="102"/>
      <c r="S129" s="6"/>
      <c r="T129" s="102"/>
      <c r="U129" s="6"/>
      <c r="V129" s="102"/>
      <c r="W129" s="6"/>
      <c r="X129" s="6"/>
      <c r="Y129" s="6"/>
      <c r="Z129" s="6"/>
      <c r="AA129" s="6"/>
      <c r="AB129" s="6"/>
      <c r="AC129" s="102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102"/>
      <c r="AU129" s="6"/>
      <c r="AV129" s="6"/>
      <c r="AW129" s="102"/>
      <c r="AX129" s="99"/>
      <c r="AY129" s="7"/>
      <c r="AZ129" s="99"/>
      <c r="BA129" s="102"/>
      <c r="BB129" s="102"/>
      <c r="BC129" s="102"/>
      <c r="BD129" s="6"/>
      <c r="BE129" s="6"/>
      <c r="BF129" s="6"/>
      <c r="BG129" s="6"/>
      <c r="BH129" s="6"/>
      <c r="BI129" s="102"/>
      <c r="BJ129" s="6"/>
      <c r="BK129" s="6"/>
      <c r="BL129" s="6"/>
      <c r="BM129" s="102"/>
      <c r="BN129" s="99"/>
      <c r="BO129" s="100"/>
      <c r="BP129" s="100"/>
      <c r="BQ129" s="100"/>
      <c r="BR129" s="102"/>
      <c r="BS129" s="6"/>
      <c r="BT129" s="6"/>
      <c r="BU129" s="6"/>
      <c r="BV129" s="6"/>
    </row>
    <row r="130" spans="1:74" s="101" customFormat="1" x14ac:dyDescent="0.25">
      <c r="A130" s="98"/>
      <c r="B130" s="115"/>
      <c r="C130" s="116"/>
      <c r="D130" s="2"/>
      <c r="E130" s="127"/>
      <c r="F130" s="99"/>
      <c r="G130" s="87"/>
      <c r="H130" s="29"/>
      <c r="I130" s="98"/>
      <c r="J130" s="117"/>
      <c r="K130" s="117"/>
      <c r="L130" s="6"/>
      <c r="M130" s="7"/>
      <c r="N130" s="7"/>
      <c r="O130" s="7"/>
      <c r="P130" s="102"/>
      <c r="Q130" s="6"/>
      <c r="R130" s="102"/>
      <c r="S130" s="6"/>
      <c r="T130" s="102"/>
      <c r="U130" s="6"/>
      <c r="V130" s="102"/>
      <c r="W130" s="6"/>
      <c r="X130" s="6"/>
      <c r="Y130" s="6"/>
      <c r="Z130" s="6"/>
      <c r="AA130" s="6"/>
      <c r="AB130" s="6"/>
      <c r="AC130" s="102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102"/>
      <c r="AU130" s="6"/>
      <c r="AV130" s="6"/>
      <c r="AW130" s="102"/>
      <c r="AX130" s="99"/>
      <c r="AY130" s="7"/>
      <c r="AZ130" s="99"/>
      <c r="BA130" s="102"/>
      <c r="BB130" s="102"/>
      <c r="BC130" s="102"/>
      <c r="BD130" s="6"/>
      <c r="BE130" s="6"/>
      <c r="BF130" s="6"/>
      <c r="BG130" s="6"/>
      <c r="BH130" s="6"/>
      <c r="BI130" s="102"/>
      <c r="BJ130" s="6"/>
      <c r="BK130" s="6"/>
      <c r="BL130" s="6"/>
      <c r="BM130" s="102"/>
      <c r="BN130" s="99"/>
      <c r="BO130" s="100"/>
      <c r="BP130" s="100"/>
      <c r="BQ130" s="100"/>
      <c r="BR130" s="102"/>
      <c r="BS130" s="6"/>
      <c r="BT130" s="6"/>
      <c r="BU130" s="6"/>
      <c r="BV130" s="6"/>
    </row>
    <row r="131" spans="1:74" s="101" customFormat="1" x14ac:dyDescent="0.25">
      <c r="A131" s="98"/>
      <c r="B131" s="115"/>
      <c r="C131" s="116"/>
      <c r="D131" s="2"/>
      <c r="E131" s="127"/>
      <c r="F131" s="99"/>
      <c r="G131" s="87"/>
      <c r="H131" s="29"/>
      <c r="I131" s="98"/>
      <c r="J131" s="117"/>
      <c r="K131" s="117"/>
      <c r="L131" s="6"/>
      <c r="M131" s="7"/>
      <c r="N131" s="7"/>
      <c r="O131" s="7"/>
      <c r="P131" s="102"/>
      <c r="Q131" s="6"/>
      <c r="R131" s="102"/>
      <c r="S131" s="6"/>
      <c r="T131" s="102"/>
      <c r="U131" s="6"/>
      <c r="V131" s="102"/>
      <c r="W131" s="6"/>
      <c r="X131" s="6"/>
      <c r="Y131" s="6"/>
      <c r="Z131" s="6"/>
      <c r="AA131" s="6"/>
      <c r="AB131" s="6"/>
      <c r="AC131" s="102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102"/>
      <c r="AU131" s="6"/>
      <c r="AV131" s="6"/>
      <c r="AW131" s="102"/>
      <c r="AX131" s="99"/>
      <c r="AY131" s="7"/>
      <c r="AZ131" s="99"/>
      <c r="BA131" s="102"/>
      <c r="BB131" s="102"/>
      <c r="BC131" s="102"/>
      <c r="BD131" s="6"/>
      <c r="BE131" s="6"/>
      <c r="BF131" s="6"/>
      <c r="BG131" s="6"/>
      <c r="BH131" s="6"/>
      <c r="BI131" s="102"/>
      <c r="BJ131" s="6"/>
      <c r="BK131" s="6"/>
      <c r="BL131" s="6"/>
      <c r="BM131" s="102"/>
      <c r="BN131" s="99"/>
      <c r="BO131" s="100"/>
      <c r="BP131" s="100"/>
      <c r="BQ131" s="100"/>
      <c r="BR131" s="102"/>
      <c r="BS131" s="6"/>
      <c r="BT131" s="6"/>
      <c r="BU131" s="6"/>
      <c r="BV131" s="6"/>
    </row>
    <row r="132" spans="1:74" s="101" customFormat="1" x14ac:dyDescent="0.25">
      <c r="A132" s="98"/>
      <c r="B132" s="115"/>
      <c r="C132" s="116"/>
      <c r="D132" s="2"/>
      <c r="E132" s="127"/>
      <c r="F132" s="99"/>
      <c r="G132" s="87"/>
      <c r="H132" s="29"/>
      <c r="I132" s="98"/>
      <c r="J132" s="117"/>
      <c r="K132" s="117"/>
      <c r="L132" s="6"/>
      <c r="M132" s="7"/>
      <c r="N132" s="7"/>
      <c r="O132" s="7"/>
      <c r="P132" s="102"/>
      <c r="Q132" s="6"/>
      <c r="R132" s="102"/>
      <c r="S132" s="6"/>
      <c r="T132" s="102"/>
      <c r="U132" s="6"/>
      <c r="V132" s="102"/>
      <c r="W132" s="6"/>
      <c r="X132" s="6"/>
      <c r="Y132" s="6"/>
      <c r="Z132" s="6"/>
      <c r="AA132" s="6"/>
      <c r="AB132" s="6"/>
      <c r="AC132" s="102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102"/>
      <c r="AU132" s="6"/>
      <c r="AV132" s="6"/>
      <c r="AW132" s="102"/>
      <c r="AX132" s="99"/>
      <c r="AY132" s="7"/>
      <c r="AZ132" s="99"/>
      <c r="BA132" s="102"/>
      <c r="BB132" s="102"/>
      <c r="BC132" s="102"/>
      <c r="BD132" s="6"/>
      <c r="BE132" s="6"/>
      <c r="BF132" s="6"/>
      <c r="BG132" s="6"/>
      <c r="BH132" s="6"/>
      <c r="BI132" s="102"/>
      <c r="BJ132" s="6"/>
      <c r="BK132" s="6"/>
      <c r="BL132" s="6"/>
      <c r="BM132" s="102"/>
      <c r="BN132" s="99"/>
      <c r="BO132" s="100"/>
      <c r="BP132" s="100"/>
      <c r="BQ132" s="100"/>
      <c r="BR132" s="102"/>
      <c r="BS132" s="6"/>
      <c r="BT132" s="6"/>
      <c r="BU132" s="6"/>
      <c r="BV132" s="6"/>
    </row>
    <row r="133" spans="1:74" s="101" customFormat="1" x14ac:dyDescent="0.25">
      <c r="A133" s="98"/>
      <c r="B133" s="115"/>
      <c r="C133" s="116"/>
      <c r="D133" s="2"/>
      <c r="E133" s="127"/>
      <c r="F133" s="99"/>
      <c r="G133" s="87"/>
      <c r="H133" s="29"/>
      <c r="I133" s="98"/>
      <c r="J133" s="117"/>
      <c r="K133" s="117"/>
      <c r="L133" s="6"/>
      <c r="M133" s="7"/>
      <c r="N133" s="7"/>
      <c r="O133" s="7"/>
      <c r="P133" s="102"/>
      <c r="Q133" s="6"/>
      <c r="R133" s="102"/>
      <c r="S133" s="6"/>
      <c r="T133" s="102"/>
      <c r="U133" s="6"/>
      <c r="V133" s="102"/>
      <c r="W133" s="6"/>
      <c r="X133" s="6"/>
      <c r="Y133" s="6"/>
      <c r="Z133" s="6"/>
      <c r="AA133" s="6"/>
      <c r="AB133" s="6"/>
      <c r="AC133" s="102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102"/>
      <c r="AU133" s="6"/>
      <c r="AV133" s="6"/>
      <c r="AW133" s="102"/>
      <c r="AX133" s="99"/>
      <c r="AY133" s="7"/>
      <c r="AZ133" s="99"/>
      <c r="BA133" s="102"/>
      <c r="BB133" s="102"/>
      <c r="BC133" s="102"/>
      <c r="BD133" s="6"/>
      <c r="BE133" s="6"/>
      <c r="BF133" s="6"/>
      <c r="BG133" s="6"/>
      <c r="BH133" s="6"/>
      <c r="BI133" s="102"/>
      <c r="BJ133" s="6"/>
      <c r="BK133" s="6"/>
      <c r="BL133" s="6"/>
      <c r="BM133" s="102"/>
      <c r="BN133" s="99"/>
      <c r="BO133" s="100"/>
      <c r="BP133" s="100"/>
      <c r="BQ133" s="100"/>
      <c r="BR133" s="102"/>
      <c r="BS133" s="6"/>
      <c r="BT133" s="6"/>
      <c r="BU133" s="6"/>
      <c r="BV133" s="6"/>
    </row>
    <row r="134" spans="1:74" s="101" customFormat="1" x14ac:dyDescent="0.25">
      <c r="A134" s="98"/>
      <c r="B134" s="115"/>
      <c r="C134" s="116"/>
      <c r="D134" s="2"/>
      <c r="E134" s="127"/>
      <c r="F134" s="99"/>
      <c r="G134" s="87"/>
      <c r="H134" s="29"/>
      <c r="I134" s="98"/>
      <c r="J134" s="117"/>
      <c r="K134" s="117"/>
      <c r="L134" s="6"/>
      <c r="M134" s="7"/>
      <c r="N134" s="7"/>
      <c r="O134" s="7"/>
      <c r="P134" s="102"/>
      <c r="Q134" s="6"/>
      <c r="R134" s="102"/>
      <c r="S134" s="6"/>
      <c r="T134" s="102"/>
      <c r="U134" s="6"/>
      <c r="V134" s="102"/>
      <c r="W134" s="6"/>
      <c r="X134" s="6"/>
      <c r="Y134" s="6"/>
      <c r="Z134" s="6"/>
      <c r="AA134" s="6"/>
      <c r="AB134" s="6"/>
      <c r="AC134" s="102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102"/>
      <c r="AU134" s="6"/>
      <c r="AV134" s="6"/>
      <c r="AW134" s="102"/>
      <c r="AX134" s="99"/>
      <c r="AY134" s="7"/>
      <c r="AZ134" s="99"/>
      <c r="BA134" s="102"/>
      <c r="BB134" s="102"/>
      <c r="BC134" s="102"/>
      <c r="BD134" s="6"/>
      <c r="BE134" s="6"/>
      <c r="BF134" s="6"/>
      <c r="BG134" s="6"/>
      <c r="BH134" s="6"/>
      <c r="BI134" s="102"/>
      <c r="BJ134" s="6"/>
      <c r="BK134" s="6"/>
      <c r="BL134" s="6"/>
      <c r="BM134" s="102"/>
      <c r="BN134" s="99"/>
      <c r="BO134" s="100"/>
      <c r="BP134" s="100"/>
      <c r="BQ134" s="100"/>
      <c r="BR134" s="102"/>
      <c r="BS134" s="6"/>
      <c r="BT134" s="6"/>
      <c r="BU134" s="6"/>
      <c r="BV134" s="6"/>
    </row>
    <row r="135" spans="1:74" s="101" customFormat="1" x14ac:dyDescent="0.25">
      <c r="A135" s="98"/>
      <c r="B135" s="115"/>
      <c r="C135" s="116"/>
      <c r="D135" s="2"/>
      <c r="E135" s="127"/>
      <c r="F135" s="99"/>
      <c r="G135" s="87"/>
      <c r="H135" s="29"/>
      <c r="I135" s="98"/>
      <c r="J135" s="117"/>
      <c r="K135" s="117"/>
      <c r="L135" s="6"/>
      <c r="M135" s="7"/>
      <c r="N135" s="7"/>
      <c r="O135" s="7"/>
      <c r="P135" s="102"/>
      <c r="Q135" s="6"/>
      <c r="R135" s="102"/>
      <c r="S135" s="6"/>
      <c r="T135" s="102"/>
      <c r="U135" s="6"/>
      <c r="V135" s="102"/>
      <c r="W135" s="6"/>
      <c r="X135" s="6"/>
      <c r="Y135" s="6"/>
      <c r="Z135" s="6"/>
      <c r="AA135" s="6"/>
      <c r="AB135" s="6"/>
      <c r="AC135" s="102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102"/>
      <c r="AU135" s="6"/>
      <c r="AV135" s="6"/>
      <c r="AW135" s="102"/>
      <c r="AX135" s="99"/>
      <c r="AY135" s="7"/>
      <c r="AZ135" s="99"/>
      <c r="BA135" s="102"/>
      <c r="BB135" s="102"/>
      <c r="BC135" s="102"/>
      <c r="BD135" s="6"/>
      <c r="BE135" s="6"/>
      <c r="BF135" s="6"/>
      <c r="BG135" s="6"/>
      <c r="BH135" s="6"/>
      <c r="BI135" s="102"/>
      <c r="BJ135" s="6"/>
      <c r="BK135" s="6"/>
      <c r="BL135" s="6"/>
      <c r="BM135" s="102"/>
      <c r="BN135" s="99"/>
      <c r="BO135" s="100"/>
      <c r="BP135" s="100"/>
      <c r="BQ135" s="100"/>
      <c r="BR135" s="102"/>
      <c r="BS135" s="6"/>
      <c r="BT135" s="6"/>
      <c r="BU135" s="6"/>
      <c r="BV135" s="6"/>
    </row>
    <row r="136" spans="1:74" s="101" customFormat="1" x14ac:dyDescent="0.25">
      <c r="A136" s="98"/>
      <c r="B136" s="115"/>
      <c r="C136" s="116"/>
      <c r="D136" s="2"/>
      <c r="E136" s="127"/>
      <c r="F136" s="99"/>
      <c r="G136" s="87"/>
      <c r="H136" s="29"/>
      <c r="I136" s="98"/>
      <c r="J136" s="117"/>
      <c r="K136" s="117"/>
      <c r="L136" s="6"/>
      <c r="M136" s="7"/>
      <c r="N136" s="7"/>
      <c r="O136" s="7"/>
      <c r="P136" s="102"/>
      <c r="Q136" s="6"/>
      <c r="R136" s="102"/>
      <c r="S136" s="6"/>
      <c r="T136" s="102"/>
      <c r="U136" s="6"/>
      <c r="V136" s="102"/>
      <c r="W136" s="6"/>
      <c r="X136" s="6"/>
      <c r="Y136" s="6"/>
      <c r="Z136" s="6"/>
      <c r="AA136" s="6"/>
      <c r="AB136" s="6"/>
      <c r="AC136" s="102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102"/>
      <c r="AU136" s="6"/>
      <c r="AV136" s="6"/>
      <c r="AW136" s="102"/>
      <c r="AX136" s="99"/>
      <c r="AY136" s="7"/>
      <c r="AZ136" s="99"/>
      <c r="BA136" s="102"/>
      <c r="BB136" s="102"/>
      <c r="BC136" s="102"/>
      <c r="BD136" s="6"/>
      <c r="BE136" s="6"/>
      <c r="BF136" s="6"/>
      <c r="BG136" s="6"/>
      <c r="BH136" s="6"/>
      <c r="BI136" s="102"/>
      <c r="BJ136" s="6"/>
      <c r="BK136" s="6"/>
      <c r="BL136" s="6"/>
      <c r="BM136" s="102"/>
      <c r="BN136" s="99"/>
      <c r="BO136" s="100"/>
      <c r="BP136" s="100"/>
      <c r="BQ136" s="100"/>
      <c r="BR136" s="102"/>
      <c r="BS136" s="6"/>
      <c r="BT136" s="6"/>
      <c r="BU136" s="6"/>
      <c r="BV136" s="6"/>
    </row>
    <row r="137" spans="1:74" s="101" customFormat="1" x14ac:dyDescent="0.25">
      <c r="A137" s="98"/>
      <c r="B137" s="115"/>
      <c r="C137" s="116"/>
      <c r="D137" s="4"/>
      <c r="E137" s="127"/>
      <c r="F137" s="99"/>
      <c r="G137" s="87"/>
      <c r="H137" s="29"/>
      <c r="I137" s="98"/>
      <c r="J137" s="117"/>
      <c r="K137" s="117"/>
      <c r="L137" s="6"/>
      <c r="M137" s="6"/>
      <c r="N137" s="6"/>
      <c r="O137" s="6"/>
      <c r="P137" s="99"/>
      <c r="Q137" s="6"/>
      <c r="R137" s="99"/>
      <c r="S137" s="6"/>
      <c r="T137" s="6"/>
      <c r="U137" s="6"/>
      <c r="V137" s="99"/>
      <c r="W137" s="6"/>
      <c r="X137" s="6"/>
      <c r="Y137" s="6"/>
      <c r="Z137" s="6"/>
      <c r="AA137" s="6"/>
      <c r="AB137" s="6"/>
      <c r="AC137" s="99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99"/>
      <c r="AU137" s="6"/>
      <c r="AV137" s="6"/>
      <c r="AW137" s="99"/>
      <c r="AX137" s="99"/>
      <c r="AY137" s="6"/>
      <c r="AZ137" s="99"/>
      <c r="BA137" s="99"/>
      <c r="BB137" s="99"/>
      <c r="BC137" s="99"/>
      <c r="BD137" s="6"/>
      <c r="BE137" s="6"/>
      <c r="BF137" s="6"/>
      <c r="BG137" s="6"/>
      <c r="BH137" s="6"/>
      <c r="BI137" s="99"/>
      <c r="BJ137" s="6"/>
      <c r="BK137" s="6"/>
      <c r="BL137" s="6"/>
      <c r="BM137" s="99"/>
      <c r="BN137" s="99"/>
      <c r="BO137" s="100"/>
      <c r="BP137" s="100"/>
      <c r="BQ137" s="100"/>
      <c r="BR137" s="99"/>
      <c r="BS137" s="6"/>
      <c r="BT137" s="6"/>
      <c r="BU137" s="6"/>
      <c r="BV137" s="6"/>
    </row>
    <row r="138" spans="1:74" s="101" customFormat="1" x14ac:dyDescent="0.25">
      <c r="A138" s="98"/>
      <c r="B138" s="115"/>
      <c r="C138" s="116"/>
      <c r="D138" s="2"/>
      <c r="E138" s="127"/>
      <c r="F138" s="99"/>
      <c r="G138" s="87"/>
      <c r="H138" s="29"/>
      <c r="I138" s="98"/>
      <c r="J138" s="117"/>
      <c r="K138" s="117"/>
      <c r="L138" s="6"/>
      <c r="M138" s="7"/>
      <c r="N138" s="7"/>
      <c r="O138" s="7"/>
      <c r="P138" s="102"/>
      <c r="Q138" s="6"/>
      <c r="R138" s="102"/>
      <c r="S138" s="6"/>
      <c r="T138" s="102"/>
      <c r="U138" s="6"/>
      <c r="V138" s="102"/>
      <c r="W138" s="6"/>
      <c r="X138" s="6"/>
      <c r="Y138" s="6"/>
      <c r="Z138" s="6"/>
      <c r="AA138" s="6"/>
      <c r="AB138" s="6"/>
      <c r="AC138" s="102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102"/>
      <c r="AU138" s="6"/>
      <c r="AV138" s="6"/>
      <c r="AW138" s="102"/>
      <c r="AX138" s="99"/>
      <c r="AY138" s="6"/>
      <c r="AZ138" s="99"/>
      <c r="BA138" s="102"/>
      <c r="BB138" s="102"/>
      <c r="BC138" s="102"/>
      <c r="BD138" s="6"/>
      <c r="BE138" s="6"/>
      <c r="BF138" s="6"/>
      <c r="BG138" s="6"/>
      <c r="BH138" s="6"/>
      <c r="BI138" s="102"/>
      <c r="BJ138" s="6"/>
      <c r="BK138" s="6"/>
      <c r="BL138" s="6"/>
      <c r="BM138" s="102"/>
      <c r="BN138" s="99"/>
      <c r="BO138" s="100"/>
      <c r="BP138" s="100"/>
      <c r="BQ138" s="100"/>
      <c r="BR138" s="102"/>
      <c r="BS138" s="6"/>
      <c r="BT138" s="6"/>
      <c r="BU138" s="6"/>
      <c r="BV138" s="6"/>
    </row>
    <row r="139" spans="1:74" s="101" customFormat="1" x14ac:dyDescent="0.25">
      <c r="A139" s="98"/>
      <c r="B139" s="115"/>
      <c r="C139" s="116"/>
      <c r="D139" s="2"/>
      <c r="E139" s="127"/>
      <c r="F139" s="99"/>
      <c r="G139" s="87"/>
      <c r="H139" s="29"/>
      <c r="I139" s="98"/>
      <c r="J139" s="117"/>
      <c r="K139" s="117"/>
      <c r="L139" s="6"/>
      <c r="M139" s="7"/>
      <c r="N139" s="7"/>
      <c r="O139" s="7"/>
      <c r="P139" s="102"/>
      <c r="Q139" s="6"/>
      <c r="R139" s="102"/>
      <c r="S139" s="6"/>
      <c r="T139" s="102"/>
      <c r="U139" s="6"/>
      <c r="V139" s="102"/>
      <c r="W139" s="6"/>
      <c r="X139" s="6"/>
      <c r="Y139" s="6"/>
      <c r="Z139" s="6"/>
      <c r="AA139" s="6"/>
      <c r="AB139" s="6"/>
      <c r="AC139" s="102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102"/>
      <c r="AU139" s="6"/>
      <c r="AV139" s="6"/>
      <c r="AW139" s="102"/>
      <c r="AX139" s="99"/>
      <c r="AY139" s="7"/>
      <c r="AZ139" s="99"/>
      <c r="BA139" s="102"/>
      <c r="BB139" s="102"/>
      <c r="BC139" s="102"/>
      <c r="BD139" s="6"/>
      <c r="BE139" s="6"/>
      <c r="BF139" s="6"/>
      <c r="BG139" s="6"/>
      <c r="BH139" s="6"/>
      <c r="BI139" s="102"/>
      <c r="BJ139" s="6"/>
      <c r="BK139" s="6"/>
      <c r="BL139" s="6"/>
      <c r="BM139" s="102"/>
      <c r="BN139" s="99"/>
      <c r="BO139" s="100"/>
      <c r="BP139" s="100"/>
      <c r="BQ139" s="100"/>
      <c r="BR139" s="102"/>
      <c r="BS139" s="6"/>
      <c r="BT139" s="6"/>
      <c r="BU139" s="6"/>
      <c r="BV139" s="6"/>
    </row>
    <row r="140" spans="1:74" s="101" customFormat="1" x14ac:dyDescent="0.25">
      <c r="A140" s="98"/>
      <c r="B140" s="115"/>
      <c r="C140" s="116"/>
      <c r="D140" s="2"/>
      <c r="E140" s="127"/>
      <c r="F140" s="99"/>
      <c r="G140" s="87"/>
      <c r="H140" s="29"/>
      <c r="I140" s="98"/>
      <c r="J140" s="117"/>
      <c r="K140" s="117"/>
      <c r="L140" s="6"/>
      <c r="M140" s="7"/>
      <c r="N140" s="7"/>
      <c r="O140" s="7"/>
      <c r="P140" s="102"/>
      <c r="Q140" s="6"/>
      <c r="R140" s="102"/>
      <c r="S140" s="6"/>
      <c r="T140" s="102"/>
      <c r="U140" s="6"/>
      <c r="V140" s="102"/>
      <c r="W140" s="6"/>
      <c r="X140" s="6"/>
      <c r="Y140" s="6"/>
      <c r="Z140" s="6"/>
      <c r="AA140" s="6"/>
      <c r="AB140" s="6"/>
      <c r="AC140" s="102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102"/>
      <c r="AU140" s="6"/>
      <c r="AV140" s="6"/>
      <c r="AW140" s="102"/>
      <c r="AX140" s="99"/>
      <c r="AY140" s="7"/>
      <c r="AZ140" s="99"/>
      <c r="BA140" s="102"/>
      <c r="BB140" s="102"/>
      <c r="BC140" s="102"/>
      <c r="BD140" s="6"/>
      <c r="BE140" s="6"/>
      <c r="BF140" s="6"/>
      <c r="BG140" s="6"/>
      <c r="BH140" s="6"/>
      <c r="BI140" s="102"/>
      <c r="BJ140" s="6"/>
      <c r="BK140" s="6"/>
      <c r="BL140" s="6"/>
      <c r="BM140" s="102"/>
      <c r="BN140" s="99"/>
      <c r="BO140" s="100"/>
      <c r="BP140" s="100"/>
      <c r="BQ140" s="100"/>
      <c r="BR140" s="102"/>
      <c r="BS140" s="6"/>
      <c r="BT140" s="6"/>
      <c r="BU140" s="6"/>
      <c r="BV140" s="6"/>
    </row>
    <row r="141" spans="1:74" s="101" customFormat="1" x14ac:dyDescent="0.25">
      <c r="A141" s="98"/>
      <c r="B141" s="115"/>
      <c r="C141" s="116"/>
      <c r="D141" s="2"/>
      <c r="E141" s="127"/>
      <c r="F141" s="99"/>
      <c r="G141" s="87"/>
      <c r="H141" s="29"/>
      <c r="I141" s="98"/>
      <c r="J141" s="117"/>
      <c r="K141" s="117"/>
      <c r="L141" s="6"/>
      <c r="M141" s="7"/>
      <c r="N141" s="7"/>
      <c r="O141" s="7"/>
      <c r="P141" s="102"/>
      <c r="Q141" s="6"/>
      <c r="R141" s="102"/>
      <c r="S141" s="6"/>
      <c r="T141" s="102"/>
      <c r="U141" s="6"/>
      <c r="V141" s="102"/>
      <c r="W141" s="6"/>
      <c r="X141" s="6"/>
      <c r="Y141" s="6"/>
      <c r="Z141" s="6"/>
      <c r="AA141" s="6"/>
      <c r="AB141" s="6"/>
      <c r="AC141" s="102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102"/>
      <c r="AU141" s="6"/>
      <c r="AV141" s="6"/>
      <c r="AW141" s="102"/>
      <c r="AX141" s="99"/>
      <c r="AY141" s="7"/>
      <c r="AZ141" s="99"/>
      <c r="BA141" s="102"/>
      <c r="BB141" s="102"/>
      <c r="BC141" s="102"/>
      <c r="BD141" s="6"/>
      <c r="BE141" s="6"/>
      <c r="BF141" s="6"/>
      <c r="BG141" s="6"/>
      <c r="BH141" s="6"/>
      <c r="BI141" s="102"/>
      <c r="BJ141" s="6"/>
      <c r="BK141" s="6"/>
      <c r="BL141" s="6"/>
      <c r="BM141" s="102"/>
      <c r="BN141" s="99"/>
      <c r="BO141" s="100"/>
      <c r="BP141" s="100"/>
      <c r="BQ141" s="100"/>
      <c r="BR141" s="102"/>
      <c r="BS141" s="6"/>
      <c r="BT141" s="6"/>
      <c r="BU141" s="6"/>
      <c r="BV141" s="6"/>
    </row>
    <row r="142" spans="1:74" s="101" customFormat="1" x14ac:dyDescent="0.25">
      <c r="A142" s="98"/>
      <c r="B142" s="115"/>
      <c r="C142" s="116"/>
      <c r="D142" s="2"/>
      <c r="E142" s="127"/>
      <c r="F142" s="99"/>
      <c r="G142" s="87"/>
      <c r="H142" s="29"/>
      <c r="I142" s="98"/>
      <c r="J142" s="117"/>
      <c r="K142" s="117"/>
      <c r="L142" s="6"/>
      <c r="M142" s="7"/>
      <c r="N142" s="7"/>
      <c r="O142" s="7"/>
      <c r="P142" s="102"/>
      <c r="Q142" s="6"/>
      <c r="R142" s="102"/>
      <c r="S142" s="6"/>
      <c r="T142" s="102"/>
      <c r="U142" s="6"/>
      <c r="V142" s="102"/>
      <c r="W142" s="6"/>
      <c r="X142" s="6"/>
      <c r="Y142" s="6"/>
      <c r="Z142" s="6"/>
      <c r="AA142" s="6"/>
      <c r="AB142" s="6"/>
      <c r="AC142" s="102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102"/>
      <c r="AU142" s="6"/>
      <c r="AV142" s="6"/>
      <c r="AW142" s="102"/>
      <c r="AX142" s="99"/>
      <c r="AY142" s="7"/>
      <c r="AZ142" s="99"/>
      <c r="BA142" s="102"/>
      <c r="BB142" s="102"/>
      <c r="BC142" s="102"/>
      <c r="BD142" s="6"/>
      <c r="BE142" s="6"/>
      <c r="BF142" s="6"/>
      <c r="BG142" s="6"/>
      <c r="BH142" s="6"/>
      <c r="BI142" s="102"/>
      <c r="BJ142" s="6"/>
      <c r="BK142" s="6"/>
      <c r="BL142" s="6"/>
      <c r="BM142" s="102"/>
      <c r="BN142" s="99"/>
      <c r="BO142" s="100"/>
      <c r="BP142" s="100"/>
      <c r="BQ142" s="100"/>
      <c r="BR142" s="102"/>
      <c r="BS142" s="6"/>
      <c r="BT142" s="6"/>
      <c r="BU142" s="6"/>
      <c r="BV142" s="6"/>
    </row>
    <row r="143" spans="1:74" s="101" customFormat="1" x14ac:dyDescent="0.25">
      <c r="A143" s="98"/>
      <c r="B143" s="115"/>
      <c r="C143" s="116"/>
      <c r="D143" s="2"/>
      <c r="E143" s="127"/>
      <c r="F143" s="99"/>
      <c r="G143" s="87"/>
      <c r="H143" s="29"/>
      <c r="I143" s="98"/>
      <c r="J143" s="117"/>
      <c r="K143" s="117"/>
      <c r="L143" s="6"/>
      <c r="M143" s="7"/>
      <c r="N143" s="7"/>
      <c r="O143" s="7"/>
      <c r="P143" s="102"/>
      <c r="Q143" s="6"/>
      <c r="R143" s="102"/>
      <c r="S143" s="6"/>
      <c r="T143" s="102"/>
      <c r="U143" s="6"/>
      <c r="V143" s="102"/>
      <c r="W143" s="6"/>
      <c r="X143" s="6"/>
      <c r="Y143" s="6"/>
      <c r="Z143" s="6"/>
      <c r="AA143" s="6"/>
      <c r="AB143" s="6"/>
      <c r="AC143" s="102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102"/>
      <c r="AU143" s="6"/>
      <c r="AV143" s="6"/>
      <c r="AW143" s="102"/>
      <c r="AX143" s="99"/>
      <c r="AY143" s="7"/>
      <c r="AZ143" s="99"/>
      <c r="BA143" s="102"/>
      <c r="BB143" s="102"/>
      <c r="BC143" s="102"/>
      <c r="BD143" s="6"/>
      <c r="BE143" s="6"/>
      <c r="BF143" s="6"/>
      <c r="BG143" s="6"/>
      <c r="BH143" s="6"/>
      <c r="BI143" s="102"/>
      <c r="BJ143" s="6"/>
      <c r="BK143" s="6"/>
      <c r="BL143" s="6"/>
      <c r="BM143" s="102"/>
      <c r="BN143" s="99"/>
      <c r="BO143" s="100"/>
      <c r="BP143" s="100"/>
      <c r="BQ143" s="100"/>
      <c r="BR143" s="102"/>
      <c r="BS143" s="6"/>
      <c r="BT143" s="6"/>
      <c r="BU143" s="6"/>
      <c r="BV143" s="6"/>
    </row>
    <row r="144" spans="1:74" s="101" customFormat="1" x14ac:dyDescent="0.25">
      <c r="A144" s="98"/>
      <c r="B144" s="115"/>
      <c r="C144" s="116"/>
      <c r="D144" s="2"/>
      <c r="E144" s="127"/>
      <c r="F144" s="99"/>
      <c r="G144" s="87"/>
      <c r="H144" s="29"/>
      <c r="I144" s="98"/>
      <c r="J144" s="117"/>
      <c r="K144" s="117"/>
      <c r="L144" s="6"/>
      <c r="M144" s="7"/>
      <c r="N144" s="7"/>
      <c r="O144" s="7"/>
      <c r="P144" s="102"/>
      <c r="Q144" s="6"/>
      <c r="R144" s="102"/>
      <c r="S144" s="6"/>
      <c r="T144" s="102"/>
      <c r="U144" s="6"/>
      <c r="V144" s="102"/>
      <c r="W144" s="6"/>
      <c r="X144" s="6"/>
      <c r="Y144" s="6"/>
      <c r="Z144" s="6"/>
      <c r="AA144" s="6"/>
      <c r="AB144" s="6"/>
      <c r="AC144" s="102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102"/>
      <c r="AU144" s="6"/>
      <c r="AV144" s="6"/>
      <c r="AW144" s="102"/>
      <c r="AX144" s="99"/>
      <c r="AY144" s="7"/>
      <c r="AZ144" s="99"/>
      <c r="BA144" s="102"/>
      <c r="BB144" s="102"/>
      <c r="BC144" s="102"/>
      <c r="BD144" s="6"/>
      <c r="BE144" s="6"/>
      <c r="BF144" s="6"/>
      <c r="BG144" s="6"/>
      <c r="BH144" s="6"/>
      <c r="BI144" s="102"/>
      <c r="BJ144" s="6"/>
      <c r="BK144" s="6"/>
      <c r="BL144" s="6"/>
      <c r="BM144" s="102"/>
      <c r="BN144" s="99"/>
      <c r="BO144" s="100"/>
      <c r="BP144" s="100"/>
      <c r="BQ144" s="100"/>
      <c r="BR144" s="102"/>
      <c r="BS144" s="6"/>
      <c r="BT144" s="6"/>
      <c r="BU144" s="6"/>
      <c r="BV144" s="6"/>
    </row>
    <row r="145" spans="1:74" s="101" customFormat="1" x14ac:dyDescent="0.25">
      <c r="A145" s="98"/>
      <c r="B145" s="115"/>
      <c r="C145" s="116"/>
      <c r="D145" s="2"/>
      <c r="E145" s="127"/>
      <c r="F145" s="99"/>
      <c r="G145" s="87"/>
      <c r="H145" s="29"/>
      <c r="I145" s="98"/>
      <c r="J145" s="117"/>
      <c r="K145" s="117"/>
      <c r="L145" s="6"/>
      <c r="M145" s="7"/>
      <c r="N145" s="7"/>
      <c r="O145" s="7"/>
      <c r="P145" s="102"/>
      <c r="Q145" s="6"/>
      <c r="R145" s="102"/>
      <c r="S145" s="6"/>
      <c r="T145" s="102"/>
      <c r="U145" s="6"/>
      <c r="V145" s="102"/>
      <c r="W145" s="6"/>
      <c r="X145" s="6"/>
      <c r="Y145" s="6"/>
      <c r="Z145" s="6"/>
      <c r="AA145" s="6"/>
      <c r="AB145" s="6"/>
      <c r="AC145" s="102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102"/>
      <c r="AU145" s="6"/>
      <c r="AV145" s="6"/>
      <c r="AW145" s="102"/>
      <c r="AX145" s="99"/>
      <c r="AY145" s="7"/>
      <c r="AZ145" s="99"/>
      <c r="BA145" s="102"/>
      <c r="BB145" s="102"/>
      <c r="BC145" s="102"/>
      <c r="BD145" s="6"/>
      <c r="BE145" s="6"/>
      <c r="BF145" s="6"/>
      <c r="BG145" s="6"/>
      <c r="BH145" s="6"/>
      <c r="BI145" s="102"/>
      <c r="BJ145" s="6"/>
      <c r="BK145" s="6"/>
      <c r="BL145" s="6"/>
      <c r="BM145" s="102"/>
      <c r="BN145" s="99"/>
      <c r="BO145" s="100"/>
      <c r="BP145" s="100"/>
      <c r="BQ145" s="100"/>
      <c r="BR145" s="102"/>
      <c r="BS145" s="6"/>
      <c r="BT145" s="6"/>
      <c r="BU145" s="6"/>
      <c r="BV145" s="6"/>
    </row>
    <row r="146" spans="1:74" s="101" customFormat="1" x14ac:dyDescent="0.25">
      <c r="A146" s="98"/>
      <c r="B146" s="115"/>
      <c r="C146" s="116"/>
      <c r="D146" s="2"/>
      <c r="E146" s="127"/>
      <c r="F146" s="99"/>
      <c r="G146" s="87"/>
      <c r="H146" s="29"/>
      <c r="I146" s="98"/>
      <c r="J146" s="117"/>
      <c r="K146" s="117"/>
      <c r="L146" s="6"/>
      <c r="M146" s="7"/>
      <c r="N146" s="7"/>
      <c r="O146" s="7"/>
      <c r="P146" s="102"/>
      <c r="Q146" s="6"/>
      <c r="R146" s="102"/>
      <c r="S146" s="6"/>
      <c r="T146" s="102"/>
      <c r="U146" s="6"/>
      <c r="V146" s="102"/>
      <c r="W146" s="6"/>
      <c r="X146" s="6"/>
      <c r="Y146" s="6"/>
      <c r="Z146" s="6"/>
      <c r="AA146" s="6"/>
      <c r="AB146" s="6"/>
      <c r="AC146" s="102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102"/>
      <c r="AU146" s="6"/>
      <c r="AV146" s="6"/>
      <c r="AW146" s="102"/>
      <c r="AX146" s="99"/>
      <c r="AY146" s="7"/>
      <c r="AZ146" s="99"/>
      <c r="BA146" s="102"/>
      <c r="BB146" s="102"/>
      <c r="BC146" s="102"/>
      <c r="BD146" s="6"/>
      <c r="BE146" s="6"/>
      <c r="BF146" s="6"/>
      <c r="BG146" s="6"/>
      <c r="BH146" s="6"/>
      <c r="BI146" s="102"/>
      <c r="BJ146" s="6"/>
      <c r="BK146" s="6"/>
      <c r="BL146" s="6"/>
      <c r="BM146" s="102"/>
      <c r="BN146" s="99"/>
      <c r="BO146" s="100"/>
      <c r="BP146" s="100"/>
      <c r="BQ146" s="100"/>
      <c r="BR146" s="102"/>
      <c r="BS146" s="6"/>
      <c r="BT146" s="6"/>
      <c r="BU146" s="6"/>
      <c r="BV146" s="6"/>
    </row>
    <row r="147" spans="1:74" s="101" customFormat="1" x14ac:dyDescent="0.25">
      <c r="A147" s="98"/>
      <c r="B147" s="115"/>
      <c r="C147" s="116"/>
      <c r="D147" s="2"/>
      <c r="E147" s="127"/>
      <c r="F147" s="99"/>
      <c r="G147" s="87"/>
      <c r="H147" s="29"/>
      <c r="I147" s="98"/>
      <c r="J147" s="117"/>
      <c r="K147" s="117"/>
      <c r="L147" s="6"/>
      <c r="M147" s="7"/>
      <c r="N147" s="7"/>
      <c r="O147" s="7"/>
      <c r="P147" s="102"/>
      <c r="Q147" s="6"/>
      <c r="R147" s="102"/>
      <c r="S147" s="6"/>
      <c r="T147" s="102"/>
      <c r="U147" s="6"/>
      <c r="V147" s="102"/>
      <c r="W147" s="6"/>
      <c r="X147" s="6"/>
      <c r="Y147" s="6"/>
      <c r="Z147" s="6"/>
      <c r="AA147" s="6"/>
      <c r="AB147" s="6"/>
      <c r="AC147" s="102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102"/>
      <c r="AU147" s="6"/>
      <c r="AV147" s="6"/>
      <c r="AW147" s="102"/>
      <c r="AX147" s="99"/>
      <c r="AY147" s="7"/>
      <c r="AZ147" s="99"/>
      <c r="BA147" s="102"/>
      <c r="BB147" s="102"/>
      <c r="BC147" s="102"/>
      <c r="BD147" s="6"/>
      <c r="BE147" s="6"/>
      <c r="BF147" s="6"/>
      <c r="BG147" s="6"/>
      <c r="BH147" s="6"/>
      <c r="BI147" s="102"/>
      <c r="BJ147" s="6"/>
      <c r="BK147" s="6"/>
      <c r="BL147" s="6"/>
      <c r="BM147" s="102"/>
      <c r="BN147" s="99"/>
      <c r="BO147" s="100"/>
      <c r="BP147" s="100"/>
      <c r="BQ147" s="100"/>
      <c r="BR147" s="102"/>
      <c r="BS147" s="6"/>
      <c r="BT147" s="6"/>
      <c r="BU147" s="6"/>
      <c r="BV147" s="6"/>
    </row>
    <row r="148" spans="1:74" s="101" customFormat="1" x14ac:dyDescent="0.25">
      <c r="A148" s="98"/>
      <c r="B148" s="115"/>
      <c r="C148" s="116"/>
      <c r="D148" s="2"/>
      <c r="E148" s="127"/>
      <c r="F148" s="99"/>
      <c r="G148" s="87"/>
      <c r="H148" s="29"/>
      <c r="I148" s="98"/>
      <c r="J148" s="117"/>
      <c r="K148" s="117"/>
      <c r="L148" s="6"/>
      <c r="M148" s="7"/>
      <c r="N148" s="7"/>
      <c r="O148" s="7"/>
      <c r="P148" s="102"/>
      <c r="Q148" s="6"/>
      <c r="R148" s="102"/>
      <c r="S148" s="6"/>
      <c r="T148" s="102"/>
      <c r="U148" s="6"/>
      <c r="V148" s="102"/>
      <c r="W148" s="6"/>
      <c r="X148" s="6"/>
      <c r="Y148" s="6"/>
      <c r="Z148" s="6"/>
      <c r="AA148" s="6"/>
      <c r="AB148" s="6"/>
      <c r="AC148" s="102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102"/>
      <c r="AU148" s="6"/>
      <c r="AV148" s="6"/>
      <c r="AW148" s="102"/>
      <c r="AX148" s="99"/>
      <c r="AY148" s="7"/>
      <c r="AZ148" s="99"/>
      <c r="BA148" s="102"/>
      <c r="BB148" s="102"/>
      <c r="BC148" s="102"/>
      <c r="BD148" s="6"/>
      <c r="BE148" s="6"/>
      <c r="BF148" s="6"/>
      <c r="BG148" s="6"/>
      <c r="BH148" s="6"/>
      <c r="BI148" s="102"/>
      <c r="BJ148" s="6"/>
      <c r="BK148" s="6"/>
      <c r="BL148" s="6"/>
      <c r="BM148" s="102"/>
      <c r="BN148" s="99"/>
      <c r="BO148" s="100"/>
      <c r="BP148" s="100"/>
      <c r="BQ148" s="100"/>
      <c r="BR148" s="102"/>
      <c r="BS148" s="6"/>
      <c r="BT148" s="6"/>
      <c r="BU148" s="6"/>
      <c r="BV148" s="6"/>
    </row>
    <row r="149" spans="1:74" s="101" customFormat="1" x14ac:dyDescent="0.25">
      <c r="A149" s="98"/>
      <c r="B149" s="115"/>
      <c r="C149" s="116"/>
      <c r="D149" s="2"/>
      <c r="E149" s="127"/>
      <c r="F149" s="99"/>
      <c r="G149" s="87"/>
      <c r="H149" s="29"/>
      <c r="I149" s="98"/>
      <c r="J149" s="117"/>
      <c r="K149" s="117"/>
      <c r="L149" s="6"/>
      <c r="M149" s="7"/>
      <c r="N149" s="7"/>
      <c r="O149" s="7"/>
      <c r="P149" s="102"/>
      <c r="Q149" s="6"/>
      <c r="R149" s="102"/>
      <c r="S149" s="6"/>
      <c r="T149" s="102"/>
      <c r="U149" s="6"/>
      <c r="V149" s="102"/>
      <c r="W149" s="6"/>
      <c r="X149" s="6"/>
      <c r="Y149" s="6"/>
      <c r="Z149" s="6"/>
      <c r="AA149" s="6"/>
      <c r="AB149" s="6"/>
      <c r="AC149" s="102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102"/>
      <c r="AU149" s="6"/>
      <c r="AV149" s="6"/>
      <c r="AW149" s="102"/>
      <c r="AX149" s="99"/>
      <c r="AY149" s="7"/>
      <c r="AZ149" s="99"/>
      <c r="BA149" s="102"/>
      <c r="BB149" s="102"/>
      <c r="BC149" s="102"/>
      <c r="BD149" s="6"/>
      <c r="BE149" s="6"/>
      <c r="BF149" s="6"/>
      <c r="BG149" s="6"/>
      <c r="BH149" s="6"/>
      <c r="BI149" s="102"/>
      <c r="BJ149" s="6"/>
      <c r="BK149" s="6"/>
      <c r="BL149" s="6"/>
      <c r="BM149" s="102"/>
      <c r="BN149" s="99"/>
      <c r="BO149" s="100"/>
      <c r="BP149" s="100"/>
      <c r="BQ149" s="100"/>
      <c r="BR149" s="102"/>
      <c r="BS149" s="6"/>
      <c r="BT149" s="6"/>
      <c r="BU149" s="6"/>
      <c r="BV149" s="6"/>
    </row>
    <row r="150" spans="1:74" s="101" customFormat="1" x14ac:dyDescent="0.25">
      <c r="A150" s="98"/>
      <c r="B150" s="115"/>
      <c r="C150" s="116"/>
      <c r="D150" s="2"/>
      <c r="E150" s="127"/>
      <c r="F150" s="99"/>
      <c r="G150" s="87"/>
      <c r="H150" s="29"/>
      <c r="I150" s="98"/>
      <c r="J150" s="117"/>
      <c r="K150" s="117"/>
      <c r="L150" s="6"/>
      <c r="M150" s="7"/>
      <c r="N150" s="7"/>
      <c r="O150" s="7"/>
      <c r="P150" s="102"/>
      <c r="Q150" s="6"/>
      <c r="R150" s="102"/>
      <c r="S150" s="6"/>
      <c r="T150" s="102"/>
      <c r="U150" s="6"/>
      <c r="V150" s="102"/>
      <c r="W150" s="6"/>
      <c r="X150" s="6"/>
      <c r="Y150" s="6"/>
      <c r="Z150" s="6"/>
      <c r="AA150" s="6"/>
      <c r="AB150" s="6"/>
      <c r="AC150" s="102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102"/>
      <c r="AU150" s="6"/>
      <c r="AV150" s="6"/>
      <c r="AW150" s="102"/>
      <c r="AX150" s="99"/>
      <c r="AY150" s="7"/>
      <c r="AZ150" s="99"/>
      <c r="BA150" s="102"/>
      <c r="BB150" s="102"/>
      <c r="BC150" s="102"/>
      <c r="BD150" s="6"/>
      <c r="BE150" s="6"/>
      <c r="BF150" s="6"/>
      <c r="BG150" s="6"/>
      <c r="BH150" s="6"/>
      <c r="BI150" s="102"/>
      <c r="BJ150" s="6"/>
      <c r="BK150" s="6"/>
      <c r="BL150" s="6"/>
      <c r="BM150" s="102"/>
      <c r="BN150" s="99"/>
      <c r="BO150" s="100"/>
      <c r="BP150" s="100"/>
      <c r="BQ150" s="100"/>
      <c r="BR150" s="102"/>
      <c r="BS150" s="6"/>
      <c r="BT150" s="6"/>
      <c r="BU150" s="6"/>
      <c r="BV150" s="6"/>
    </row>
    <row r="151" spans="1:74" s="101" customFormat="1" x14ac:dyDescent="0.25">
      <c r="A151" s="98"/>
      <c r="B151" s="115"/>
      <c r="C151" s="116"/>
      <c r="D151" s="2"/>
      <c r="E151" s="127"/>
      <c r="F151" s="99"/>
      <c r="G151" s="87"/>
      <c r="H151" s="29"/>
      <c r="I151" s="98"/>
      <c r="J151" s="117"/>
      <c r="K151" s="117"/>
      <c r="L151" s="6"/>
      <c r="M151" s="7"/>
      <c r="N151" s="7"/>
      <c r="O151" s="7"/>
      <c r="P151" s="102"/>
      <c r="Q151" s="6"/>
      <c r="R151" s="102"/>
      <c r="S151" s="6"/>
      <c r="T151" s="102"/>
      <c r="U151" s="6"/>
      <c r="V151" s="102"/>
      <c r="W151" s="6"/>
      <c r="X151" s="6"/>
      <c r="Y151" s="6"/>
      <c r="Z151" s="6"/>
      <c r="AA151" s="6"/>
      <c r="AB151" s="6"/>
      <c r="AC151" s="102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102"/>
      <c r="AU151" s="6"/>
      <c r="AV151" s="6"/>
      <c r="AW151" s="102"/>
      <c r="AX151" s="99"/>
      <c r="AY151" s="7"/>
      <c r="AZ151" s="99"/>
      <c r="BA151" s="102"/>
      <c r="BB151" s="102"/>
      <c r="BC151" s="102"/>
      <c r="BD151" s="6"/>
      <c r="BE151" s="6"/>
      <c r="BF151" s="6"/>
      <c r="BG151" s="6"/>
      <c r="BH151" s="6"/>
      <c r="BI151" s="102"/>
      <c r="BJ151" s="6"/>
      <c r="BK151" s="6"/>
      <c r="BL151" s="6"/>
      <c r="BM151" s="102"/>
      <c r="BN151" s="99"/>
      <c r="BO151" s="100"/>
      <c r="BP151" s="100"/>
      <c r="BQ151" s="100"/>
      <c r="BR151" s="102"/>
      <c r="BS151" s="6"/>
      <c r="BT151" s="6"/>
      <c r="BU151" s="6"/>
      <c r="BV151" s="6"/>
    </row>
    <row r="152" spans="1:74" s="101" customFormat="1" x14ac:dyDescent="0.25">
      <c r="A152" s="98"/>
      <c r="B152" s="115"/>
      <c r="C152" s="116"/>
      <c r="D152" s="2"/>
      <c r="E152" s="127"/>
      <c r="F152" s="99"/>
      <c r="G152" s="87"/>
      <c r="H152" s="29"/>
      <c r="I152" s="98"/>
      <c r="J152" s="117"/>
      <c r="K152" s="117"/>
      <c r="L152" s="6"/>
      <c r="M152" s="7"/>
      <c r="N152" s="7"/>
      <c r="O152" s="7"/>
      <c r="P152" s="102"/>
      <c r="Q152" s="6"/>
      <c r="R152" s="102"/>
      <c r="S152" s="6"/>
      <c r="T152" s="102"/>
      <c r="U152" s="6"/>
      <c r="V152" s="102"/>
      <c r="W152" s="6"/>
      <c r="X152" s="6"/>
      <c r="Y152" s="6"/>
      <c r="Z152" s="6"/>
      <c r="AA152" s="6"/>
      <c r="AB152" s="6"/>
      <c r="AC152" s="102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102"/>
      <c r="AU152" s="6"/>
      <c r="AV152" s="6"/>
      <c r="AW152" s="102"/>
      <c r="AX152" s="99"/>
      <c r="AY152" s="7"/>
      <c r="AZ152" s="99"/>
      <c r="BA152" s="102"/>
      <c r="BB152" s="102"/>
      <c r="BC152" s="102"/>
      <c r="BD152" s="6"/>
      <c r="BE152" s="6"/>
      <c r="BF152" s="6"/>
      <c r="BG152" s="6"/>
      <c r="BH152" s="6"/>
      <c r="BI152" s="102"/>
      <c r="BJ152" s="6"/>
      <c r="BK152" s="6"/>
      <c r="BL152" s="6"/>
      <c r="BM152" s="102"/>
      <c r="BN152" s="99"/>
      <c r="BO152" s="100"/>
      <c r="BP152" s="100"/>
      <c r="BQ152" s="100"/>
      <c r="BR152" s="102"/>
      <c r="BS152" s="6"/>
      <c r="BT152" s="6"/>
      <c r="BU152" s="6"/>
      <c r="BV152" s="6"/>
    </row>
    <row r="153" spans="1:74" s="101" customFormat="1" x14ac:dyDescent="0.25">
      <c r="A153" s="98"/>
      <c r="B153" s="115"/>
      <c r="C153" s="116"/>
      <c r="D153" s="2"/>
      <c r="E153" s="127"/>
      <c r="F153" s="99"/>
      <c r="G153" s="87"/>
      <c r="H153" s="29"/>
      <c r="I153" s="98"/>
      <c r="J153" s="117"/>
      <c r="K153" s="117"/>
      <c r="L153" s="6"/>
      <c r="M153" s="7"/>
      <c r="N153" s="7"/>
      <c r="O153" s="7"/>
      <c r="P153" s="102"/>
      <c r="Q153" s="6"/>
      <c r="R153" s="102"/>
      <c r="S153" s="6"/>
      <c r="T153" s="102"/>
      <c r="U153" s="6"/>
      <c r="V153" s="102"/>
      <c r="W153" s="6"/>
      <c r="X153" s="6"/>
      <c r="Y153" s="6"/>
      <c r="Z153" s="6"/>
      <c r="AA153" s="6"/>
      <c r="AB153" s="6"/>
      <c r="AC153" s="102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102"/>
      <c r="AU153" s="6"/>
      <c r="AV153" s="6"/>
      <c r="AW153" s="102"/>
      <c r="AX153" s="99"/>
      <c r="AY153" s="7"/>
      <c r="AZ153" s="99"/>
      <c r="BA153" s="102"/>
      <c r="BB153" s="102"/>
      <c r="BC153" s="102"/>
      <c r="BD153" s="6"/>
      <c r="BE153" s="6"/>
      <c r="BF153" s="6"/>
      <c r="BG153" s="6"/>
      <c r="BH153" s="6"/>
      <c r="BI153" s="102"/>
      <c r="BJ153" s="6"/>
      <c r="BK153" s="6"/>
      <c r="BL153" s="6"/>
      <c r="BM153" s="102"/>
      <c r="BN153" s="99"/>
      <c r="BO153" s="100"/>
      <c r="BP153" s="100"/>
      <c r="BQ153" s="100"/>
      <c r="BR153" s="102"/>
      <c r="BS153" s="6"/>
      <c r="BT153" s="6"/>
      <c r="BU153" s="6"/>
      <c r="BV153" s="6"/>
    </row>
    <row r="154" spans="1:74" s="101" customFormat="1" x14ac:dyDescent="0.25">
      <c r="A154" s="98"/>
      <c r="B154" s="115"/>
      <c r="C154" s="116"/>
      <c r="D154" s="2"/>
      <c r="E154" s="127"/>
      <c r="F154" s="99"/>
      <c r="G154" s="87"/>
      <c r="H154" s="29"/>
      <c r="I154" s="98"/>
      <c r="J154" s="117"/>
      <c r="K154" s="117"/>
      <c r="L154" s="6"/>
      <c r="M154" s="7"/>
      <c r="N154" s="7"/>
      <c r="O154" s="7"/>
      <c r="P154" s="102"/>
      <c r="Q154" s="6"/>
      <c r="R154" s="102"/>
      <c r="S154" s="6"/>
      <c r="T154" s="102"/>
      <c r="U154" s="6"/>
      <c r="V154" s="102"/>
      <c r="W154" s="6"/>
      <c r="X154" s="6"/>
      <c r="Y154" s="6"/>
      <c r="Z154" s="6"/>
      <c r="AA154" s="6"/>
      <c r="AB154" s="6"/>
      <c r="AC154" s="102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102"/>
      <c r="AU154" s="6"/>
      <c r="AV154" s="6"/>
      <c r="AW154" s="102"/>
      <c r="AX154" s="99"/>
      <c r="AY154" s="7"/>
      <c r="AZ154" s="99"/>
      <c r="BA154" s="102"/>
      <c r="BB154" s="102"/>
      <c r="BC154" s="102"/>
      <c r="BD154" s="6"/>
      <c r="BE154" s="6"/>
      <c r="BF154" s="6"/>
      <c r="BG154" s="6"/>
      <c r="BH154" s="6"/>
      <c r="BI154" s="102"/>
      <c r="BJ154" s="6"/>
      <c r="BK154" s="6"/>
      <c r="BL154" s="6"/>
      <c r="BM154" s="102"/>
      <c r="BN154" s="99"/>
      <c r="BO154" s="100"/>
      <c r="BP154" s="100"/>
      <c r="BQ154" s="100"/>
      <c r="BR154" s="102"/>
      <c r="BS154" s="6"/>
      <c r="BT154" s="6"/>
      <c r="BU154" s="6"/>
      <c r="BV154" s="6"/>
    </row>
    <row r="155" spans="1:74" s="101" customFormat="1" x14ac:dyDescent="0.25">
      <c r="A155" s="98"/>
      <c r="B155" s="115"/>
      <c r="C155" s="116"/>
      <c r="D155" s="2"/>
      <c r="E155" s="127"/>
      <c r="F155" s="99"/>
      <c r="G155" s="87"/>
      <c r="H155" s="29"/>
      <c r="I155" s="98"/>
      <c r="J155" s="117"/>
      <c r="K155" s="117"/>
      <c r="L155" s="6"/>
      <c r="M155" s="7"/>
      <c r="N155" s="7"/>
      <c r="O155" s="7"/>
      <c r="P155" s="102"/>
      <c r="Q155" s="6"/>
      <c r="R155" s="102"/>
      <c r="S155" s="6"/>
      <c r="T155" s="102"/>
      <c r="U155" s="6"/>
      <c r="V155" s="102"/>
      <c r="W155" s="6"/>
      <c r="X155" s="6"/>
      <c r="Y155" s="6"/>
      <c r="Z155" s="6"/>
      <c r="AA155" s="6"/>
      <c r="AB155" s="6"/>
      <c r="AC155" s="102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102"/>
      <c r="AU155" s="6"/>
      <c r="AV155" s="6"/>
      <c r="AW155" s="102"/>
      <c r="AX155" s="99"/>
      <c r="AY155" s="7"/>
      <c r="AZ155" s="99"/>
      <c r="BA155" s="102"/>
      <c r="BB155" s="102"/>
      <c r="BC155" s="102"/>
      <c r="BD155" s="6"/>
      <c r="BE155" s="6"/>
      <c r="BF155" s="6"/>
      <c r="BG155" s="6"/>
      <c r="BH155" s="6"/>
      <c r="BI155" s="102"/>
      <c r="BJ155" s="6"/>
      <c r="BK155" s="6"/>
      <c r="BL155" s="6"/>
      <c r="BM155" s="102"/>
      <c r="BN155" s="99"/>
      <c r="BO155" s="100"/>
      <c r="BP155" s="100"/>
      <c r="BQ155" s="100"/>
      <c r="BR155" s="102"/>
      <c r="BS155" s="6"/>
      <c r="BT155" s="6"/>
      <c r="BU155" s="6"/>
      <c r="BV155" s="6"/>
    </row>
    <row r="156" spans="1:74" s="101" customFormat="1" x14ac:dyDescent="0.25">
      <c r="A156" s="98"/>
      <c r="B156" s="115"/>
      <c r="C156" s="116"/>
      <c r="D156" s="2"/>
      <c r="E156" s="127"/>
      <c r="F156" s="99"/>
      <c r="G156" s="87"/>
      <c r="H156" s="29"/>
      <c r="I156" s="98"/>
      <c r="J156" s="117"/>
      <c r="K156" s="117"/>
      <c r="L156" s="6"/>
      <c r="M156" s="7"/>
      <c r="N156" s="7"/>
      <c r="O156" s="7"/>
      <c r="P156" s="102"/>
      <c r="Q156" s="6"/>
      <c r="R156" s="102"/>
      <c r="S156" s="6"/>
      <c r="T156" s="102"/>
      <c r="U156" s="6"/>
      <c r="V156" s="102"/>
      <c r="W156" s="6"/>
      <c r="X156" s="6"/>
      <c r="Y156" s="6"/>
      <c r="Z156" s="6"/>
      <c r="AA156" s="6"/>
      <c r="AB156" s="6"/>
      <c r="AC156" s="102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102"/>
      <c r="AU156" s="6"/>
      <c r="AV156" s="6"/>
      <c r="AW156" s="102"/>
      <c r="AX156" s="99"/>
      <c r="AY156" s="7"/>
      <c r="AZ156" s="99"/>
      <c r="BA156" s="102"/>
      <c r="BB156" s="102"/>
      <c r="BC156" s="102"/>
      <c r="BD156" s="6"/>
      <c r="BE156" s="6"/>
      <c r="BF156" s="6"/>
      <c r="BG156" s="6"/>
      <c r="BH156" s="6"/>
      <c r="BI156" s="102"/>
      <c r="BJ156" s="6"/>
      <c r="BK156" s="6"/>
      <c r="BL156" s="6"/>
      <c r="BM156" s="102"/>
      <c r="BN156" s="99"/>
      <c r="BO156" s="100"/>
      <c r="BP156" s="100"/>
      <c r="BQ156" s="100"/>
      <c r="BR156" s="102"/>
      <c r="BS156" s="6"/>
      <c r="BT156" s="6"/>
      <c r="BU156" s="6"/>
      <c r="BV156" s="6"/>
    </row>
    <row r="157" spans="1:74" s="101" customFormat="1" x14ac:dyDescent="0.25">
      <c r="A157" s="98"/>
      <c r="B157" s="115"/>
      <c r="C157" s="116"/>
      <c r="D157" s="2"/>
      <c r="E157" s="127"/>
      <c r="F157" s="99"/>
      <c r="G157" s="87"/>
      <c r="H157" s="29"/>
      <c r="I157" s="98"/>
      <c r="J157" s="117"/>
      <c r="K157" s="117"/>
      <c r="L157" s="6"/>
      <c r="M157" s="7"/>
      <c r="N157" s="7"/>
      <c r="O157" s="7"/>
      <c r="P157" s="102"/>
      <c r="Q157" s="6"/>
      <c r="R157" s="102"/>
      <c r="S157" s="6"/>
      <c r="T157" s="102"/>
      <c r="U157" s="6"/>
      <c r="V157" s="102"/>
      <c r="W157" s="6"/>
      <c r="X157" s="6"/>
      <c r="Y157" s="6"/>
      <c r="Z157" s="6"/>
      <c r="AA157" s="6"/>
      <c r="AB157" s="6"/>
      <c r="AC157" s="102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102"/>
      <c r="AU157" s="6"/>
      <c r="AV157" s="6"/>
      <c r="AW157" s="102"/>
      <c r="AX157" s="99"/>
      <c r="AY157" s="7"/>
      <c r="AZ157" s="99"/>
      <c r="BA157" s="102"/>
      <c r="BB157" s="102"/>
      <c r="BC157" s="102"/>
      <c r="BD157" s="6"/>
      <c r="BE157" s="6"/>
      <c r="BF157" s="6"/>
      <c r="BG157" s="6"/>
      <c r="BH157" s="6"/>
      <c r="BI157" s="102"/>
      <c r="BJ157" s="6"/>
      <c r="BK157" s="6"/>
      <c r="BL157" s="6"/>
      <c r="BM157" s="102"/>
      <c r="BN157" s="99"/>
      <c r="BO157" s="100"/>
      <c r="BP157" s="100"/>
      <c r="BQ157" s="100"/>
      <c r="BR157" s="102"/>
      <c r="BS157" s="6"/>
      <c r="BT157" s="6"/>
      <c r="BU157" s="6"/>
      <c r="BV157" s="6"/>
    </row>
    <row r="158" spans="1:74" s="101" customFormat="1" x14ac:dyDescent="0.25">
      <c r="A158" s="98"/>
      <c r="B158" s="115"/>
      <c r="C158" s="116"/>
      <c r="D158" s="2"/>
      <c r="E158" s="127"/>
      <c r="F158" s="99"/>
      <c r="G158" s="87"/>
      <c r="H158" s="29"/>
      <c r="I158" s="98"/>
      <c r="J158" s="117"/>
      <c r="K158" s="117"/>
      <c r="L158" s="6"/>
      <c r="M158" s="7"/>
      <c r="N158" s="7"/>
      <c r="O158" s="7"/>
      <c r="P158" s="102"/>
      <c r="Q158" s="6"/>
      <c r="R158" s="102"/>
      <c r="S158" s="6"/>
      <c r="T158" s="102"/>
      <c r="U158" s="6"/>
      <c r="V158" s="102"/>
      <c r="W158" s="6"/>
      <c r="X158" s="6"/>
      <c r="Y158" s="6"/>
      <c r="Z158" s="6"/>
      <c r="AA158" s="6"/>
      <c r="AB158" s="6"/>
      <c r="AC158" s="102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102"/>
      <c r="AU158" s="6"/>
      <c r="AV158" s="6"/>
      <c r="AW158" s="102"/>
      <c r="AX158" s="99"/>
      <c r="AY158" s="7"/>
      <c r="AZ158" s="99"/>
      <c r="BA158" s="102"/>
      <c r="BB158" s="102"/>
      <c r="BC158" s="102"/>
      <c r="BD158" s="6"/>
      <c r="BE158" s="6"/>
      <c r="BF158" s="6"/>
      <c r="BG158" s="6"/>
      <c r="BH158" s="6"/>
      <c r="BI158" s="102"/>
      <c r="BJ158" s="6"/>
      <c r="BK158" s="6"/>
      <c r="BL158" s="6"/>
      <c r="BM158" s="102"/>
      <c r="BN158" s="99"/>
      <c r="BO158" s="100"/>
      <c r="BP158" s="100"/>
      <c r="BQ158" s="100"/>
      <c r="BR158" s="102"/>
      <c r="BS158" s="6"/>
      <c r="BT158" s="6"/>
      <c r="BU158" s="6"/>
      <c r="BV158" s="6"/>
    </row>
    <row r="159" spans="1:74" s="101" customFormat="1" x14ac:dyDescent="0.25">
      <c r="A159" s="98"/>
      <c r="B159" s="115"/>
      <c r="C159" s="116"/>
      <c r="D159" s="2"/>
      <c r="E159" s="127"/>
      <c r="F159" s="99"/>
      <c r="G159" s="87"/>
      <c r="H159" s="29"/>
      <c r="I159" s="98"/>
      <c r="J159" s="117"/>
      <c r="K159" s="117"/>
      <c r="L159" s="6"/>
      <c r="M159" s="7"/>
      <c r="N159" s="7"/>
      <c r="O159" s="7"/>
      <c r="P159" s="102"/>
      <c r="Q159" s="6"/>
      <c r="R159" s="102"/>
      <c r="S159" s="6"/>
      <c r="T159" s="102"/>
      <c r="U159" s="6"/>
      <c r="V159" s="102"/>
      <c r="W159" s="6"/>
      <c r="X159" s="6"/>
      <c r="Y159" s="6"/>
      <c r="Z159" s="6"/>
      <c r="AA159" s="6"/>
      <c r="AB159" s="6"/>
      <c r="AC159" s="102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102"/>
      <c r="AU159" s="6"/>
      <c r="AV159" s="6"/>
      <c r="AW159" s="102"/>
      <c r="AX159" s="99"/>
      <c r="AY159" s="7"/>
      <c r="AZ159" s="99"/>
      <c r="BA159" s="102"/>
      <c r="BB159" s="102"/>
      <c r="BC159" s="102"/>
      <c r="BD159" s="6"/>
      <c r="BE159" s="6"/>
      <c r="BF159" s="6"/>
      <c r="BG159" s="6"/>
      <c r="BH159" s="6"/>
      <c r="BI159" s="102"/>
      <c r="BJ159" s="6"/>
      <c r="BK159" s="6"/>
      <c r="BL159" s="6"/>
      <c r="BM159" s="102"/>
      <c r="BN159" s="99"/>
      <c r="BO159" s="100"/>
      <c r="BP159" s="100"/>
      <c r="BQ159" s="100"/>
      <c r="BR159" s="102"/>
      <c r="BS159" s="6"/>
      <c r="BT159" s="6"/>
      <c r="BU159" s="6"/>
      <c r="BV159" s="6"/>
    </row>
    <row r="160" spans="1:74" s="101" customFormat="1" x14ac:dyDescent="0.25">
      <c r="A160" s="98"/>
      <c r="B160" s="115"/>
      <c r="C160" s="116"/>
      <c r="D160" s="2"/>
      <c r="E160" s="127"/>
      <c r="F160" s="99"/>
      <c r="G160" s="87"/>
      <c r="H160" s="29"/>
      <c r="I160" s="98"/>
      <c r="J160" s="117"/>
      <c r="K160" s="117"/>
      <c r="L160" s="6"/>
      <c r="M160" s="7"/>
      <c r="N160" s="7"/>
      <c r="O160" s="7"/>
      <c r="P160" s="102"/>
      <c r="Q160" s="6"/>
      <c r="R160" s="102"/>
      <c r="S160" s="6"/>
      <c r="T160" s="102"/>
      <c r="U160" s="6"/>
      <c r="V160" s="102"/>
      <c r="W160" s="6"/>
      <c r="X160" s="6"/>
      <c r="Y160" s="6"/>
      <c r="Z160" s="6"/>
      <c r="AA160" s="6"/>
      <c r="AB160" s="6"/>
      <c r="AC160" s="102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102"/>
      <c r="AU160" s="6"/>
      <c r="AV160" s="6"/>
      <c r="AW160" s="102"/>
      <c r="AX160" s="99"/>
      <c r="AY160" s="7"/>
      <c r="AZ160" s="99"/>
      <c r="BA160" s="102"/>
      <c r="BB160" s="102"/>
      <c r="BC160" s="102"/>
      <c r="BD160" s="6"/>
      <c r="BE160" s="6"/>
      <c r="BF160" s="6"/>
      <c r="BG160" s="6"/>
      <c r="BH160" s="6"/>
      <c r="BI160" s="102"/>
      <c r="BJ160" s="6"/>
      <c r="BK160" s="6"/>
      <c r="BL160" s="6"/>
      <c r="BM160" s="102"/>
      <c r="BN160" s="99"/>
      <c r="BO160" s="100"/>
      <c r="BP160" s="100"/>
      <c r="BQ160" s="100"/>
      <c r="BR160" s="102"/>
      <c r="BS160" s="6"/>
      <c r="BT160" s="6"/>
      <c r="BU160" s="6"/>
      <c r="BV160" s="6"/>
    </row>
    <row r="161" spans="1:74" s="101" customFormat="1" x14ac:dyDescent="0.25">
      <c r="A161" s="98"/>
      <c r="B161" s="115"/>
      <c r="C161" s="116"/>
      <c r="D161" s="2"/>
      <c r="E161" s="127"/>
      <c r="F161" s="99"/>
      <c r="G161" s="87"/>
      <c r="H161" s="29"/>
      <c r="I161" s="98"/>
      <c r="J161" s="117"/>
      <c r="K161" s="117"/>
      <c r="L161" s="6"/>
      <c r="M161" s="7"/>
      <c r="N161" s="7"/>
      <c r="O161" s="7"/>
      <c r="P161" s="102"/>
      <c r="Q161" s="6"/>
      <c r="R161" s="102"/>
      <c r="S161" s="6"/>
      <c r="T161" s="102"/>
      <c r="U161" s="6"/>
      <c r="V161" s="102"/>
      <c r="W161" s="6"/>
      <c r="X161" s="6"/>
      <c r="Y161" s="6"/>
      <c r="Z161" s="6"/>
      <c r="AA161" s="6"/>
      <c r="AB161" s="6"/>
      <c r="AC161" s="102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102"/>
      <c r="AU161" s="6"/>
      <c r="AV161" s="6"/>
      <c r="AW161" s="102"/>
      <c r="AX161" s="99"/>
      <c r="AY161" s="7"/>
      <c r="AZ161" s="99"/>
      <c r="BA161" s="102"/>
      <c r="BB161" s="102"/>
      <c r="BC161" s="102"/>
      <c r="BD161" s="6"/>
      <c r="BE161" s="6"/>
      <c r="BF161" s="6"/>
      <c r="BG161" s="6"/>
      <c r="BH161" s="6"/>
      <c r="BI161" s="102"/>
      <c r="BJ161" s="6"/>
      <c r="BK161" s="6"/>
      <c r="BL161" s="6"/>
      <c r="BM161" s="102"/>
      <c r="BN161" s="99"/>
      <c r="BO161" s="100"/>
      <c r="BP161" s="100"/>
      <c r="BQ161" s="100"/>
      <c r="BR161" s="102"/>
      <c r="BS161" s="6"/>
      <c r="BT161" s="6"/>
      <c r="BU161" s="6"/>
      <c r="BV161" s="6"/>
    </row>
    <row r="162" spans="1:74" s="101" customFormat="1" x14ac:dyDescent="0.25">
      <c r="A162" s="98"/>
      <c r="B162" s="115"/>
      <c r="C162" s="116"/>
      <c r="D162" s="2"/>
      <c r="E162" s="127"/>
      <c r="F162" s="99"/>
      <c r="G162" s="87"/>
      <c r="H162" s="29"/>
      <c r="I162" s="98"/>
      <c r="J162" s="117"/>
      <c r="K162" s="117"/>
      <c r="L162" s="6"/>
      <c r="M162" s="7"/>
      <c r="N162" s="7"/>
      <c r="O162" s="7"/>
      <c r="P162" s="102"/>
      <c r="Q162" s="6"/>
      <c r="R162" s="102"/>
      <c r="S162" s="6"/>
      <c r="T162" s="102"/>
      <c r="U162" s="6"/>
      <c r="V162" s="102"/>
      <c r="W162" s="6"/>
      <c r="X162" s="6"/>
      <c r="Y162" s="6"/>
      <c r="Z162" s="6"/>
      <c r="AA162" s="6"/>
      <c r="AB162" s="6"/>
      <c r="AC162" s="102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102"/>
      <c r="AU162" s="6"/>
      <c r="AV162" s="6"/>
      <c r="AW162" s="102"/>
      <c r="AX162" s="99"/>
      <c r="AY162" s="7"/>
      <c r="AZ162" s="99"/>
      <c r="BA162" s="102"/>
      <c r="BB162" s="102"/>
      <c r="BC162" s="102"/>
      <c r="BD162" s="6"/>
      <c r="BE162" s="6"/>
      <c r="BF162" s="6"/>
      <c r="BG162" s="6"/>
      <c r="BH162" s="6"/>
      <c r="BI162" s="102"/>
      <c r="BJ162" s="6"/>
      <c r="BK162" s="6"/>
      <c r="BL162" s="6"/>
      <c r="BM162" s="102"/>
      <c r="BN162" s="99"/>
      <c r="BO162" s="100"/>
      <c r="BP162" s="100"/>
      <c r="BQ162" s="100"/>
      <c r="BR162" s="102"/>
      <c r="BS162" s="6"/>
      <c r="BT162" s="6"/>
      <c r="BU162" s="6"/>
      <c r="BV162" s="6"/>
    </row>
    <row r="163" spans="1:74" s="101" customFormat="1" x14ac:dyDescent="0.25">
      <c r="A163" s="98"/>
      <c r="B163" s="115"/>
      <c r="C163" s="116"/>
      <c r="D163" s="2"/>
      <c r="E163" s="127"/>
      <c r="F163" s="99"/>
      <c r="G163" s="87"/>
      <c r="H163" s="29"/>
      <c r="I163" s="98"/>
      <c r="J163" s="117"/>
      <c r="K163" s="117"/>
      <c r="L163" s="6"/>
      <c r="M163" s="7"/>
      <c r="N163" s="7"/>
      <c r="O163" s="7"/>
      <c r="P163" s="102"/>
      <c r="Q163" s="6"/>
      <c r="R163" s="102"/>
      <c r="S163" s="6"/>
      <c r="T163" s="102"/>
      <c r="U163" s="6"/>
      <c r="V163" s="102"/>
      <c r="W163" s="6"/>
      <c r="X163" s="6"/>
      <c r="Y163" s="6"/>
      <c r="Z163" s="6"/>
      <c r="AA163" s="6"/>
      <c r="AB163" s="6"/>
      <c r="AC163" s="102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102"/>
      <c r="AU163" s="6"/>
      <c r="AV163" s="6"/>
      <c r="AW163" s="102"/>
      <c r="AX163" s="99"/>
      <c r="AY163" s="7"/>
      <c r="AZ163" s="99"/>
      <c r="BA163" s="102"/>
      <c r="BB163" s="102"/>
      <c r="BC163" s="102"/>
      <c r="BD163" s="6"/>
      <c r="BE163" s="6"/>
      <c r="BF163" s="6"/>
      <c r="BG163" s="6"/>
      <c r="BH163" s="6"/>
      <c r="BI163" s="102"/>
      <c r="BJ163" s="6"/>
      <c r="BK163" s="6"/>
      <c r="BL163" s="6"/>
      <c r="BM163" s="102"/>
      <c r="BN163" s="99"/>
      <c r="BO163" s="100"/>
      <c r="BP163" s="100"/>
      <c r="BQ163" s="100"/>
      <c r="BR163" s="102"/>
      <c r="BS163" s="6"/>
      <c r="BT163" s="6"/>
      <c r="BU163" s="6"/>
      <c r="BV163" s="6"/>
    </row>
    <row r="164" spans="1:74" s="101" customFormat="1" x14ac:dyDescent="0.25">
      <c r="A164" s="98"/>
      <c r="B164" s="115"/>
      <c r="C164" s="116"/>
      <c r="D164" s="2"/>
      <c r="E164" s="127"/>
      <c r="F164" s="99"/>
      <c r="G164" s="87"/>
      <c r="H164" s="29"/>
      <c r="I164" s="98"/>
      <c r="J164" s="117"/>
      <c r="K164" s="117"/>
      <c r="L164" s="6"/>
      <c r="M164" s="7"/>
      <c r="N164" s="7"/>
      <c r="O164" s="7"/>
      <c r="P164" s="102"/>
      <c r="Q164" s="6"/>
      <c r="R164" s="102"/>
      <c r="S164" s="6"/>
      <c r="T164" s="102"/>
      <c r="U164" s="6"/>
      <c r="V164" s="102"/>
      <c r="W164" s="6"/>
      <c r="X164" s="6"/>
      <c r="Y164" s="6"/>
      <c r="Z164" s="6"/>
      <c r="AA164" s="6"/>
      <c r="AB164" s="6"/>
      <c r="AC164" s="102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102"/>
      <c r="AU164" s="6"/>
      <c r="AV164" s="6"/>
      <c r="AW164" s="102"/>
      <c r="AX164" s="99"/>
      <c r="AY164" s="7"/>
      <c r="AZ164" s="99"/>
      <c r="BA164" s="102"/>
      <c r="BB164" s="102"/>
      <c r="BC164" s="102"/>
      <c r="BD164" s="6"/>
      <c r="BE164" s="6"/>
      <c r="BF164" s="6"/>
      <c r="BG164" s="6"/>
      <c r="BH164" s="6"/>
      <c r="BI164" s="102"/>
      <c r="BJ164" s="6"/>
      <c r="BK164" s="6"/>
      <c r="BL164" s="6"/>
      <c r="BM164" s="102"/>
      <c r="BN164" s="99"/>
      <c r="BO164" s="100"/>
      <c r="BP164" s="100"/>
      <c r="BQ164" s="100"/>
      <c r="BR164" s="102"/>
      <c r="BS164" s="6"/>
      <c r="BT164" s="6"/>
      <c r="BU164" s="6"/>
      <c r="BV164" s="6"/>
    </row>
    <row r="165" spans="1:74" s="101" customFormat="1" x14ac:dyDescent="0.25">
      <c r="A165" s="98"/>
      <c r="B165" s="115"/>
      <c r="C165" s="116"/>
      <c r="D165" s="2"/>
      <c r="E165" s="127"/>
      <c r="F165" s="99"/>
      <c r="G165" s="87"/>
      <c r="H165" s="29"/>
      <c r="I165" s="98"/>
      <c r="J165" s="117"/>
      <c r="K165" s="117"/>
      <c r="L165" s="6"/>
      <c r="M165" s="7"/>
      <c r="N165" s="7"/>
      <c r="O165" s="7"/>
      <c r="P165" s="102"/>
      <c r="Q165" s="6"/>
      <c r="R165" s="102"/>
      <c r="S165" s="6"/>
      <c r="T165" s="102"/>
      <c r="U165" s="6"/>
      <c r="V165" s="102"/>
      <c r="W165" s="6"/>
      <c r="X165" s="6"/>
      <c r="Y165" s="6"/>
      <c r="Z165" s="6"/>
      <c r="AA165" s="6"/>
      <c r="AB165" s="6"/>
      <c r="AC165" s="102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102"/>
      <c r="AU165" s="6"/>
      <c r="AV165" s="6"/>
      <c r="AW165" s="102"/>
      <c r="AX165" s="99"/>
      <c r="AY165" s="7"/>
      <c r="AZ165" s="99"/>
      <c r="BA165" s="102"/>
      <c r="BB165" s="102"/>
      <c r="BC165" s="102"/>
      <c r="BD165" s="6"/>
      <c r="BE165" s="6"/>
      <c r="BF165" s="6"/>
      <c r="BG165" s="6"/>
      <c r="BH165" s="6"/>
      <c r="BI165" s="102"/>
      <c r="BJ165" s="6"/>
      <c r="BK165" s="6"/>
      <c r="BL165" s="6"/>
      <c r="BM165" s="102"/>
      <c r="BN165" s="99"/>
      <c r="BO165" s="100"/>
      <c r="BP165" s="100"/>
      <c r="BQ165" s="100"/>
      <c r="BR165" s="102"/>
      <c r="BS165" s="6"/>
      <c r="BT165" s="6"/>
      <c r="BU165" s="6"/>
      <c r="BV165" s="6"/>
    </row>
    <row r="166" spans="1:74" s="101" customFormat="1" x14ac:dyDescent="0.25">
      <c r="A166" s="98"/>
      <c r="B166" s="115"/>
      <c r="C166" s="116"/>
      <c r="D166" s="2"/>
      <c r="E166" s="127"/>
      <c r="F166" s="99"/>
      <c r="G166" s="87"/>
      <c r="H166" s="29"/>
      <c r="I166" s="98"/>
      <c r="J166" s="117"/>
      <c r="K166" s="117"/>
      <c r="L166" s="6"/>
      <c r="M166" s="7"/>
      <c r="N166" s="7"/>
      <c r="O166" s="7"/>
      <c r="P166" s="102"/>
      <c r="Q166" s="6"/>
      <c r="R166" s="102"/>
      <c r="S166" s="6"/>
      <c r="T166" s="102"/>
      <c r="U166" s="6"/>
      <c r="V166" s="102"/>
      <c r="W166" s="6"/>
      <c r="X166" s="6"/>
      <c r="Y166" s="6"/>
      <c r="Z166" s="6"/>
      <c r="AA166" s="6"/>
      <c r="AB166" s="6"/>
      <c r="AC166" s="102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102"/>
      <c r="AU166" s="6"/>
      <c r="AV166" s="6"/>
      <c r="AW166" s="102"/>
      <c r="AX166" s="99"/>
      <c r="AY166" s="7"/>
      <c r="AZ166" s="99"/>
      <c r="BA166" s="102"/>
      <c r="BB166" s="102"/>
      <c r="BC166" s="102"/>
      <c r="BD166" s="6"/>
      <c r="BE166" s="6"/>
      <c r="BF166" s="6"/>
      <c r="BG166" s="6"/>
      <c r="BH166" s="6"/>
      <c r="BI166" s="102"/>
      <c r="BJ166" s="6"/>
      <c r="BK166" s="6"/>
      <c r="BL166" s="6"/>
      <c r="BM166" s="102"/>
      <c r="BN166" s="99"/>
      <c r="BO166" s="100"/>
      <c r="BP166" s="100"/>
      <c r="BQ166" s="100"/>
      <c r="BR166" s="102"/>
      <c r="BS166" s="6"/>
      <c r="BT166" s="6"/>
      <c r="BU166" s="6"/>
      <c r="BV166" s="6"/>
    </row>
    <row r="167" spans="1:74" s="101" customFormat="1" x14ac:dyDescent="0.25">
      <c r="A167" s="98"/>
      <c r="B167" s="115"/>
      <c r="C167" s="116"/>
      <c r="D167" s="2"/>
      <c r="E167" s="127"/>
      <c r="F167" s="99"/>
      <c r="G167" s="87"/>
      <c r="H167" s="29"/>
      <c r="I167" s="98"/>
      <c r="J167" s="117"/>
      <c r="K167" s="117"/>
      <c r="L167" s="6"/>
      <c r="M167" s="7"/>
      <c r="N167" s="7"/>
      <c r="O167" s="7"/>
      <c r="P167" s="102"/>
      <c r="Q167" s="6"/>
      <c r="R167" s="102"/>
      <c r="S167" s="6"/>
      <c r="T167" s="102"/>
      <c r="U167" s="6"/>
      <c r="V167" s="102"/>
      <c r="W167" s="6"/>
      <c r="X167" s="6"/>
      <c r="Y167" s="6"/>
      <c r="Z167" s="6"/>
      <c r="AA167" s="6"/>
      <c r="AB167" s="6"/>
      <c r="AC167" s="102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102"/>
      <c r="AU167" s="6"/>
      <c r="AV167" s="6"/>
      <c r="AW167" s="102"/>
      <c r="AX167" s="99"/>
      <c r="AY167" s="7"/>
      <c r="AZ167" s="99"/>
      <c r="BA167" s="102"/>
      <c r="BB167" s="102"/>
      <c r="BC167" s="102"/>
      <c r="BD167" s="6"/>
      <c r="BE167" s="6"/>
      <c r="BF167" s="6"/>
      <c r="BG167" s="6"/>
      <c r="BH167" s="6"/>
      <c r="BI167" s="102"/>
      <c r="BJ167" s="6"/>
      <c r="BK167" s="6"/>
      <c r="BL167" s="6"/>
      <c r="BM167" s="102"/>
      <c r="BN167" s="99"/>
      <c r="BO167" s="100"/>
      <c r="BP167" s="100"/>
      <c r="BQ167" s="100"/>
      <c r="BR167" s="102"/>
      <c r="BS167" s="6"/>
      <c r="BT167" s="6"/>
      <c r="BU167" s="6"/>
      <c r="BV167" s="6"/>
    </row>
    <row r="168" spans="1:74" s="101" customFormat="1" x14ac:dyDescent="0.25">
      <c r="A168" s="98"/>
      <c r="B168" s="115"/>
      <c r="C168" s="116"/>
      <c r="D168" s="2"/>
      <c r="E168" s="127"/>
      <c r="F168" s="99"/>
      <c r="G168" s="87"/>
      <c r="H168" s="29"/>
      <c r="I168" s="98"/>
      <c r="J168" s="117"/>
      <c r="K168" s="117"/>
      <c r="L168" s="6"/>
      <c r="M168" s="7"/>
      <c r="N168" s="7"/>
      <c r="O168" s="7"/>
      <c r="P168" s="102"/>
      <c r="Q168" s="6"/>
      <c r="R168" s="102"/>
      <c r="S168" s="6"/>
      <c r="T168" s="102"/>
      <c r="U168" s="6"/>
      <c r="V168" s="102"/>
      <c r="W168" s="6"/>
      <c r="X168" s="6"/>
      <c r="Y168" s="6"/>
      <c r="Z168" s="6"/>
      <c r="AA168" s="6"/>
      <c r="AB168" s="6"/>
      <c r="AC168" s="102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102"/>
      <c r="AU168" s="6"/>
      <c r="AV168" s="6"/>
      <c r="AW168" s="102"/>
      <c r="AX168" s="99"/>
      <c r="AY168" s="7"/>
      <c r="AZ168" s="99"/>
      <c r="BA168" s="102"/>
      <c r="BB168" s="102"/>
      <c r="BC168" s="102"/>
      <c r="BD168" s="6"/>
      <c r="BE168" s="6"/>
      <c r="BF168" s="6"/>
      <c r="BG168" s="6"/>
      <c r="BH168" s="6"/>
      <c r="BI168" s="102"/>
      <c r="BJ168" s="6"/>
      <c r="BK168" s="6"/>
      <c r="BL168" s="6"/>
      <c r="BM168" s="102"/>
      <c r="BN168" s="99"/>
      <c r="BO168" s="100"/>
      <c r="BP168" s="100"/>
      <c r="BQ168" s="100"/>
      <c r="BR168" s="102"/>
      <c r="BS168" s="6"/>
      <c r="BT168" s="6"/>
      <c r="BU168" s="6"/>
      <c r="BV168" s="6"/>
    </row>
    <row r="169" spans="1:74" s="101" customFormat="1" x14ac:dyDescent="0.25">
      <c r="A169" s="98"/>
      <c r="B169" s="115"/>
      <c r="C169" s="116"/>
      <c r="D169" s="2"/>
      <c r="E169" s="127"/>
      <c r="F169" s="99"/>
      <c r="G169" s="87"/>
      <c r="H169" s="29"/>
      <c r="I169" s="98"/>
      <c r="J169" s="117"/>
      <c r="K169" s="117"/>
      <c r="L169" s="6"/>
      <c r="M169" s="7"/>
      <c r="N169" s="7"/>
      <c r="O169" s="7"/>
      <c r="P169" s="102"/>
      <c r="Q169" s="6"/>
      <c r="R169" s="102"/>
      <c r="S169" s="6"/>
      <c r="T169" s="102"/>
      <c r="U169" s="6"/>
      <c r="V169" s="102"/>
      <c r="W169" s="6"/>
      <c r="X169" s="6"/>
      <c r="Y169" s="6"/>
      <c r="Z169" s="6"/>
      <c r="AA169" s="6"/>
      <c r="AB169" s="6"/>
      <c r="AC169" s="102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102"/>
      <c r="AU169" s="6"/>
      <c r="AV169" s="6"/>
      <c r="AW169" s="102"/>
      <c r="AX169" s="99"/>
      <c r="AY169" s="7"/>
      <c r="AZ169" s="99"/>
      <c r="BA169" s="102"/>
      <c r="BB169" s="102"/>
      <c r="BC169" s="102"/>
      <c r="BD169" s="6"/>
      <c r="BE169" s="6"/>
      <c r="BF169" s="6"/>
      <c r="BG169" s="6"/>
      <c r="BH169" s="6"/>
      <c r="BI169" s="102"/>
      <c r="BJ169" s="6"/>
      <c r="BK169" s="6"/>
      <c r="BL169" s="6"/>
      <c r="BM169" s="102"/>
      <c r="BN169" s="99"/>
      <c r="BO169" s="100"/>
      <c r="BP169" s="100"/>
      <c r="BQ169" s="100"/>
      <c r="BR169" s="102"/>
      <c r="BS169" s="6"/>
      <c r="BT169" s="6"/>
      <c r="BU169" s="6"/>
      <c r="BV169" s="6"/>
    </row>
    <row r="170" spans="1:74" s="101" customFormat="1" x14ac:dyDescent="0.25">
      <c r="A170" s="98"/>
      <c r="B170" s="115"/>
      <c r="C170" s="116"/>
      <c r="D170" s="2"/>
      <c r="E170" s="127"/>
      <c r="F170" s="99"/>
      <c r="G170" s="87"/>
      <c r="H170" s="29"/>
      <c r="I170" s="98"/>
      <c r="J170" s="117"/>
      <c r="K170" s="117"/>
      <c r="L170" s="6"/>
      <c r="M170" s="7"/>
      <c r="N170" s="7"/>
      <c r="O170" s="7"/>
      <c r="P170" s="102"/>
      <c r="Q170" s="6"/>
      <c r="R170" s="102"/>
      <c r="S170" s="6"/>
      <c r="T170" s="102"/>
      <c r="U170" s="6"/>
      <c r="V170" s="102"/>
      <c r="W170" s="6"/>
      <c r="X170" s="6"/>
      <c r="Y170" s="6"/>
      <c r="Z170" s="6"/>
      <c r="AA170" s="6"/>
      <c r="AB170" s="6"/>
      <c r="AC170" s="102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102"/>
      <c r="AU170" s="6"/>
      <c r="AV170" s="6"/>
      <c r="AW170" s="102"/>
      <c r="AX170" s="99"/>
      <c r="AY170" s="7"/>
      <c r="AZ170" s="99"/>
      <c r="BA170" s="102"/>
      <c r="BB170" s="102"/>
      <c r="BC170" s="102"/>
      <c r="BD170" s="6"/>
      <c r="BE170" s="6"/>
      <c r="BF170" s="6"/>
      <c r="BG170" s="6"/>
      <c r="BH170" s="6"/>
      <c r="BI170" s="102"/>
      <c r="BJ170" s="6"/>
      <c r="BK170" s="6"/>
      <c r="BL170" s="6"/>
      <c r="BM170" s="102"/>
      <c r="BN170" s="99"/>
      <c r="BO170" s="100"/>
      <c r="BP170" s="100"/>
      <c r="BQ170" s="100"/>
      <c r="BR170" s="102"/>
      <c r="BS170" s="6"/>
      <c r="BT170" s="6"/>
      <c r="BU170" s="6"/>
      <c r="BV170" s="6"/>
    </row>
    <row r="171" spans="1:74" s="101" customFormat="1" x14ac:dyDescent="0.25">
      <c r="A171" s="98"/>
      <c r="B171" s="115"/>
      <c r="C171" s="116"/>
      <c r="D171" s="2"/>
      <c r="E171" s="127"/>
      <c r="F171" s="99"/>
      <c r="G171" s="87"/>
      <c r="H171" s="29"/>
      <c r="I171" s="98"/>
      <c r="J171" s="117"/>
      <c r="K171" s="117"/>
      <c r="L171" s="6"/>
      <c r="M171" s="7"/>
      <c r="N171" s="7"/>
      <c r="O171" s="7"/>
      <c r="P171" s="102"/>
      <c r="Q171" s="6"/>
      <c r="R171" s="102"/>
      <c r="S171" s="6"/>
      <c r="T171" s="102"/>
      <c r="U171" s="6"/>
      <c r="V171" s="102"/>
      <c r="W171" s="6"/>
      <c r="X171" s="6"/>
      <c r="Y171" s="6"/>
      <c r="Z171" s="6"/>
      <c r="AA171" s="6"/>
      <c r="AB171" s="6"/>
      <c r="AC171" s="102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102"/>
      <c r="AU171" s="6"/>
      <c r="AV171" s="6"/>
      <c r="AW171" s="102"/>
      <c r="AX171" s="99"/>
      <c r="AY171" s="7"/>
      <c r="AZ171" s="99"/>
      <c r="BA171" s="102"/>
      <c r="BB171" s="102"/>
      <c r="BC171" s="102"/>
      <c r="BD171" s="6"/>
      <c r="BE171" s="6"/>
      <c r="BF171" s="6"/>
      <c r="BG171" s="6"/>
      <c r="BH171" s="6"/>
      <c r="BI171" s="102"/>
      <c r="BJ171" s="6"/>
      <c r="BK171" s="6"/>
      <c r="BL171" s="6"/>
      <c r="BM171" s="102"/>
      <c r="BN171" s="99"/>
      <c r="BO171" s="100"/>
      <c r="BP171" s="100"/>
      <c r="BQ171" s="100"/>
      <c r="BR171" s="102"/>
      <c r="BS171" s="6"/>
      <c r="BT171" s="6"/>
      <c r="BU171" s="6"/>
      <c r="BV171" s="6"/>
    </row>
    <row r="172" spans="1:74" s="101" customFormat="1" x14ac:dyDescent="0.25">
      <c r="A172" s="98"/>
      <c r="B172" s="115"/>
      <c r="C172" s="116"/>
      <c r="D172" s="2"/>
      <c r="E172" s="127"/>
      <c r="F172" s="99"/>
      <c r="G172" s="87"/>
      <c r="H172" s="29"/>
      <c r="I172" s="98"/>
      <c r="J172" s="117"/>
      <c r="K172" s="117"/>
      <c r="L172" s="6"/>
      <c r="M172" s="7"/>
      <c r="N172" s="7"/>
      <c r="O172" s="7"/>
      <c r="P172" s="102"/>
      <c r="Q172" s="6"/>
      <c r="R172" s="102"/>
      <c r="S172" s="6"/>
      <c r="T172" s="102"/>
      <c r="U172" s="6"/>
      <c r="V172" s="102"/>
      <c r="W172" s="6"/>
      <c r="X172" s="6"/>
      <c r="Y172" s="6"/>
      <c r="Z172" s="6"/>
      <c r="AA172" s="6"/>
      <c r="AB172" s="6"/>
      <c r="AC172" s="102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102"/>
      <c r="AU172" s="6"/>
      <c r="AV172" s="6"/>
      <c r="AW172" s="102"/>
      <c r="AX172" s="99"/>
      <c r="AY172" s="7"/>
      <c r="AZ172" s="99"/>
      <c r="BA172" s="102"/>
      <c r="BB172" s="102"/>
      <c r="BC172" s="102"/>
      <c r="BD172" s="6"/>
      <c r="BE172" s="6"/>
      <c r="BF172" s="6"/>
      <c r="BG172" s="6"/>
      <c r="BH172" s="6"/>
      <c r="BI172" s="102"/>
      <c r="BJ172" s="6"/>
      <c r="BK172" s="6"/>
      <c r="BL172" s="6"/>
      <c r="BM172" s="102"/>
      <c r="BN172" s="99"/>
      <c r="BO172" s="100"/>
      <c r="BP172" s="100"/>
      <c r="BQ172" s="100"/>
      <c r="BR172" s="102"/>
      <c r="BS172" s="6"/>
      <c r="BT172" s="6"/>
      <c r="BU172" s="6"/>
      <c r="BV172" s="6"/>
    </row>
    <row r="173" spans="1:74" s="101" customFormat="1" x14ac:dyDescent="0.25">
      <c r="A173" s="98"/>
      <c r="B173" s="115"/>
      <c r="C173" s="116"/>
      <c r="D173" s="2"/>
      <c r="E173" s="127"/>
      <c r="F173" s="99"/>
      <c r="G173" s="87"/>
      <c r="H173" s="29"/>
      <c r="I173" s="98"/>
      <c r="J173" s="117"/>
      <c r="K173" s="117"/>
      <c r="L173" s="6"/>
      <c r="M173" s="7"/>
      <c r="N173" s="7"/>
      <c r="O173" s="7"/>
      <c r="P173" s="102"/>
      <c r="Q173" s="6"/>
      <c r="R173" s="102"/>
      <c r="S173" s="6"/>
      <c r="T173" s="102"/>
      <c r="U173" s="6"/>
      <c r="V173" s="102"/>
      <c r="W173" s="6"/>
      <c r="X173" s="6"/>
      <c r="Y173" s="6"/>
      <c r="Z173" s="6"/>
      <c r="AA173" s="6"/>
      <c r="AB173" s="6"/>
      <c r="AC173" s="102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102"/>
      <c r="AU173" s="6"/>
      <c r="AV173" s="6"/>
      <c r="AW173" s="102"/>
      <c r="AX173" s="99"/>
      <c r="AY173" s="7"/>
      <c r="AZ173" s="99"/>
      <c r="BA173" s="102"/>
      <c r="BB173" s="102"/>
      <c r="BC173" s="102"/>
      <c r="BD173" s="6"/>
      <c r="BE173" s="6"/>
      <c r="BF173" s="6"/>
      <c r="BG173" s="6"/>
      <c r="BH173" s="6"/>
      <c r="BI173" s="102"/>
      <c r="BJ173" s="6"/>
      <c r="BK173" s="6"/>
      <c r="BL173" s="6"/>
      <c r="BM173" s="102"/>
      <c r="BN173" s="99"/>
      <c r="BO173" s="100"/>
      <c r="BP173" s="100"/>
      <c r="BQ173" s="100"/>
      <c r="BR173" s="102"/>
      <c r="BS173" s="6"/>
      <c r="BT173" s="6"/>
      <c r="BU173" s="6"/>
      <c r="BV173" s="6"/>
    </row>
    <row r="174" spans="1:74" s="101" customFormat="1" x14ac:dyDescent="0.25">
      <c r="A174" s="98"/>
      <c r="B174" s="115"/>
      <c r="C174" s="116"/>
      <c r="D174" s="2"/>
      <c r="E174" s="127"/>
      <c r="F174" s="99"/>
      <c r="G174" s="87"/>
      <c r="H174" s="29"/>
      <c r="I174" s="98"/>
      <c r="J174" s="117"/>
      <c r="K174" s="117"/>
      <c r="L174" s="6"/>
      <c r="M174" s="7"/>
      <c r="N174" s="7"/>
      <c r="O174" s="7"/>
      <c r="P174" s="102"/>
      <c r="Q174" s="6"/>
      <c r="R174" s="102"/>
      <c r="S174" s="6"/>
      <c r="T174" s="102"/>
      <c r="U174" s="6"/>
      <c r="V174" s="102"/>
      <c r="W174" s="6"/>
      <c r="X174" s="6"/>
      <c r="Y174" s="6"/>
      <c r="Z174" s="6"/>
      <c r="AA174" s="6"/>
      <c r="AB174" s="6"/>
      <c r="AC174" s="102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102"/>
      <c r="AU174" s="6"/>
      <c r="AV174" s="6"/>
      <c r="AW174" s="102"/>
      <c r="AX174" s="99"/>
      <c r="AY174" s="7"/>
      <c r="AZ174" s="99"/>
      <c r="BA174" s="102"/>
      <c r="BB174" s="102"/>
      <c r="BC174" s="102"/>
      <c r="BD174" s="6"/>
      <c r="BE174" s="6"/>
      <c r="BF174" s="6"/>
      <c r="BG174" s="6"/>
      <c r="BH174" s="6"/>
      <c r="BI174" s="102"/>
      <c r="BJ174" s="6"/>
      <c r="BK174" s="6"/>
      <c r="BL174" s="6"/>
      <c r="BM174" s="102"/>
      <c r="BN174" s="99"/>
      <c r="BO174" s="100"/>
      <c r="BP174" s="100"/>
      <c r="BQ174" s="100"/>
      <c r="BR174" s="102"/>
      <c r="BS174" s="6"/>
      <c r="BT174" s="6"/>
      <c r="BU174" s="6"/>
      <c r="BV174" s="6"/>
    </row>
    <row r="175" spans="1:74" s="101" customFormat="1" x14ac:dyDescent="0.25">
      <c r="A175" s="98"/>
      <c r="B175" s="115"/>
      <c r="C175" s="116"/>
      <c r="D175" s="2"/>
      <c r="E175" s="127"/>
      <c r="F175" s="99"/>
      <c r="G175" s="87"/>
      <c r="H175" s="29"/>
      <c r="I175" s="98"/>
      <c r="J175" s="117"/>
      <c r="K175" s="117"/>
      <c r="L175" s="6"/>
      <c r="M175" s="7"/>
      <c r="N175" s="7"/>
      <c r="O175" s="7"/>
      <c r="P175" s="102"/>
      <c r="Q175" s="6"/>
      <c r="R175" s="102"/>
      <c r="S175" s="6"/>
      <c r="T175" s="102"/>
      <c r="U175" s="6"/>
      <c r="V175" s="102"/>
      <c r="W175" s="6"/>
      <c r="X175" s="6"/>
      <c r="Y175" s="6"/>
      <c r="Z175" s="6"/>
      <c r="AA175" s="6"/>
      <c r="AB175" s="6"/>
      <c r="AC175" s="102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102"/>
      <c r="AU175" s="6"/>
      <c r="AV175" s="6"/>
      <c r="AW175" s="102"/>
      <c r="AX175" s="99"/>
      <c r="AY175" s="7"/>
      <c r="AZ175" s="99"/>
      <c r="BA175" s="102"/>
      <c r="BB175" s="102"/>
      <c r="BC175" s="102"/>
      <c r="BD175" s="6"/>
      <c r="BE175" s="6"/>
      <c r="BF175" s="6"/>
      <c r="BG175" s="6"/>
      <c r="BH175" s="6"/>
      <c r="BI175" s="102"/>
      <c r="BJ175" s="6"/>
      <c r="BK175" s="6"/>
      <c r="BL175" s="6"/>
      <c r="BM175" s="102"/>
      <c r="BN175" s="99"/>
      <c r="BO175" s="100"/>
      <c r="BP175" s="100"/>
      <c r="BQ175" s="100"/>
      <c r="BR175" s="102"/>
      <c r="BS175" s="6"/>
      <c r="BT175" s="6"/>
      <c r="BU175" s="6"/>
      <c r="BV175" s="6"/>
    </row>
    <row r="176" spans="1:74" s="101" customFormat="1" x14ac:dyDescent="0.25">
      <c r="A176" s="98"/>
      <c r="B176" s="115"/>
      <c r="C176" s="116"/>
      <c r="D176" s="2"/>
      <c r="E176" s="127"/>
      <c r="F176" s="99"/>
      <c r="G176" s="87"/>
      <c r="H176" s="29"/>
      <c r="I176" s="98"/>
      <c r="J176" s="117"/>
      <c r="K176" s="117"/>
      <c r="L176" s="6"/>
      <c r="M176" s="7"/>
      <c r="N176" s="7"/>
      <c r="O176" s="7"/>
      <c r="P176" s="102"/>
      <c r="Q176" s="6"/>
      <c r="R176" s="102"/>
      <c r="S176" s="6"/>
      <c r="T176" s="102"/>
      <c r="U176" s="6"/>
      <c r="V176" s="102"/>
      <c r="W176" s="6"/>
      <c r="X176" s="6"/>
      <c r="Y176" s="6"/>
      <c r="Z176" s="6"/>
      <c r="AA176" s="6"/>
      <c r="AB176" s="6"/>
      <c r="AC176" s="102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102"/>
      <c r="AU176" s="6"/>
      <c r="AV176" s="6"/>
      <c r="AW176" s="102"/>
      <c r="AX176" s="99"/>
      <c r="AY176" s="7"/>
      <c r="AZ176" s="99"/>
      <c r="BA176" s="102"/>
      <c r="BB176" s="102"/>
      <c r="BC176" s="102"/>
      <c r="BD176" s="6"/>
      <c r="BE176" s="6"/>
      <c r="BF176" s="6"/>
      <c r="BG176" s="6"/>
      <c r="BH176" s="6"/>
      <c r="BI176" s="102"/>
      <c r="BJ176" s="6"/>
      <c r="BK176" s="6"/>
      <c r="BL176" s="6"/>
      <c r="BM176" s="102"/>
      <c r="BN176" s="99"/>
      <c r="BO176" s="100"/>
      <c r="BP176" s="100"/>
      <c r="BQ176" s="100"/>
      <c r="BR176" s="102"/>
      <c r="BS176" s="6"/>
      <c r="BT176" s="6"/>
      <c r="BU176" s="6"/>
      <c r="BV176" s="6"/>
    </row>
    <row r="177" spans="1:74" s="101" customFormat="1" x14ac:dyDescent="0.25">
      <c r="A177" s="98"/>
      <c r="B177" s="115"/>
      <c r="C177" s="116"/>
      <c r="D177" s="2"/>
      <c r="E177" s="127"/>
      <c r="F177" s="99"/>
      <c r="G177" s="87"/>
      <c r="H177" s="29"/>
      <c r="I177" s="98"/>
      <c r="J177" s="117"/>
      <c r="K177" s="117"/>
      <c r="L177" s="6"/>
      <c r="M177" s="7"/>
      <c r="N177" s="7"/>
      <c r="O177" s="7"/>
      <c r="P177" s="102"/>
      <c r="Q177" s="6"/>
      <c r="R177" s="102"/>
      <c r="S177" s="6"/>
      <c r="T177" s="102"/>
      <c r="U177" s="6"/>
      <c r="V177" s="102"/>
      <c r="W177" s="6"/>
      <c r="X177" s="6"/>
      <c r="Y177" s="6"/>
      <c r="Z177" s="6"/>
      <c r="AA177" s="6"/>
      <c r="AB177" s="6"/>
      <c r="AC177" s="102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102"/>
      <c r="AU177" s="6"/>
      <c r="AV177" s="6"/>
      <c r="AW177" s="102"/>
      <c r="AX177" s="99"/>
      <c r="AY177" s="7"/>
      <c r="AZ177" s="99"/>
      <c r="BA177" s="102"/>
      <c r="BB177" s="102"/>
      <c r="BC177" s="102"/>
      <c r="BD177" s="6"/>
      <c r="BE177" s="6"/>
      <c r="BF177" s="6"/>
      <c r="BG177" s="6"/>
      <c r="BH177" s="6"/>
      <c r="BI177" s="102"/>
      <c r="BJ177" s="6"/>
      <c r="BK177" s="6"/>
      <c r="BL177" s="6"/>
      <c r="BM177" s="102"/>
      <c r="BN177" s="99"/>
      <c r="BO177" s="100"/>
      <c r="BP177" s="100"/>
      <c r="BQ177" s="100"/>
      <c r="BR177" s="102"/>
      <c r="BS177" s="6"/>
      <c r="BT177" s="6"/>
      <c r="BU177" s="6"/>
      <c r="BV177" s="6"/>
    </row>
    <row r="178" spans="1:74" s="101" customFormat="1" x14ac:dyDescent="0.25">
      <c r="A178" s="98"/>
      <c r="B178" s="115"/>
      <c r="C178" s="116"/>
      <c r="D178" s="2"/>
      <c r="E178" s="127"/>
      <c r="F178" s="99"/>
      <c r="G178" s="87"/>
      <c r="H178" s="29"/>
      <c r="I178" s="98"/>
      <c r="J178" s="117"/>
      <c r="K178" s="117"/>
      <c r="L178" s="6"/>
      <c r="M178" s="7"/>
      <c r="N178" s="7"/>
      <c r="O178" s="7"/>
      <c r="P178" s="102"/>
      <c r="Q178" s="6"/>
      <c r="R178" s="102"/>
      <c r="S178" s="6"/>
      <c r="T178" s="102"/>
      <c r="U178" s="6"/>
      <c r="V178" s="102"/>
      <c r="W178" s="6"/>
      <c r="X178" s="6"/>
      <c r="Y178" s="6"/>
      <c r="Z178" s="6"/>
      <c r="AA178" s="6"/>
      <c r="AB178" s="6"/>
      <c r="AC178" s="102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102"/>
      <c r="AU178" s="6"/>
      <c r="AV178" s="6"/>
      <c r="AW178" s="102"/>
      <c r="AX178" s="99"/>
      <c r="AY178" s="7"/>
      <c r="AZ178" s="99"/>
      <c r="BA178" s="102"/>
      <c r="BB178" s="102"/>
      <c r="BC178" s="102"/>
      <c r="BD178" s="6"/>
      <c r="BE178" s="6"/>
      <c r="BF178" s="6"/>
      <c r="BG178" s="6"/>
      <c r="BH178" s="6"/>
      <c r="BI178" s="102"/>
      <c r="BJ178" s="6"/>
      <c r="BK178" s="6"/>
      <c r="BL178" s="6"/>
      <c r="BM178" s="102"/>
      <c r="BN178" s="99"/>
      <c r="BO178" s="100"/>
      <c r="BP178" s="100"/>
      <c r="BQ178" s="100"/>
      <c r="BR178" s="102"/>
      <c r="BS178" s="6"/>
      <c r="BT178" s="6"/>
      <c r="BU178" s="6"/>
      <c r="BV178" s="6"/>
    </row>
    <row r="179" spans="1:74" s="101" customFormat="1" x14ac:dyDescent="0.25">
      <c r="A179" s="98"/>
      <c r="B179" s="115"/>
      <c r="C179" s="116"/>
      <c r="D179" s="2"/>
      <c r="E179" s="127"/>
      <c r="F179" s="99"/>
      <c r="G179" s="87"/>
      <c r="H179" s="29"/>
      <c r="I179" s="98"/>
      <c r="J179" s="117"/>
      <c r="K179" s="117"/>
      <c r="L179" s="6"/>
      <c r="M179" s="7"/>
      <c r="N179" s="7"/>
      <c r="O179" s="7"/>
      <c r="P179" s="102"/>
      <c r="Q179" s="6"/>
      <c r="R179" s="102"/>
      <c r="S179" s="6"/>
      <c r="T179" s="102"/>
      <c r="U179" s="6"/>
      <c r="V179" s="102"/>
      <c r="W179" s="6"/>
      <c r="X179" s="6"/>
      <c r="Y179" s="6"/>
      <c r="Z179" s="6"/>
      <c r="AA179" s="6"/>
      <c r="AB179" s="6"/>
      <c r="AC179" s="102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102"/>
      <c r="AU179" s="6"/>
      <c r="AV179" s="6"/>
      <c r="AW179" s="102"/>
      <c r="AX179" s="99"/>
      <c r="AY179" s="7"/>
      <c r="AZ179" s="99"/>
      <c r="BA179" s="102"/>
      <c r="BB179" s="102"/>
      <c r="BC179" s="102"/>
      <c r="BD179" s="6"/>
      <c r="BE179" s="6"/>
      <c r="BF179" s="6"/>
      <c r="BG179" s="6"/>
      <c r="BH179" s="6"/>
      <c r="BI179" s="102"/>
      <c r="BJ179" s="6"/>
      <c r="BK179" s="6"/>
      <c r="BL179" s="6"/>
      <c r="BM179" s="102"/>
      <c r="BN179" s="99"/>
      <c r="BO179" s="100"/>
      <c r="BP179" s="100"/>
      <c r="BQ179" s="100"/>
      <c r="BR179" s="102"/>
      <c r="BS179" s="6"/>
      <c r="BT179" s="6"/>
      <c r="BU179" s="6"/>
      <c r="BV179" s="6"/>
    </row>
    <row r="180" spans="1:74" s="101" customFormat="1" x14ac:dyDescent="0.25">
      <c r="A180" s="98"/>
      <c r="B180" s="115"/>
      <c r="C180" s="116"/>
      <c r="D180" s="2"/>
      <c r="E180" s="127"/>
      <c r="F180" s="99"/>
      <c r="G180" s="87"/>
      <c r="H180" s="29"/>
      <c r="I180" s="98"/>
      <c r="J180" s="117"/>
      <c r="K180" s="117"/>
      <c r="L180" s="6"/>
      <c r="M180" s="7"/>
      <c r="N180" s="7"/>
      <c r="O180" s="7"/>
      <c r="P180" s="102"/>
      <c r="Q180" s="6"/>
      <c r="R180" s="102"/>
      <c r="S180" s="6"/>
      <c r="T180" s="102"/>
      <c r="U180" s="6"/>
      <c r="V180" s="102"/>
      <c r="W180" s="6"/>
      <c r="X180" s="6"/>
      <c r="Y180" s="6"/>
      <c r="Z180" s="6"/>
      <c r="AA180" s="6"/>
      <c r="AB180" s="6"/>
      <c r="AC180" s="102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102"/>
      <c r="AU180" s="6"/>
      <c r="AV180" s="6"/>
      <c r="AW180" s="102"/>
      <c r="AX180" s="99"/>
      <c r="AY180" s="7"/>
      <c r="AZ180" s="99"/>
      <c r="BA180" s="102"/>
      <c r="BB180" s="102"/>
      <c r="BC180" s="102"/>
      <c r="BD180" s="6"/>
      <c r="BE180" s="6"/>
      <c r="BF180" s="6"/>
      <c r="BG180" s="6"/>
      <c r="BH180" s="6"/>
      <c r="BI180" s="102"/>
      <c r="BJ180" s="6"/>
      <c r="BK180" s="6"/>
      <c r="BL180" s="6"/>
      <c r="BM180" s="102"/>
      <c r="BN180" s="99"/>
      <c r="BO180" s="100"/>
      <c r="BP180" s="100"/>
      <c r="BQ180" s="100"/>
      <c r="BR180" s="102"/>
      <c r="BS180" s="6"/>
      <c r="BT180" s="6"/>
      <c r="BU180" s="6"/>
      <c r="BV180" s="6"/>
    </row>
    <row r="181" spans="1:74" s="101" customFormat="1" x14ac:dyDescent="0.25">
      <c r="A181" s="98"/>
      <c r="B181" s="115"/>
      <c r="C181" s="116"/>
      <c r="D181" s="4"/>
      <c r="E181" s="127"/>
      <c r="F181" s="99"/>
      <c r="G181" s="87"/>
      <c r="H181" s="29"/>
      <c r="I181" s="98"/>
      <c r="J181" s="117"/>
      <c r="K181" s="117"/>
      <c r="L181" s="6"/>
      <c r="M181" s="6"/>
      <c r="N181" s="6"/>
      <c r="O181" s="6"/>
      <c r="P181" s="99"/>
      <c r="Q181" s="6"/>
      <c r="R181" s="99"/>
      <c r="S181" s="6"/>
      <c r="T181" s="6"/>
      <c r="U181" s="6"/>
      <c r="V181" s="99"/>
      <c r="W181" s="6"/>
      <c r="X181" s="6"/>
      <c r="Y181" s="6"/>
      <c r="Z181" s="6"/>
      <c r="AA181" s="6"/>
      <c r="AB181" s="6"/>
      <c r="AC181" s="99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99"/>
      <c r="AU181" s="6"/>
      <c r="AV181" s="6"/>
      <c r="AW181" s="99"/>
      <c r="AX181" s="99"/>
      <c r="AY181" s="6"/>
      <c r="AZ181" s="99"/>
      <c r="BA181" s="99"/>
      <c r="BB181" s="99"/>
      <c r="BC181" s="99"/>
      <c r="BD181" s="6"/>
      <c r="BE181" s="6"/>
      <c r="BF181" s="6"/>
      <c r="BG181" s="6"/>
      <c r="BH181" s="6"/>
      <c r="BI181" s="99"/>
      <c r="BJ181" s="6"/>
      <c r="BK181" s="6"/>
      <c r="BL181" s="6"/>
      <c r="BM181" s="99"/>
      <c r="BN181" s="99"/>
      <c r="BO181" s="100"/>
      <c r="BP181" s="100"/>
      <c r="BQ181" s="100"/>
      <c r="BR181" s="99"/>
      <c r="BS181" s="6"/>
      <c r="BT181" s="6"/>
      <c r="BU181" s="6"/>
      <c r="BV181" s="6"/>
    </row>
    <row r="182" spans="1:74" s="101" customFormat="1" x14ac:dyDescent="0.25">
      <c r="A182" s="98"/>
      <c r="B182" s="115"/>
      <c r="C182" s="116"/>
      <c r="D182" s="2"/>
      <c r="E182" s="127"/>
      <c r="F182" s="99"/>
      <c r="G182" s="87"/>
      <c r="H182" s="29"/>
      <c r="I182" s="98"/>
      <c r="J182" s="117"/>
      <c r="K182" s="117"/>
      <c r="L182" s="6"/>
      <c r="M182" s="7"/>
      <c r="N182" s="7"/>
      <c r="O182" s="7"/>
      <c r="P182" s="102"/>
      <c r="Q182" s="6"/>
      <c r="R182" s="102"/>
      <c r="S182" s="6"/>
      <c r="T182" s="102"/>
      <c r="U182" s="6"/>
      <c r="V182" s="102"/>
      <c r="W182" s="6"/>
      <c r="X182" s="6"/>
      <c r="Y182" s="6"/>
      <c r="Z182" s="6"/>
      <c r="AA182" s="6"/>
      <c r="AB182" s="6"/>
      <c r="AC182" s="102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102"/>
      <c r="AU182" s="6"/>
      <c r="AV182" s="6"/>
      <c r="AW182" s="102"/>
      <c r="AX182" s="99"/>
      <c r="AY182" s="6"/>
      <c r="AZ182" s="99"/>
      <c r="BA182" s="102"/>
      <c r="BB182" s="102"/>
      <c r="BC182" s="102"/>
      <c r="BD182" s="6"/>
      <c r="BE182" s="6"/>
      <c r="BF182" s="6"/>
      <c r="BG182" s="6"/>
      <c r="BH182" s="6"/>
      <c r="BI182" s="102"/>
      <c r="BJ182" s="6"/>
      <c r="BK182" s="6"/>
      <c r="BL182" s="6"/>
      <c r="BM182" s="102"/>
      <c r="BN182" s="99"/>
      <c r="BO182" s="100"/>
      <c r="BP182" s="100"/>
      <c r="BQ182" s="100"/>
      <c r="BR182" s="102"/>
      <c r="BS182" s="6"/>
      <c r="BT182" s="6"/>
      <c r="BU182" s="6"/>
      <c r="BV182" s="6"/>
    </row>
    <row r="183" spans="1:74" s="101" customFormat="1" x14ac:dyDescent="0.25">
      <c r="A183" s="98"/>
      <c r="B183" s="115"/>
      <c r="C183" s="116"/>
      <c r="D183" s="2"/>
      <c r="E183" s="127"/>
      <c r="F183" s="99"/>
      <c r="G183" s="87"/>
      <c r="H183" s="29"/>
      <c r="I183" s="98"/>
      <c r="J183" s="117"/>
      <c r="K183" s="117"/>
      <c r="L183" s="6"/>
      <c r="M183" s="7"/>
      <c r="N183" s="7"/>
      <c r="O183" s="7"/>
      <c r="P183" s="102"/>
      <c r="Q183" s="6"/>
      <c r="R183" s="102"/>
      <c r="S183" s="6"/>
      <c r="T183" s="102"/>
      <c r="U183" s="6"/>
      <c r="V183" s="102"/>
      <c r="W183" s="6"/>
      <c r="X183" s="6"/>
      <c r="Y183" s="6"/>
      <c r="Z183" s="6"/>
      <c r="AA183" s="6"/>
      <c r="AB183" s="6"/>
      <c r="AC183" s="102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102"/>
      <c r="AU183" s="6"/>
      <c r="AV183" s="6"/>
      <c r="AW183" s="102"/>
      <c r="AX183" s="99"/>
      <c r="AY183" s="7"/>
      <c r="AZ183" s="99"/>
      <c r="BA183" s="102"/>
      <c r="BB183" s="102"/>
      <c r="BC183" s="102"/>
      <c r="BD183" s="6"/>
      <c r="BE183" s="6"/>
      <c r="BF183" s="6"/>
      <c r="BG183" s="6"/>
      <c r="BH183" s="6"/>
      <c r="BI183" s="102"/>
      <c r="BJ183" s="6"/>
      <c r="BK183" s="6"/>
      <c r="BL183" s="6"/>
      <c r="BM183" s="102"/>
      <c r="BN183" s="99"/>
      <c r="BO183" s="100"/>
      <c r="BP183" s="100"/>
      <c r="BQ183" s="100"/>
      <c r="BR183" s="102"/>
      <c r="BS183" s="6"/>
      <c r="BT183" s="6"/>
      <c r="BU183" s="6"/>
      <c r="BV183" s="6"/>
    </row>
    <row r="184" spans="1:74" s="101" customFormat="1" x14ac:dyDescent="0.25">
      <c r="A184" s="98"/>
      <c r="B184" s="115"/>
      <c r="C184" s="116"/>
      <c r="D184" s="2"/>
      <c r="E184" s="127"/>
      <c r="F184" s="99"/>
      <c r="G184" s="87"/>
      <c r="H184" s="29"/>
      <c r="I184" s="98"/>
      <c r="J184" s="117"/>
      <c r="K184" s="117"/>
      <c r="L184" s="6"/>
      <c r="M184" s="7"/>
      <c r="N184" s="7"/>
      <c r="O184" s="7"/>
      <c r="P184" s="102"/>
      <c r="Q184" s="6"/>
      <c r="R184" s="102"/>
      <c r="S184" s="6"/>
      <c r="T184" s="102"/>
      <c r="U184" s="6"/>
      <c r="V184" s="102"/>
      <c r="W184" s="6"/>
      <c r="X184" s="6"/>
      <c r="Y184" s="6"/>
      <c r="Z184" s="6"/>
      <c r="AA184" s="6"/>
      <c r="AB184" s="6"/>
      <c r="AC184" s="102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102"/>
      <c r="AU184" s="6"/>
      <c r="AV184" s="6"/>
      <c r="AW184" s="102"/>
      <c r="AX184" s="99"/>
      <c r="AY184" s="7"/>
      <c r="AZ184" s="99"/>
      <c r="BA184" s="102"/>
      <c r="BB184" s="102"/>
      <c r="BC184" s="102"/>
      <c r="BD184" s="6"/>
      <c r="BE184" s="6"/>
      <c r="BF184" s="6"/>
      <c r="BG184" s="6"/>
      <c r="BH184" s="6"/>
      <c r="BI184" s="102"/>
      <c r="BJ184" s="6"/>
      <c r="BK184" s="6"/>
      <c r="BL184" s="6"/>
      <c r="BM184" s="102"/>
      <c r="BN184" s="99"/>
      <c r="BO184" s="100"/>
      <c r="BP184" s="100"/>
      <c r="BQ184" s="100"/>
      <c r="BR184" s="102"/>
      <c r="BS184" s="6"/>
      <c r="BT184" s="6"/>
      <c r="BU184" s="6"/>
      <c r="BV184" s="6"/>
    </row>
    <row r="185" spans="1:74" s="101" customFormat="1" x14ac:dyDescent="0.25">
      <c r="A185" s="98"/>
      <c r="B185" s="115"/>
      <c r="C185" s="116"/>
      <c r="D185" s="2"/>
      <c r="E185" s="127"/>
      <c r="F185" s="99"/>
      <c r="G185" s="87"/>
      <c r="H185" s="29"/>
      <c r="I185" s="98"/>
      <c r="J185" s="117"/>
      <c r="K185" s="117"/>
      <c r="L185" s="6"/>
      <c r="M185" s="7"/>
      <c r="N185" s="7"/>
      <c r="O185" s="7"/>
      <c r="P185" s="102"/>
      <c r="Q185" s="6"/>
      <c r="R185" s="102"/>
      <c r="S185" s="6"/>
      <c r="T185" s="102"/>
      <c r="U185" s="6"/>
      <c r="V185" s="102"/>
      <c r="W185" s="6"/>
      <c r="X185" s="6"/>
      <c r="Y185" s="6"/>
      <c r="Z185" s="6"/>
      <c r="AA185" s="6"/>
      <c r="AB185" s="6"/>
      <c r="AC185" s="102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102"/>
      <c r="AU185" s="6"/>
      <c r="AV185" s="6"/>
      <c r="AW185" s="102"/>
      <c r="AX185" s="99"/>
      <c r="AY185" s="7"/>
      <c r="AZ185" s="99"/>
      <c r="BA185" s="102"/>
      <c r="BB185" s="102"/>
      <c r="BC185" s="102"/>
      <c r="BD185" s="6"/>
      <c r="BE185" s="6"/>
      <c r="BF185" s="6"/>
      <c r="BG185" s="6"/>
      <c r="BH185" s="6"/>
      <c r="BI185" s="102"/>
      <c r="BJ185" s="6"/>
      <c r="BK185" s="6"/>
      <c r="BL185" s="6"/>
      <c r="BM185" s="102"/>
      <c r="BN185" s="99"/>
      <c r="BO185" s="100"/>
      <c r="BP185" s="100"/>
      <c r="BQ185" s="100"/>
      <c r="BR185" s="102"/>
      <c r="BS185" s="6"/>
      <c r="BT185" s="6"/>
      <c r="BU185" s="6"/>
      <c r="BV185" s="6"/>
    </row>
    <row r="186" spans="1:74" s="101" customFormat="1" x14ac:dyDescent="0.25">
      <c r="A186" s="98"/>
      <c r="B186" s="115"/>
      <c r="C186" s="116"/>
      <c r="D186" s="2"/>
      <c r="E186" s="127"/>
      <c r="F186" s="99"/>
      <c r="G186" s="87"/>
      <c r="H186" s="29"/>
      <c r="I186" s="98"/>
      <c r="J186" s="117"/>
      <c r="K186" s="117"/>
      <c r="L186" s="6"/>
      <c r="M186" s="7"/>
      <c r="N186" s="7"/>
      <c r="O186" s="7"/>
      <c r="P186" s="102"/>
      <c r="Q186" s="6"/>
      <c r="R186" s="102"/>
      <c r="S186" s="6"/>
      <c r="T186" s="102"/>
      <c r="U186" s="6"/>
      <c r="V186" s="102"/>
      <c r="W186" s="6"/>
      <c r="X186" s="6"/>
      <c r="Y186" s="6"/>
      <c r="Z186" s="6"/>
      <c r="AA186" s="6"/>
      <c r="AB186" s="6"/>
      <c r="AC186" s="102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102"/>
      <c r="AU186" s="6"/>
      <c r="AV186" s="6"/>
      <c r="AW186" s="102"/>
      <c r="AX186" s="99"/>
      <c r="AY186" s="7"/>
      <c r="AZ186" s="99"/>
      <c r="BA186" s="102"/>
      <c r="BB186" s="102"/>
      <c r="BC186" s="102"/>
      <c r="BD186" s="6"/>
      <c r="BE186" s="6"/>
      <c r="BF186" s="6"/>
      <c r="BG186" s="6"/>
      <c r="BH186" s="6"/>
      <c r="BI186" s="102"/>
      <c r="BJ186" s="6"/>
      <c r="BK186" s="6"/>
      <c r="BL186" s="6"/>
      <c r="BM186" s="102"/>
      <c r="BN186" s="99"/>
      <c r="BO186" s="100"/>
      <c r="BP186" s="100"/>
      <c r="BQ186" s="100"/>
      <c r="BR186" s="102"/>
      <c r="BS186" s="6"/>
      <c r="BT186" s="6"/>
      <c r="BU186" s="6"/>
      <c r="BV186" s="6"/>
    </row>
    <row r="187" spans="1:74" s="101" customFormat="1" x14ac:dyDescent="0.25">
      <c r="A187" s="98"/>
      <c r="B187" s="115"/>
      <c r="C187" s="116"/>
      <c r="D187" s="2"/>
      <c r="E187" s="127"/>
      <c r="F187" s="99"/>
      <c r="G187" s="87"/>
      <c r="H187" s="29"/>
      <c r="I187" s="98"/>
      <c r="J187" s="117"/>
      <c r="K187" s="117"/>
      <c r="L187" s="6"/>
      <c r="M187" s="7"/>
      <c r="N187" s="7"/>
      <c r="O187" s="7"/>
      <c r="P187" s="102"/>
      <c r="Q187" s="6"/>
      <c r="R187" s="102"/>
      <c r="S187" s="6"/>
      <c r="T187" s="102"/>
      <c r="U187" s="6"/>
      <c r="V187" s="102"/>
      <c r="W187" s="6"/>
      <c r="X187" s="6"/>
      <c r="Y187" s="6"/>
      <c r="Z187" s="6"/>
      <c r="AA187" s="6"/>
      <c r="AB187" s="6"/>
      <c r="AC187" s="102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102"/>
      <c r="AU187" s="6"/>
      <c r="AV187" s="6"/>
      <c r="AW187" s="102"/>
      <c r="AX187" s="99"/>
      <c r="AY187" s="7"/>
      <c r="AZ187" s="99"/>
      <c r="BA187" s="102"/>
      <c r="BB187" s="102"/>
      <c r="BC187" s="102"/>
      <c r="BD187" s="6"/>
      <c r="BE187" s="6"/>
      <c r="BF187" s="6"/>
      <c r="BG187" s="6"/>
      <c r="BH187" s="6"/>
      <c r="BI187" s="102"/>
      <c r="BJ187" s="6"/>
      <c r="BK187" s="6"/>
      <c r="BL187" s="6"/>
      <c r="BM187" s="102"/>
      <c r="BN187" s="99"/>
      <c r="BO187" s="100"/>
      <c r="BP187" s="100"/>
      <c r="BQ187" s="100"/>
      <c r="BR187" s="102"/>
      <c r="BS187" s="6"/>
      <c r="BT187" s="6"/>
      <c r="BU187" s="6"/>
      <c r="BV187" s="6"/>
    </row>
    <row r="188" spans="1:74" s="101" customFormat="1" x14ac:dyDescent="0.25">
      <c r="A188" s="98"/>
      <c r="B188" s="115"/>
      <c r="C188" s="116"/>
      <c r="D188" s="2"/>
      <c r="E188" s="127"/>
      <c r="F188" s="99"/>
      <c r="G188" s="87"/>
      <c r="H188" s="29"/>
      <c r="I188" s="98"/>
      <c r="J188" s="117"/>
      <c r="K188" s="117"/>
      <c r="L188" s="6"/>
      <c r="M188" s="7"/>
      <c r="N188" s="7"/>
      <c r="O188" s="7"/>
      <c r="P188" s="102"/>
      <c r="Q188" s="6"/>
      <c r="R188" s="102"/>
      <c r="S188" s="6"/>
      <c r="T188" s="102"/>
      <c r="U188" s="6"/>
      <c r="V188" s="102"/>
      <c r="W188" s="6"/>
      <c r="X188" s="6"/>
      <c r="Y188" s="6"/>
      <c r="Z188" s="6"/>
      <c r="AA188" s="6"/>
      <c r="AB188" s="6"/>
      <c r="AC188" s="102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102"/>
      <c r="AU188" s="6"/>
      <c r="AV188" s="6"/>
      <c r="AW188" s="102"/>
      <c r="AX188" s="99"/>
      <c r="AY188" s="7"/>
      <c r="AZ188" s="99"/>
      <c r="BA188" s="102"/>
      <c r="BB188" s="102"/>
      <c r="BC188" s="102"/>
      <c r="BD188" s="6"/>
      <c r="BE188" s="6"/>
      <c r="BF188" s="6"/>
      <c r="BG188" s="6"/>
      <c r="BH188" s="6"/>
      <c r="BI188" s="102"/>
      <c r="BJ188" s="6"/>
      <c r="BK188" s="6"/>
      <c r="BL188" s="6"/>
      <c r="BM188" s="102"/>
      <c r="BN188" s="99"/>
      <c r="BO188" s="100"/>
      <c r="BP188" s="100"/>
      <c r="BQ188" s="100"/>
      <c r="BR188" s="102"/>
      <c r="BS188" s="6"/>
      <c r="BT188" s="6"/>
      <c r="BU188" s="6"/>
      <c r="BV188" s="6"/>
    </row>
    <row r="189" spans="1:74" s="101" customFormat="1" x14ac:dyDescent="0.25">
      <c r="A189" s="98"/>
      <c r="B189" s="115"/>
      <c r="C189" s="116"/>
      <c r="D189" s="2"/>
      <c r="E189" s="127"/>
      <c r="F189" s="99"/>
      <c r="G189" s="87"/>
      <c r="H189" s="29"/>
      <c r="I189" s="98"/>
      <c r="J189" s="117"/>
      <c r="K189" s="117"/>
      <c r="L189" s="6"/>
      <c r="M189" s="7"/>
      <c r="N189" s="7"/>
      <c r="O189" s="7"/>
      <c r="P189" s="102"/>
      <c r="Q189" s="6"/>
      <c r="R189" s="102"/>
      <c r="S189" s="6"/>
      <c r="T189" s="102"/>
      <c r="U189" s="6"/>
      <c r="V189" s="102"/>
      <c r="W189" s="6"/>
      <c r="X189" s="6"/>
      <c r="Y189" s="6"/>
      <c r="Z189" s="6"/>
      <c r="AA189" s="6"/>
      <c r="AB189" s="6"/>
      <c r="AC189" s="102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102"/>
      <c r="AU189" s="6"/>
      <c r="AV189" s="6"/>
      <c r="AW189" s="102"/>
      <c r="AX189" s="99"/>
      <c r="AY189" s="7"/>
      <c r="AZ189" s="99"/>
      <c r="BA189" s="102"/>
      <c r="BB189" s="102"/>
      <c r="BC189" s="102"/>
      <c r="BD189" s="6"/>
      <c r="BE189" s="6"/>
      <c r="BF189" s="6"/>
      <c r="BG189" s="6"/>
      <c r="BH189" s="6"/>
      <c r="BI189" s="102"/>
      <c r="BJ189" s="6"/>
      <c r="BK189" s="6"/>
      <c r="BL189" s="6"/>
      <c r="BM189" s="102"/>
      <c r="BN189" s="99"/>
      <c r="BO189" s="100"/>
      <c r="BP189" s="100"/>
      <c r="BQ189" s="100"/>
      <c r="BR189" s="102"/>
      <c r="BS189" s="6"/>
      <c r="BT189" s="6"/>
      <c r="BU189" s="6"/>
      <c r="BV189" s="6"/>
    </row>
    <row r="190" spans="1:74" s="101" customFormat="1" x14ac:dyDescent="0.25">
      <c r="A190" s="98"/>
      <c r="B190" s="115"/>
      <c r="C190" s="116"/>
      <c r="D190" s="2"/>
      <c r="E190" s="127"/>
      <c r="F190" s="99"/>
      <c r="G190" s="87"/>
      <c r="H190" s="29"/>
      <c r="I190" s="98"/>
      <c r="J190" s="117"/>
      <c r="K190" s="117"/>
      <c r="L190" s="6"/>
      <c r="M190" s="7"/>
      <c r="N190" s="7"/>
      <c r="O190" s="7"/>
      <c r="P190" s="102"/>
      <c r="Q190" s="6"/>
      <c r="R190" s="102"/>
      <c r="S190" s="6"/>
      <c r="T190" s="102"/>
      <c r="U190" s="6"/>
      <c r="V190" s="102"/>
      <c r="W190" s="6"/>
      <c r="X190" s="6"/>
      <c r="Y190" s="6"/>
      <c r="Z190" s="6"/>
      <c r="AA190" s="6"/>
      <c r="AB190" s="6"/>
      <c r="AC190" s="102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102"/>
      <c r="AU190" s="6"/>
      <c r="AV190" s="6"/>
      <c r="AW190" s="102"/>
      <c r="AX190" s="99"/>
      <c r="AY190" s="7"/>
      <c r="AZ190" s="99"/>
      <c r="BA190" s="102"/>
      <c r="BB190" s="102"/>
      <c r="BC190" s="102"/>
      <c r="BD190" s="6"/>
      <c r="BE190" s="6"/>
      <c r="BF190" s="6"/>
      <c r="BG190" s="6"/>
      <c r="BH190" s="6"/>
      <c r="BI190" s="102"/>
      <c r="BJ190" s="6"/>
      <c r="BK190" s="6"/>
      <c r="BL190" s="6"/>
      <c r="BM190" s="102"/>
      <c r="BN190" s="99"/>
      <c r="BO190" s="100"/>
      <c r="BP190" s="100"/>
      <c r="BQ190" s="100"/>
      <c r="BR190" s="102"/>
      <c r="BS190" s="6"/>
      <c r="BT190" s="6"/>
      <c r="BU190" s="6"/>
      <c r="BV190" s="6"/>
    </row>
    <row r="191" spans="1:74" s="101" customFormat="1" x14ac:dyDescent="0.25">
      <c r="A191" s="98"/>
      <c r="B191" s="115"/>
      <c r="C191" s="116"/>
      <c r="D191" s="2"/>
      <c r="E191" s="127"/>
      <c r="F191" s="99"/>
      <c r="G191" s="87"/>
      <c r="H191" s="29"/>
      <c r="I191" s="98"/>
      <c r="J191" s="117"/>
      <c r="K191" s="117"/>
      <c r="L191" s="6"/>
      <c r="M191" s="7"/>
      <c r="N191" s="7"/>
      <c r="O191" s="7"/>
      <c r="P191" s="102"/>
      <c r="Q191" s="6"/>
      <c r="R191" s="102"/>
      <c r="S191" s="6"/>
      <c r="T191" s="102"/>
      <c r="U191" s="6"/>
      <c r="V191" s="102"/>
      <c r="W191" s="6"/>
      <c r="X191" s="6"/>
      <c r="Y191" s="6"/>
      <c r="Z191" s="6"/>
      <c r="AA191" s="6"/>
      <c r="AB191" s="6"/>
      <c r="AC191" s="102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102"/>
      <c r="AU191" s="6"/>
      <c r="AV191" s="6"/>
      <c r="AW191" s="102"/>
      <c r="AX191" s="99"/>
      <c r="AY191" s="7"/>
      <c r="AZ191" s="99"/>
      <c r="BA191" s="102"/>
      <c r="BB191" s="102"/>
      <c r="BC191" s="102"/>
      <c r="BD191" s="6"/>
      <c r="BE191" s="6"/>
      <c r="BF191" s="6"/>
      <c r="BG191" s="6"/>
      <c r="BH191" s="6"/>
      <c r="BI191" s="102"/>
      <c r="BJ191" s="6"/>
      <c r="BK191" s="6"/>
      <c r="BL191" s="6"/>
      <c r="BM191" s="102"/>
      <c r="BN191" s="99"/>
      <c r="BO191" s="100"/>
      <c r="BP191" s="100"/>
      <c r="BQ191" s="100"/>
      <c r="BR191" s="102"/>
      <c r="BS191" s="6"/>
      <c r="BT191" s="6"/>
      <c r="BU191" s="6"/>
      <c r="BV191" s="6"/>
    </row>
    <row r="192" spans="1:74" s="101" customFormat="1" x14ac:dyDescent="0.25">
      <c r="A192" s="98"/>
      <c r="B192" s="115"/>
      <c r="C192" s="116"/>
      <c r="D192" s="2"/>
      <c r="E192" s="127"/>
      <c r="F192" s="99"/>
      <c r="G192" s="87"/>
      <c r="H192" s="29"/>
      <c r="I192" s="98"/>
      <c r="J192" s="117"/>
      <c r="K192" s="117"/>
      <c r="L192" s="6"/>
      <c r="M192" s="7"/>
      <c r="N192" s="7"/>
      <c r="O192" s="7"/>
      <c r="P192" s="102"/>
      <c r="Q192" s="6"/>
      <c r="R192" s="102"/>
      <c r="S192" s="6"/>
      <c r="T192" s="102"/>
      <c r="U192" s="6"/>
      <c r="V192" s="102"/>
      <c r="W192" s="6"/>
      <c r="X192" s="6"/>
      <c r="Y192" s="6"/>
      <c r="Z192" s="6"/>
      <c r="AA192" s="6"/>
      <c r="AB192" s="6"/>
      <c r="AC192" s="102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102"/>
      <c r="AU192" s="6"/>
      <c r="AV192" s="6"/>
      <c r="AW192" s="102"/>
      <c r="AX192" s="99"/>
      <c r="AY192" s="7"/>
      <c r="AZ192" s="99"/>
      <c r="BA192" s="102"/>
      <c r="BB192" s="102"/>
      <c r="BC192" s="102"/>
      <c r="BD192" s="6"/>
      <c r="BE192" s="6"/>
      <c r="BF192" s="6"/>
      <c r="BG192" s="6"/>
      <c r="BH192" s="6"/>
      <c r="BI192" s="102"/>
      <c r="BJ192" s="6"/>
      <c r="BK192" s="6"/>
      <c r="BL192" s="6"/>
      <c r="BM192" s="102"/>
      <c r="BN192" s="99"/>
      <c r="BO192" s="100"/>
      <c r="BP192" s="100"/>
      <c r="BQ192" s="100"/>
      <c r="BR192" s="102"/>
      <c r="BS192" s="6"/>
      <c r="BT192" s="6"/>
      <c r="BU192" s="6"/>
      <c r="BV192" s="6"/>
    </row>
    <row r="193" spans="1:74" s="101" customFormat="1" x14ac:dyDescent="0.25">
      <c r="A193" s="98"/>
      <c r="B193" s="115"/>
      <c r="C193" s="116"/>
      <c r="D193" s="2"/>
      <c r="E193" s="127"/>
      <c r="F193" s="99"/>
      <c r="G193" s="87"/>
      <c r="H193" s="29"/>
      <c r="I193" s="98"/>
      <c r="J193" s="117"/>
      <c r="K193" s="117"/>
      <c r="L193" s="6"/>
      <c r="M193" s="7"/>
      <c r="N193" s="7"/>
      <c r="O193" s="7"/>
      <c r="P193" s="102"/>
      <c r="Q193" s="6"/>
      <c r="R193" s="102"/>
      <c r="S193" s="6"/>
      <c r="T193" s="102"/>
      <c r="U193" s="6"/>
      <c r="V193" s="102"/>
      <c r="W193" s="6"/>
      <c r="X193" s="6"/>
      <c r="Y193" s="6"/>
      <c r="Z193" s="6"/>
      <c r="AA193" s="6"/>
      <c r="AB193" s="6"/>
      <c r="AC193" s="102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102"/>
      <c r="AU193" s="6"/>
      <c r="AV193" s="6"/>
      <c r="AW193" s="102"/>
      <c r="AX193" s="99"/>
      <c r="AY193" s="7"/>
      <c r="AZ193" s="99"/>
      <c r="BA193" s="102"/>
      <c r="BB193" s="102"/>
      <c r="BC193" s="102"/>
      <c r="BD193" s="6"/>
      <c r="BE193" s="6"/>
      <c r="BF193" s="6"/>
      <c r="BG193" s="6"/>
      <c r="BH193" s="6"/>
      <c r="BI193" s="102"/>
      <c r="BJ193" s="6"/>
      <c r="BK193" s="6"/>
      <c r="BL193" s="6"/>
      <c r="BM193" s="102"/>
      <c r="BN193" s="99"/>
      <c r="BO193" s="100"/>
      <c r="BP193" s="100"/>
      <c r="BQ193" s="100"/>
      <c r="BR193" s="102"/>
      <c r="BS193" s="6"/>
      <c r="BT193" s="6"/>
      <c r="BU193" s="6"/>
      <c r="BV193" s="6"/>
    </row>
    <row r="194" spans="1:74" s="101" customFormat="1" x14ac:dyDescent="0.25">
      <c r="A194" s="98"/>
      <c r="B194" s="115"/>
      <c r="C194" s="116"/>
      <c r="D194" s="2"/>
      <c r="E194" s="127"/>
      <c r="F194" s="99"/>
      <c r="G194" s="87"/>
      <c r="H194" s="29"/>
      <c r="I194" s="98"/>
      <c r="J194" s="117"/>
      <c r="K194" s="117"/>
      <c r="L194" s="6"/>
      <c r="M194" s="7"/>
      <c r="N194" s="7"/>
      <c r="O194" s="7"/>
      <c r="P194" s="102"/>
      <c r="Q194" s="6"/>
      <c r="R194" s="102"/>
      <c r="S194" s="6"/>
      <c r="T194" s="102"/>
      <c r="U194" s="6"/>
      <c r="V194" s="102"/>
      <c r="W194" s="6"/>
      <c r="X194" s="6"/>
      <c r="Y194" s="6"/>
      <c r="Z194" s="6"/>
      <c r="AA194" s="6"/>
      <c r="AB194" s="6"/>
      <c r="AC194" s="102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102"/>
      <c r="AU194" s="6"/>
      <c r="AV194" s="6"/>
      <c r="AW194" s="102"/>
      <c r="AX194" s="99"/>
      <c r="AY194" s="7"/>
      <c r="AZ194" s="99"/>
      <c r="BA194" s="102"/>
      <c r="BB194" s="102"/>
      <c r="BC194" s="102"/>
      <c r="BD194" s="6"/>
      <c r="BE194" s="6"/>
      <c r="BF194" s="6"/>
      <c r="BG194" s="6"/>
      <c r="BH194" s="6"/>
      <c r="BI194" s="102"/>
      <c r="BJ194" s="6"/>
      <c r="BK194" s="6"/>
      <c r="BL194" s="6"/>
      <c r="BM194" s="102"/>
      <c r="BN194" s="99"/>
      <c r="BO194" s="100"/>
      <c r="BP194" s="100"/>
      <c r="BQ194" s="100"/>
      <c r="BR194" s="102"/>
      <c r="BS194" s="6"/>
      <c r="BT194" s="6"/>
      <c r="BU194" s="6"/>
      <c r="BV194" s="6"/>
    </row>
    <row r="195" spans="1:74" s="101" customFormat="1" x14ac:dyDescent="0.25">
      <c r="A195" s="98"/>
      <c r="B195" s="115"/>
      <c r="C195" s="116"/>
      <c r="D195" s="2"/>
      <c r="E195" s="127"/>
      <c r="F195" s="99"/>
      <c r="G195" s="87"/>
      <c r="H195" s="29"/>
      <c r="I195" s="98"/>
      <c r="J195" s="117"/>
      <c r="K195" s="117"/>
      <c r="L195" s="6"/>
      <c r="M195" s="7"/>
      <c r="N195" s="7"/>
      <c r="O195" s="7"/>
      <c r="P195" s="102"/>
      <c r="Q195" s="6"/>
      <c r="R195" s="102"/>
      <c r="S195" s="6"/>
      <c r="T195" s="102"/>
      <c r="U195" s="6"/>
      <c r="V195" s="102"/>
      <c r="W195" s="6"/>
      <c r="X195" s="6"/>
      <c r="Y195" s="6"/>
      <c r="Z195" s="6"/>
      <c r="AA195" s="6"/>
      <c r="AB195" s="6"/>
      <c r="AC195" s="102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102"/>
      <c r="AU195" s="6"/>
      <c r="AV195" s="6"/>
      <c r="AW195" s="102"/>
      <c r="AX195" s="99"/>
      <c r="AY195" s="7"/>
      <c r="AZ195" s="99"/>
      <c r="BA195" s="102"/>
      <c r="BB195" s="102"/>
      <c r="BC195" s="102"/>
      <c r="BD195" s="6"/>
      <c r="BE195" s="6"/>
      <c r="BF195" s="6"/>
      <c r="BG195" s="6"/>
      <c r="BH195" s="6"/>
      <c r="BI195" s="102"/>
      <c r="BJ195" s="6"/>
      <c r="BK195" s="6"/>
      <c r="BL195" s="6"/>
      <c r="BM195" s="102"/>
      <c r="BN195" s="99"/>
      <c r="BO195" s="100"/>
      <c r="BP195" s="100"/>
      <c r="BQ195" s="100"/>
      <c r="BR195" s="102"/>
      <c r="BS195" s="6"/>
      <c r="BT195" s="6"/>
      <c r="BU195" s="6"/>
      <c r="BV195" s="6"/>
    </row>
    <row r="196" spans="1:74" s="101" customFormat="1" x14ac:dyDescent="0.25">
      <c r="A196" s="98"/>
      <c r="B196" s="115"/>
      <c r="C196" s="116"/>
      <c r="D196" s="2"/>
      <c r="E196" s="127"/>
      <c r="F196" s="99"/>
      <c r="G196" s="87"/>
      <c r="H196" s="29"/>
      <c r="I196" s="98"/>
      <c r="J196" s="117"/>
      <c r="K196" s="117"/>
      <c r="L196" s="6"/>
      <c r="M196" s="7"/>
      <c r="N196" s="7"/>
      <c r="O196" s="7"/>
      <c r="P196" s="102"/>
      <c r="Q196" s="6"/>
      <c r="R196" s="102"/>
      <c r="S196" s="6"/>
      <c r="T196" s="102"/>
      <c r="U196" s="6"/>
      <c r="V196" s="102"/>
      <c r="W196" s="6"/>
      <c r="X196" s="6"/>
      <c r="Y196" s="6"/>
      <c r="Z196" s="6"/>
      <c r="AA196" s="6"/>
      <c r="AB196" s="6"/>
      <c r="AC196" s="102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102"/>
      <c r="AU196" s="6"/>
      <c r="AV196" s="6"/>
      <c r="AW196" s="102"/>
      <c r="AX196" s="99"/>
      <c r="AY196" s="7"/>
      <c r="AZ196" s="99"/>
      <c r="BA196" s="102"/>
      <c r="BB196" s="102"/>
      <c r="BC196" s="102"/>
      <c r="BD196" s="6"/>
      <c r="BE196" s="6"/>
      <c r="BF196" s="6"/>
      <c r="BG196" s="6"/>
      <c r="BH196" s="6"/>
      <c r="BI196" s="102"/>
      <c r="BJ196" s="6"/>
      <c r="BK196" s="6"/>
      <c r="BL196" s="6"/>
      <c r="BM196" s="102"/>
      <c r="BN196" s="99"/>
      <c r="BO196" s="100"/>
      <c r="BP196" s="100"/>
      <c r="BQ196" s="100"/>
      <c r="BR196" s="102"/>
      <c r="BS196" s="6"/>
      <c r="BT196" s="6"/>
      <c r="BU196" s="6"/>
      <c r="BV196" s="6"/>
    </row>
    <row r="197" spans="1:74" s="101" customFormat="1" x14ac:dyDescent="0.25">
      <c r="A197" s="98"/>
      <c r="B197" s="115"/>
      <c r="C197" s="116"/>
      <c r="D197" s="2"/>
      <c r="E197" s="127"/>
      <c r="F197" s="99"/>
      <c r="G197" s="87"/>
      <c r="H197" s="29"/>
      <c r="I197" s="98"/>
      <c r="J197" s="117"/>
      <c r="K197" s="117"/>
      <c r="L197" s="6"/>
      <c r="M197" s="7"/>
      <c r="N197" s="7"/>
      <c r="O197" s="7"/>
      <c r="P197" s="102"/>
      <c r="Q197" s="6"/>
      <c r="R197" s="102"/>
      <c r="S197" s="6"/>
      <c r="T197" s="102"/>
      <c r="U197" s="6"/>
      <c r="V197" s="102"/>
      <c r="W197" s="6"/>
      <c r="X197" s="6"/>
      <c r="Y197" s="6"/>
      <c r="Z197" s="6"/>
      <c r="AA197" s="6"/>
      <c r="AB197" s="6"/>
      <c r="AC197" s="102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102"/>
      <c r="AU197" s="6"/>
      <c r="AV197" s="6"/>
      <c r="AW197" s="102"/>
      <c r="AX197" s="99"/>
      <c r="AY197" s="7"/>
      <c r="AZ197" s="99"/>
      <c r="BA197" s="102"/>
      <c r="BB197" s="102"/>
      <c r="BC197" s="102"/>
      <c r="BD197" s="6"/>
      <c r="BE197" s="6"/>
      <c r="BF197" s="6"/>
      <c r="BG197" s="6"/>
      <c r="BH197" s="6"/>
      <c r="BI197" s="102"/>
      <c r="BJ197" s="6"/>
      <c r="BK197" s="6"/>
      <c r="BL197" s="6"/>
      <c r="BM197" s="102"/>
      <c r="BN197" s="99"/>
      <c r="BO197" s="100"/>
      <c r="BP197" s="100"/>
      <c r="BQ197" s="100"/>
      <c r="BR197" s="102"/>
      <c r="BS197" s="6"/>
      <c r="BT197" s="6"/>
      <c r="BU197" s="6"/>
      <c r="BV197" s="6"/>
    </row>
    <row r="198" spans="1:74" s="101" customFormat="1" x14ac:dyDescent="0.25">
      <c r="A198" s="98"/>
      <c r="B198" s="115"/>
      <c r="C198" s="116"/>
      <c r="D198" s="2"/>
      <c r="E198" s="127"/>
      <c r="F198" s="99"/>
      <c r="G198" s="87"/>
      <c r="H198" s="29"/>
      <c r="I198" s="98"/>
      <c r="J198" s="117"/>
      <c r="K198" s="117"/>
      <c r="L198" s="6"/>
      <c r="M198" s="7"/>
      <c r="N198" s="7"/>
      <c r="O198" s="7"/>
      <c r="P198" s="102"/>
      <c r="Q198" s="6"/>
      <c r="R198" s="102"/>
      <c r="S198" s="6"/>
      <c r="T198" s="102"/>
      <c r="U198" s="6"/>
      <c r="V198" s="102"/>
      <c r="W198" s="6"/>
      <c r="X198" s="6"/>
      <c r="Y198" s="6"/>
      <c r="Z198" s="6"/>
      <c r="AA198" s="6"/>
      <c r="AB198" s="6"/>
      <c r="AC198" s="102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102"/>
      <c r="AU198" s="6"/>
      <c r="AV198" s="6"/>
      <c r="AW198" s="102"/>
      <c r="AX198" s="99"/>
      <c r="AY198" s="7"/>
      <c r="AZ198" s="99"/>
      <c r="BA198" s="102"/>
      <c r="BB198" s="102"/>
      <c r="BC198" s="102"/>
      <c r="BD198" s="6"/>
      <c r="BE198" s="6"/>
      <c r="BF198" s="6"/>
      <c r="BG198" s="6"/>
      <c r="BH198" s="6"/>
      <c r="BI198" s="102"/>
      <c r="BJ198" s="6"/>
      <c r="BK198" s="6"/>
      <c r="BL198" s="6"/>
      <c r="BM198" s="102"/>
      <c r="BN198" s="99"/>
      <c r="BO198" s="100"/>
      <c r="BP198" s="100"/>
      <c r="BQ198" s="100"/>
      <c r="BR198" s="102"/>
      <c r="BS198" s="6"/>
      <c r="BT198" s="6"/>
      <c r="BU198" s="6"/>
      <c r="BV198" s="6"/>
    </row>
    <row r="199" spans="1:74" s="101" customFormat="1" x14ac:dyDescent="0.25">
      <c r="A199" s="98"/>
      <c r="B199" s="115"/>
      <c r="C199" s="116"/>
      <c r="D199" s="2"/>
      <c r="E199" s="127"/>
      <c r="F199" s="99"/>
      <c r="G199" s="87"/>
      <c r="H199" s="29"/>
      <c r="I199" s="98"/>
      <c r="J199" s="117"/>
      <c r="K199" s="117"/>
      <c r="L199" s="6"/>
      <c r="M199" s="7"/>
      <c r="N199" s="7"/>
      <c r="O199" s="7"/>
      <c r="P199" s="102"/>
      <c r="Q199" s="6"/>
      <c r="R199" s="102"/>
      <c r="S199" s="6"/>
      <c r="T199" s="102"/>
      <c r="U199" s="6"/>
      <c r="V199" s="102"/>
      <c r="W199" s="6"/>
      <c r="X199" s="6"/>
      <c r="Y199" s="6"/>
      <c r="Z199" s="6"/>
      <c r="AA199" s="6"/>
      <c r="AB199" s="6"/>
      <c r="AC199" s="102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102"/>
      <c r="AU199" s="6"/>
      <c r="AV199" s="6"/>
      <c r="AW199" s="102"/>
      <c r="AX199" s="99"/>
      <c r="AY199" s="7"/>
      <c r="AZ199" s="99"/>
      <c r="BA199" s="102"/>
      <c r="BB199" s="102"/>
      <c r="BC199" s="102"/>
      <c r="BD199" s="6"/>
      <c r="BE199" s="6"/>
      <c r="BF199" s="6"/>
      <c r="BG199" s="6"/>
      <c r="BH199" s="6"/>
      <c r="BI199" s="102"/>
      <c r="BJ199" s="6"/>
      <c r="BK199" s="6"/>
      <c r="BL199" s="6"/>
      <c r="BM199" s="102"/>
      <c r="BN199" s="99"/>
      <c r="BO199" s="100"/>
      <c r="BP199" s="100"/>
      <c r="BQ199" s="100"/>
      <c r="BR199" s="102"/>
      <c r="BS199" s="6"/>
      <c r="BT199" s="6"/>
      <c r="BU199" s="6"/>
      <c r="BV199" s="6"/>
    </row>
    <row r="200" spans="1:74" s="101" customFormat="1" x14ac:dyDescent="0.25">
      <c r="A200" s="98"/>
      <c r="B200" s="115"/>
      <c r="C200" s="116"/>
      <c r="D200" s="2"/>
      <c r="E200" s="127"/>
      <c r="F200" s="99"/>
      <c r="G200" s="87"/>
      <c r="H200" s="29"/>
      <c r="I200" s="98"/>
      <c r="J200" s="117"/>
      <c r="K200" s="117"/>
      <c r="L200" s="6"/>
      <c r="M200" s="7"/>
      <c r="N200" s="7"/>
      <c r="O200" s="7"/>
      <c r="P200" s="102"/>
      <c r="Q200" s="6"/>
      <c r="R200" s="102"/>
      <c r="S200" s="6"/>
      <c r="T200" s="102"/>
      <c r="U200" s="6"/>
      <c r="V200" s="102"/>
      <c r="W200" s="6"/>
      <c r="X200" s="6"/>
      <c r="Y200" s="6"/>
      <c r="Z200" s="6"/>
      <c r="AA200" s="6"/>
      <c r="AB200" s="6"/>
      <c r="AC200" s="102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102"/>
      <c r="AU200" s="6"/>
      <c r="AV200" s="6"/>
      <c r="AW200" s="102"/>
      <c r="AX200" s="99"/>
      <c r="AY200" s="7"/>
      <c r="AZ200" s="99"/>
      <c r="BA200" s="102"/>
      <c r="BB200" s="102"/>
      <c r="BC200" s="102"/>
      <c r="BD200" s="6"/>
      <c r="BE200" s="6"/>
      <c r="BF200" s="6"/>
      <c r="BG200" s="6"/>
      <c r="BH200" s="6"/>
      <c r="BI200" s="102"/>
      <c r="BJ200" s="6"/>
      <c r="BK200" s="6"/>
      <c r="BL200" s="6"/>
      <c r="BM200" s="102"/>
      <c r="BN200" s="99"/>
      <c r="BO200" s="100"/>
      <c r="BP200" s="100"/>
      <c r="BQ200" s="100"/>
      <c r="BR200" s="102"/>
      <c r="BS200" s="6"/>
      <c r="BT200" s="6"/>
      <c r="BU200" s="6"/>
      <c r="BV200" s="6"/>
    </row>
    <row r="201" spans="1:74" s="101" customFormat="1" x14ac:dyDescent="0.25">
      <c r="A201" s="98"/>
      <c r="B201" s="115"/>
      <c r="C201" s="116"/>
      <c r="D201" s="2"/>
      <c r="E201" s="127"/>
      <c r="F201" s="99"/>
      <c r="G201" s="87"/>
      <c r="H201" s="29"/>
      <c r="I201" s="98"/>
      <c r="J201" s="117"/>
      <c r="K201" s="117"/>
      <c r="L201" s="6"/>
      <c r="M201" s="7"/>
      <c r="N201" s="7"/>
      <c r="O201" s="7"/>
      <c r="P201" s="102"/>
      <c r="Q201" s="6"/>
      <c r="R201" s="102"/>
      <c r="S201" s="6"/>
      <c r="T201" s="102"/>
      <c r="U201" s="6"/>
      <c r="V201" s="102"/>
      <c r="W201" s="6"/>
      <c r="X201" s="6"/>
      <c r="Y201" s="6"/>
      <c r="Z201" s="6"/>
      <c r="AA201" s="6"/>
      <c r="AB201" s="6"/>
      <c r="AC201" s="102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102"/>
      <c r="AU201" s="6"/>
      <c r="AV201" s="6"/>
      <c r="AW201" s="102"/>
      <c r="AX201" s="99"/>
      <c r="AY201" s="7"/>
      <c r="AZ201" s="99"/>
      <c r="BA201" s="102"/>
      <c r="BB201" s="102"/>
      <c r="BC201" s="102"/>
      <c r="BD201" s="6"/>
      <c r="BE201" s="6"/>
      <c r="BF201" s="6"/>
      <c r="BG201" s="6"/>
      <c r="BH201" s="6"/>
      <c r="BI201" s="102"/>
      <c r="BJ201" s="6"/>
      <c r="BK201" s="6"/>
      <c r="BL201" s="6"/>
      <c r="BM201" s="102"/>
      <c r="BN201" s="99"/>
      <c r="BO201" s="100"/>
      <c r="BP201" s="100"/>
      <c r="BQ201" s="100"/>
      <c r="BR201" s="102"/>
      <c r="BS201" s="6"/>
      <c r="BT201" s="6"/>
      <c r="BU201" s="6"/>
      <c r="BV201" s="6"/>
    </row>
    <row r="202" spans="1:74" s="101" customFormat="1" x14ac:dyDescent="0.25">
      <c r="A202" s="98"/>
      <c r="B202" s="115"/>
      <c r="C202" s="116"/>
      <c r="D202" s="2"/>
      <c r="E202" s="127"/>
      <c r="F202" s="99"/>
      <c r="G202" s="87"/>
      <c r="H202" s="29"/>
      <c r="I202" s="98"/>
      <c r="J202" s="117"/>
      <c r="K202" s="117"/>
      <c r="L202" s="6"/>
      <c r="M202" s="7"/>
      <c r="N202" s="7"/>
      <c r="O202" s="7"/>
      <c r="P202" s="102"/>
      <c r="Q202" s="6"/>
      <c r="R202" s="102"/>
      <c r="S202" s="6"/>
      <c r="T202" s="102"/>
      <c r="U202" s="6"/>
      <c r="V202" s="102"/>
      <c r="W202" s="6"/>
      <c r="X202" s="6"/>
      <c r="Y202" s="6"/>
      <c r="Z202" s="6"/>
      <c r="AA202" s="6"/>
      <c r="AB202" s="6"/>
      <c r="AC202" s="102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102"/>
      <c r="AU202" s="6"/>
      <c r="AV202" s="6"/>
      <c r="AW202" s="102"/>
      <c r="AX202" s="99"/>
      <c r="AY202" s="7"/>
      <c r="AZ202" s="99"/>
      <c r="BA202" s="102"/>
      <c r="BB202" s="102"/>
      <c r="BC202" s="102"/>
      <c r="BD202" s="6"/>
      <c r="BE202" s="6"/>
      <c r="BF202" s="6"/>
      <c r="BG202" s="6"/>
      <c r="BH202" s="6"/>
      <c r="BI202" s="102"/>
      <c r="BJ202" s="6"/>
      <c r="BK202" s="6"/>
      <c r="BL202" s="6"/>
      <c r="BM202" s="102"/>
      <c r="BN202" s="99"/>
      <c r="BO202" s="100"/>
      <c r="BP202" s="100"/>
      <c r="BQ202" s="100"/>
      <c r="BR202" s="102"/>
      <c r="BS202" s="6"/>
      <c r="BT202" s="6"/>
      <c r="BU202" s="6"/>
      <c r="BV202" s="6"/>
    </row>
    <row r="203" spans="1:74" s="101" customFormat="1" x14ac:dyDescent="0.25">
      <c r="A203" s="98"/>
      <c r="B203" s="115"/>
      <c r="C203" s="116"/>
      <c r="D203" s="2"/>
      <c r="E203" s="127"/>
      <c r="F203" s="99"/>
      <c r="G203" s="87"/>
      <c r="H203" s="29"/>
      <c r="I203" s="98"/>
      <c r="J203" s="117"/>
      <c r="K203" s="117"/>
      <c r="L203" s="6"/>
      <c r="M203" s="7"/>
      <c r="N203" s="7"/>
      <c r="O203" s="7"/>
      <c r="P203" s="102"/>
      <c r="Q203" s="6"/>
      <c r="R203" s="102"/>
      <c r="S203" s="6"/>
      <c r="T203" s="102"/>
      <c r="U203" s="6"/>
      <c r="V203" s="102"/>
      <c r="W203" s="6"/>
      <c r="X203" s="6"/>
      <c r="Y203" s="6"/>
      <c r="Z203" s="6"/>
      <c r="AA203" s="6"/>
      <c r="AB203" s="6"/>
      <c r="AC203" s="102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102"/>
      <c r="AU203" s="6"/>
      <c r="AV203" s="6"/>
      <c r="AW203" s="102"/>
      <c r="AX203" s="99"/>
      <c r="AY203" s="7"/>
      <c r="AZ203" s="99"/>
      <c r="BA203" s="102"/>
      <c r="BB203" s="102"/>
      <c r="BC203" s="102"/>
      <c r="BD203" s="6"/>
      <c r="BE203" s="6"/>
      <c r="BF203" s="6"/>
      <c r="BG203" s="6"/>
      <c r="BH203" s="6"/>
      <c r="BI203" s="102"/>
      <c r="BJ203" s="6"/>
      <c r="BK203" s="6"/>
      <c r="BL203" s="6"/>
      <c r="BM203" s="102"/>
      <c r="BN203" s="99"/>
      <c r="BO203" s="100"/>
      <c r="BP203" s="100"/>
      <c r="BQ203" s="100"/>
      <c r="BR203" s="102"/>
      <c r="BS203" s="6"/>
      <c r="BT203" s="6"/>
      <c r="BU203" s="6"/>
      <c r="BV203" s="6"/>
    </row>
    <row r="204" spans="1:74" s="101" customFormat="1" x14ac:dyDescent="0.25">
      <c r="A204" s="98"/>
      <c r="B204" s="115"/>
      <c r="C204" s="116"/>
      <c r="D204" s="2"/>
      <c r="E204" s="127"/>
      <c r="F204" s="99"/>
      <c r="G204" s="87"/>
      <c r="H204" s="29"/>
      <c r="I204" s="98"/>
      <c r="J204" s="117"/>
      <c r="K204" s="117"/>
      <c r="L204" s="6"/>
      <c r="M204" s="7"/>
      <c r="N204" s="7"/>
      <c r="O204" s="7"/>
      <c r="P204" s="102"/>
      <c r="Q204" s="6"/>
      <c r="R204" s="102"/>
      <c r="S204" s="6"/>
      <c r="T204" s="102"/>
      <c r="U204" s="6"/>
      <c r="V204" s="102"/>
      <c r="W204" s="6"/>
      <c r="X204" s="6"/>
      <c r="Y204" s="6"/>
      <c r="Z204" s="6"/>
      <c r="AA204" s="6"/>
      <c r="AB204" s="6"/>
      <c r="AC204" s="102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102"/>
      <c r="AU204" s="6"/>
      <c r="AV204" s="6"/>
      <c r="AW204" s="102"/>
      <c r="AX204" s="99"/>
      <c r="AY204" s="7"/>
      <c r="AZ204" s="99"/>
      <c r="BA204" s="102"/>
      <c r="BB204" s="102"/>
      <c r="BC204" s="102"/>
      <c r="BD204" s="6"/>
      <c r="BE204" s="6"/>
      <c r="BF204" s="6"/>
      <c r="BG204" s="6"/>
      <c r="BH204" s="6"/>
      <c r="BI204" s="102"/>
      <c r="BJ204" s="6"/>
      <c r="BK204" s="6"/>
      <c r="BL204" s="6"/>
      <c r="BM204" s="102"/>
      <c r="BN204" s="99"/>
      <c r="BO204" s="100"/>
      <c r="BP204" s="100"/>
      <c r="BQ204" s="100"/>
      <c r="BR204" s="102"/>
      <c r="BS204" s="6"/>
      <c r="BT204" s="6"/>
      <c r="BU204" s="6"/>
      <c r="BV204" s="6"/>
    </row>
    <row r="205" spans="1:74" s="101" customFormat="1" x14ac:dyDescent="0.25">
      <c r="A205" s="98"/>
      <c r="B205" s="115"/>
      <c r="C205" s="116"/>
      <c r="D205" s="2"/>
      <c r="E205" s="127"/>
      <c r="F205" s="99"/>
      <c r="G205" s="87"/>
      <c r="H205" s="29"/>
      <c r="I205" s="98"/>
      <c r="J205" s="117"/>
      <c r="K205" s="117"/>
      <c r="L205" s="6"/>
      <c r="M205" s="7"/>
      <c r="N205" s="7"/>
      <c r="O205" s="7"/>
      <c r="P205" s="102"/>
      <c r="Q205" s="6"/>
      <c r="R205" s="102"/>
      <c r="S205" s="6"/>
      <c r="T205" s="102"/>
      <c r="U205" s="6"/>
      <c r="V205" s="102"/>
      <c r="W205" s="6"/>
      <c r="X205" s="6"/>
      <c r="Y205" s="6"/>
      <c r="Z205" s="6"/>
      <c r="AA205" s="6"/>
      <c r="AB205" s="6"/>
      <c r="AC205" s="102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102"/>
      <c r="AU205" s="6"/>
      <c r="AV205" s="6"/>
      <c r="AW205" s="102"/>
      <c r="AX205" s="99"/>
      <c r="AY205" s="7"/>
      <c r="AZ205" s="99"/>
      <c r="BA205" s="102"/>
      <c r="BB205" s="102"/>
      <c r="BC205" s="102"/>
      <c r="BD205" s="6"/>
      <c r="BE205" s="6"/>
      <c r="BF205" s="6"/>
      <c r="BG205" s="6"/>
      <c r="BH205" s="6"/>
      <c r="BI205" s="102"/>
      <c r="BJ205" s="6"/>
      <c r="BK205" s="6"/>
      <c r="BL205" s="6"/>
      <c r="BM205" s="102"/>
      <c r="BN205" s="99"/>
      <c r="BO205" s="100"/>
      <c r="BP205" s="100"/>
      <c r="BQ205" s="100"/>
      <c r="BR205" s="102"/>
      <c r="BS205" s="6"/>
      <c r="BT205" s="6"/>
      <c r="BU205" s="6"/>
      <c r="BV205" s="6"/>
    </row>
    <row r="206" spans="1:74" s="101" customFormat="1" x14ac:dyDescent="0.25">
      <c r="A206" s="98"/>
      <c r="B206" s="115"/>
      <c r="C206" s="116"/>
      <c r="D206" s="2"/>
      <c r="E206" s="127"/>
      <c r="F206" s="99"/>
      <c r="G206" s="87"/>
      <c r="H206" s="29"/>
      <c r="I206" s="98"/>
      <c r="J206" s="117"/>
      <c r="K206" s="117"/>
      <c r="L206" s="6"/>
      <c r="M206" s="7"/>
      <c r="N206" s="7"/>
      <c r="O206" s="7"/>
      <c r="P206" s="102"/>
      <c r="Q206" s="6"/>
      <c r="R206" s="102"/>
      <c r="S206" s="6"/>
      <c r="T206" s="102"/>
      <c r="U206" s="6"/>
      <c r="V206" s="102"/>
      <c r="W206" s="6"/>
      <c r="X206" s="6"/>
      <c r="Y206" s="6"/>
      <c r="Z206" s="6"/>
      <c r="AA206" s="6"/>
      <c r="AB206" s="6"/>
      <c r="AC206" s="102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102"/>
      <c r="AU206" s="6"/>
      <c r="AV206" s="6"/>
      <c r="AW206" s="102"/>
      <c r="AX206" s="99"/>
      <c r="AY206" s="7"/>
      <c r="AZ206" s="99"/>
      <c r="BA206" s="102"/>
      <c r="BB206" s="102"/>
      <c r="BC206" s="102"/>
      <c r="BD206" s="6"/>
      <c r="BE206" s="6"/>
      <c r="BF206" s="6"/>
      <c r="BG206" s="6"/>
      <c r="BH206" s="6"/>
      <c r="BI206" s="102"/>
      <c r="BJ206" s="6"/>
      <c r="BK206" s="6"/>
      <c r="BL206" s="6"/>
      <c r="BM206" s="102"/>
      <c r="BN206" s="99"/>
      <c r="BO206" s="100"/>
      <c r="BP206" s="100"/>
      <c r="BQ206" s="100"/>
      <c r="BR206" s="102"/>
      <c r="BS206" s="6"/>
      <c r="BT206" s="6"/>
      <c r="BU206" s="6"/>
      <c r="BV206" s="6"/>
    </row>
    <row r="207" spans="1:74" s="101" customFormat="1" x14ac:dyDescent="0.25">
      <c r="A207" s="98"/>
      <c r="B207" s="115"/>
      <c r="C207" s="116"/>
      <c r="D207" s="2"/>
      <c r="E207" s="127"/>
      <c r="F207" s="99"/>
      <c r="G207" s="87"/>
      <c r="H207" s="29"/>
      <c r="I207" s="98"/>
      <c r="J207" s="117"/>
      <c r="K207" s="117"/>
      <c r="L207" s="6"/>
      <c r="M207" s="7"/>
      <c r="N207" s="7"/>
      <c r="O207" s="7"/>
      <c r="P207" s="102"/>
      <c r="Q207" s="6"/>
      <c r="R207" s="102"/>
      <c r="S207" s="6"/>
      <c r="T207" s="102"/>
      <c r="U207" s="6"/>
      <c r="V207" s="102"/>
      <c r="W207" s="6"/>
      <c r="X207" s="6"/>
      <c r="Y207" s="6"/>
      <c r="Z207" s="6"/>
      <c r="AA207" s="6"/>
      <c r="AB207" s="6"/>
      <c r="AC207" s="102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102"/>
      <c r="AU207" s="6"/>
      <c r="AV207" s="6"/>
      <c r="AW207" s="102"/>
      <c r="AX207" s="99"/>
      <c r="AY207" s="7"/>
      <c r="AZ207" s="99"/>
      <c r="BA207" s="102"/>
      <c r="BB207" s="102"/>
      <c r="BC207" s="102"/>
      <c r="BD207" s="6"/>
      <c r="BE207" s="6"/>
      <c r="BF207" s="6"/>
      <c r="BG207" s="6"/>
      <c r="BH207" s="6"/>
      <c r="BI207" s="102"/>
      <c r="BJ207" s="6"/>
      <c r="BK207" s="6"/>
      <c r="BL207" s="6"/>
      <c r="BM207" s="102"/>
      <c r="BN207" s="99"/>
      <c r="BO207" s="100"/>
      <c r="BP207" s="100"/>
      <c r="BQ207" s="100"/>
      <c r="BR207" s="102"/>
      <c r="BS207" s="6"/>
      <c r="BT207" s="6"/>
      <c r="BU207" s="6"/>
      <c r="BV207" s="6"/>
    </row>
    <row r="208" spans="1:74" s="101" customFormat="1" x14ac:dyDescent="0.25">
      <c r="A208" s="98"/>
      <c r="B208" s="115"/>
      <c r="C208" s="116"/>
      <c r="D208" s="2"/>
      <c r="E208" s="127"/>
      <c r="F208" s="99"/>
      <c r="G208" s="87"/>
      <c r="H208" s="29"/>
      <c r="I208" s="98"/>
      <c r="J208" s="117"/>
      <c r="K208" s="117"/>
      <c r="L208" s="6"/>
      <c r="M208" s="7"/>
      <c r="N208" s="7"/>
      <c r="O208" s="7"/>
      <c r="P208" s="102"/>
      <c r="Q208" s="6"/>
      <c r="R208" s="102"/>
      <c r="S208" s="6"/>
      <c r="T208" s="102"/>
      <c r="U208" s="6"/>
      <c r="V208" s="102"/>
      <c r="W208" s="6"/>
      <c r="X208" s="6"/>
      <c r="Y208" s="6"/>
      <c r="Z208" s="6"/>
      <c r="AA208" s="6"/>
      <c r="AB208" s="6"/>
      <c r="AC208" s="102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102"/>
      <c r="AU208" s="6"/>
      <c r="AV208" s="6"/>
      <c r="AW208" s="102"/>
      <c r="AX208" s="99"/>
      <c r="AY208" s="7"/>
      <c r="AZ208" s="99"/>
      <c r="BA208" s="102"/>
      <c r="BB208" s="102"/>
      <c r="BC208" s="102"/>
      <c r="BD208" s="6"/>
      <c r="BE208" s="6"/>
      <c r="BF208" s="6"/>
      <c r="BG208" s="6"/>
      <c r="BH208" s="6"/>
      <c r="BI208" s="102"/>
      <c r="BJ208" s="6"/>
      <c r="BK208" s="6"/>
      <c r="BL208" s="6"/>
      <c r="BM208" s="102"/>
      <c r="BN208" s="99"/>
      <c r="BO208" s="100"/>
      <c r="BP208" s="100"/>
      <c r="BQ208" s="100"/>
      <c r="BR208" s="102"/>
      <c r="BS208" s="6"/>
      <c r="BT208" s="6"/>
      <c r="BU208" s="6"/>
      <c r="BV208" s="6"/>
    </row>
    <row r="209" spans="1:74" s="101" customFormat="1" x14ac:dyDescent="0.25">
      <c r="A209" s="98"/>
      <c r="B209" s="115"/>
      <c r="C209" s="116"/>
      <c r="D209" s="2"/>
      <c r="E209" s="127"/>
      <c r="F209" s="99"/>
      <c r="G209" s="87"/>
      <c r="H209" s="29"/>
      <c r="I209" s="98"/>
      <c r="J209" s="117"/>
      <c r="K209" s="117"/>
      <c r="L209" s="6"/>
      <c r="M209" s="7"/>
      <c r="N209" s="7"/>
      <c r="O209" s="7"/>
      <c r="P209" s="102"/>
      <c r="Q209" s="6"/>
      <c r="R209" s="102"/>
      <c r="S209" s="6"/>
      <c r="T209" s="102"/>
      <c r="U209" s="6"/>
      <c r="V209" s="102"/>
      <c r="W209" s="6"/>
      <c r="X209" s="6"/>
      <c r="Y209" s="6"/>
      <c r="Z209" s="6"/>
      <c r="AA209" s="6"/>
      <c r="AB209" s="6"/>
      <c r="AC209" s="102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102"/>
      <c r="AU209" s="6"/>
      <c r="AV209" s="6"/>
      <c r="AW209" s="102"/>
      <c r="AX209" s="99"/>
      <c r="AY209" s="7"/>
      <c r="AZ209" s="99"/>
      <c r="BA209" s="102"/>
      <c r="BB209" s="102"/>
      <c r="BC209" s="102"/>
      <c r="BD209" s="6"/>
      <c r="BE209" s="6"/>
      <c r="BF209" s="6"/>
      <c r="BG209" s="6"/>
      <c r="BH209" s="6"/>
      <c r="BI209" s="102"/>
      <c r="BJ209" s="6"/>
      <c r="BK209" s="6"/>
      <c r="BL209" s="6"/>
      <c r="BM209" s="102"/>
      <c r="BN209" s="99"/>
      <c r="BO209" s="100"/>
      <c r="BP209" s="100"/>
      <c r="BQ209" s="100"/>
      <c r="BR209" s="102"/>
      <c r="BS209" s="6"/>
      <c r="BT209" s="6"/>
      <c r="BU209" s="6"/>
      <c r="BV209" s="6"/>
    </row>
    <row r="210" spans="1:74" s="101" customFormat="1" x14ac:dyDescent="0.25">
      <c r="A210" s="98"/>
      <c r="B210" s="115"/>
      <c r="C210" s="116"/>
      <c r="D210" s="2"/>
      <c r="E210" s="127"/>
      <c r="F210" s="99"/>
      <c r="G210" s="87"/>
      <c r="H210" s="29"/>
      <c r="I210" s="98"/>
      <c r="J210" s="117"/>
      <c r="K210" s="117"/>
      <c r="L210" s="6"/>
      <c r="M210" s="7"/>
      <c r="N210" s="7"/>
      <c r="O210" s="7"/>
      <c r="P210" s="102"/>
      <c r="Q210" s="6"/>
      <c r="R210" s="102"/>
      <c r="S210" s="6"/>
      <c r="T210" s="102"/>
      <c r="U210" s="6"/>
      <c r="V210" s="102"/>
      <c r="W210" s="6"/>
      <c r="X210" s="6"/>
      <c r="Y210" s="6"/>
      <c r="Z210" s="6"/>
      <c r="AA210" s="6"/>
      <c r="AB210" s="6"/>
      <c r="AC210" s="102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102"/>
      <c r="AU210" s="6"/>
      <c r="AV210" s="6"/>
      <c r="AW210" s="102"/>
      <c r="AX210" s="99"/>
      <c r="AY210" s="7"/>
      <c r="AZ210" s="99"/>
      <c r="BA210" s="102"/>
      <c r="BB210" s="102"/>
      <c r="BC210" s="102"/>
      <c r="BD210" s="6"/>
      <c r="BE210" s="6"/>
      <c r="BF210" s="6"/>
      <c r="BG210" s="6"/>
      <c r="BH210" s="6"/>
      <c r="BI210" s="102"/>
      <c r="BJ210" s="6"/>
      <c r="BK210" s="6"/>
      <c r="BL210" s="6"/>
      <c r="BM210" s="102"/>
      <c r="BN210" s="99"/>
      <c r="BO210" s="100"/>
      <c r="BP210" s="100"/>
      <c r="BQ210" s="100"/>
      <c r="BR210" s="102"/>
      <c r="BS210" s="6"/>
      <c r="BT210" s="6"/>
      <c r="BU210" s="6"/>
      <c r="BV210" s="6"/>
    </row>
    <row r="211" spans="1:74" s="101" customFormat="1" x14ac:dyDescent="0.25">
      <c r="A211" s="98"/>
      <c r="B211" s="115"/>
      <c r="C211" s="116"/>
      <c r="D211" s="2"/>
      <c r="E211" s="127"/>
      <c r="F211" s="99"/>
      <c r="G211" s="87"/>
      <c r="H211" s="29"/>
      <c r="I211" s="98"/>
      <c r="J211" s="117"/>
      <c r="K211" s="117"/>
      <c r="L211" s="6"/>
      <c r="M211" s="7"/>
      <c r="N211" s="7"/>
      <c r="O211" s="7"/>
      <c r="P211" s="102"/>
      <c r="Q211" s="6"/>
      <c r="R211" s="102"/>
      <c r="S211" s="6"/>
      <c r="T211" s="102"/>
      <c r="U211" s="6"/>
      <c r="V211" s="102"/>
      <c r="W211" s="6"/>
      <c r="X211" s="6"/>
      <c r="Y211" s="6"/>
      <c r="Z211" s="6"/>
      <c r="AA211" s="6"/>
      <c r="AB211" s="6"/>
      <c r="AC211" s="102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102"/>
      <c r="AU211" s="6"/>
      <c r="AV211" s="6"/>
      <c r="AW211" s="102"/>
      <c r="AX211" s="99"/>
      <c r="AY211" s="7"/>
      <c r="AZ211" s="99"/>
      <c r="BA211" s="102"/>
      <c r="BB211" s="102"/>
      <c r="BC211" s="102"/>
      <c r="BD211" s="6"/>
      <c r="BE211" s="6"/>
      <c r="BF211" s="6"/>
      <c r="BG211" s="6"/>
      <c r="BH211" s="6"/>
      <c r="BI211" s="102"/>
      <c r="BJ211" s="6"/>
      <c r="BK211" s="6"/>
      <c r="BL211" s="6"/>
      <c r="BM211" s="102"/>
      <c r="BN211" s="99"/>
      <c r="BO211" s="100"/>
      <c r="BP211" s="100"/>
      <c r="BQ211" s="100"/>
      <c r="BR211" s="102"/>
      <c r="BS211" s="6"/>
      <c r="BT211" s="6"/>
      <c r="BU211" s="6"/>
      <c r="BV211" s="6"/>
    </row>
    <row r="212" spans="1:74" s="101" customFormat="1" x14ac:dyDescent="0.25">
      <c r="A212" s="98"/>
      <c r="B212" s="115"/>
      <c r="C212" s="116"/>
      <c r="D212" s="2"/>
      <c r="E212" s="127"/>
      <c r="F212" s="99"/>
      <c r="G212" s="87"/>
      <c r="H212" s="29"/>
      <c r="I212" s="98"/>
      <c r="J212" s="117"/>
      <c r="K212" s="117"/>
      <c r="L212" s="6"/>
      <c r="M212" s="7"/>
      <c r="N212" s="7"/>
      <c r="O212" s="7"/>
      <c r="P212" s="102"/>
      <c r="Q212" s="6"/>
      <c r="R212" s="102"/>
      <c r="S212" s="6"/>
      <c r="T212" s="102"/>
      <c r="U212" s="6"/>
      <c r="V212" s="102"/>
      <c r="W212" s="6"/>
      <c r="X212" s="6"/>
      <c r="Y212" s="6"/>
      <c r="Z212" s="6"/>
      <c r="AA212" s="6"/>
      <c r="AB212" s="6"/>
      <c r="AC212" s="102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102"/>
      <c r="AU212" s="6"/>
      <c r="AV212" s="6"/>
      <c r="AW212" s="102"/>
      <c r="AX212" s="99"/>
      <c r="AY212" s="7"/>
      <c r="AZ212" s="99"/>
      <c r="BA212" s="102"/>
      <c r="BB212" s="102"/>
      <c r="BC212" s="102"/>
      <c r="BD212" s="6"/>
      <c r="BE212" s="6"/>
      <c r="BF212" s="6"/>
      <c r="BG212" s="6"/>
      <c r="BH212" s="6"/>
      <c r="BI212" s="102"/>
      <c r="BJ212" s="6"/>
      <c r="BK212" s="6"/>
      <c r="BL212" s="6"/>
      <c r="BM212" s="102"/>
      <c r="BN212" s="99"/>
      <c r="BO212" s="100"/>
      <c r="BP212" s="100"/>
      <c r="BQ212" s="100"/>
      <c r="BR212" s="102"/>
      <c r="BS212" s="6"/>
      <c r="BT212" s="6"/>
      <c r="BU212" s="6"/>
      <c r="BV212" s="6"/>
    </row>
    <row r="213" spans="1:74" s="101" customFormat="1" x14ac:dyDescent="0.25">
      <c r="A213" s="98"/>
      <c r="B213" s="115"/>
      <c r="C213" s="116"/>
      <c r="D213" s="2"/>
      <c r="E213" s="127"/>
      <c r="F213" s="99"/>
      <c r="G213" s="87"/>
      <c r="H213" s="29"/>
      <c r="I213" s="98"/>
      <c r="J213" s="117"/>
      <c r="K213" s="117"/>
      <c r="L213" s="6"/>
      <c r="M213" s="7"/>
      <c r="N213" s="7"/>
      <c r="O213" s="7"/>
      <c r="P213" s="102"/>
      <c r="Q213" s="6"/>
      <c r="R213" s="102"/>
      <c r="S213" s="6"/>
      <c r="T213" s="102"/>
      <c r="U213" s="6"/>
      <c r="V213" s="102"/>
      <c r="W213" s="6"/>
      <c r="X213" s="6"/>
      <c r="Y213" s="6"/>
      <c r="Z213" s="6"/>
      <c r="AA213" s="6"/>
      <c r="AB213" s="6"/>
      <c r="AC213" s="102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102"/>
      <c r="AU213" s="6"/>
      <c r="AV213" s="6"/>
      <c r="AW213" s="102"/>
      <c r="AX213" s="99"/>
      <c r="AY213" s="7"/>
      <c r="AZ213" s="99"/>
      <c r="BA213" s="102"/>
      <c r="BB213" s="102"/>
      <c r="BC213" s="102"/>
      <c r="BD213" s="6"/>
      <c r="BE213" s="6"/>
      <c r="BF213" s="6"/>
      <c r="BG213" s="6"/>
      <c r="BH213" s="6"/>
      <c r="BI213" s="102"/>
      <c r="BJ213" s="6"/>
      <c r="BK213" s="6"/>
      <c r="BL213" s="6"/>
      <c r="BM213" s="102"/>
      <c r="BN213" s="99"/>
      <c r="BO213" s="100"/>
      <c r="BP213" s="100"/>
      <c r="BQ213" s="100"/>
      <c r="BR213" s="102"/>
      <c r="BS213" s="6"/>
      <c r="BT213" s="6"/>
      <c r="BU213" s="6"/>
      <c r="BV213" s="6"/>
    </row>
    <row r="214" spans="1:74" s="101" customFormat="1" x14ac:dyDescent="0.25">
      <c r="A214" s="98"/>
      <c r="B214" s="115"/>
      <c r="C214" s="116"/>
      <c r="D214" s="2"/>
      <c r="E214" s="127"/>
      <c r="F214" s="99"/>
      <c r="G214" s="87"/>
      <c r="H214" s="29"/>
      <c r="I214" s="98"/>
      <c r="J214" s="117"/>
      <c r="K214" s="117"/>
      <c r="L214" s="6"/>
      <c r="M214" s="7"/>
      <c r="N214" s="7"/>
      <c r="O214" s="7"/>
      <c r="P214" s="102"/>
      <c r="Q214" s="6"/>
      <c r="R214" s="102"/>
      <c r="S214" s="6"/>
      <c r="T214" s="102"/>
      <c r="U214" s="6"/>
      <c r="V214" s="102"/>
      <c r="W214" s="6"/>
      <c r="X214" s="6"/>
      <c r="Y214" s="6"/>
      <c r="Z214" s="6"/>
      <c r="AA214" s="6"/>
      <c r="AB214" s="6"/>
      <c r="AC214" s="102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102"/>
      <c r="AU214" s="6"/>
      <c r="AV214" s="6"/>
      <c r="AW214" s="102"/>
      <c r="AX214" s="99"/>
      <c r="AY214" s="7"/>
      <c r="AZ214" s="99"/>
      <c r="BA214" s="102"/>
      <c r="BB214" s="102"/>
      <c r="BC214" s="102"/>
      <c r="BD214" s="6"/>
      <c r="BE214" s="6"/>
      <c r="BF214" s="6"/>
      <c r="BG214" s="6"/>
      <c r="BH214" s="6"/>
      <c r="BI214" s="102"/>
      <c r="BJ214" s="6"/>
      <c r="BK214" s="6"/>
      <c r="BL214" s="6"/>
      <c r="BM214" s="102"/>
      <c r="BN214" s="99"/>
      <c r="BO214" s="100"/>
      <c r="BP214" s="100"/>
      <c r="BQ214" s="100"/>
      <c r="BR214" s="102"/>
      <c r="BS214" s="6"/>
      <c r="BT214" s="6"/>
      <c r="BU214" s="6"/>
      <c r="BV214" s="6"/>
    </row>
    <row r="215" spans="1:74" s="101" customFormat="1" x14ac:dyDescent="0.25">
      <c r="A215" s="98"/>
      <c r="B215" s="115"/>
      <c r="C215" s="116"/>
      <c r="D215" s="2"/>
      <c r="E215" s="127"/>
      <c r="F215" s="99"/>
      <c r="G215" s="87"/>
      <c r="H215" s="29"/>
      <c r="I215" s="98"/>
      <c r="J215" s="117"/>
      <c r="K215" s="117"/>
      <c r="L215" s="6"/>
      <c r="M215" s="7"/>
      <c r="N215" s="7"/>
      <c r="O215" s="7"/>
      <c r="P215" s="102"/>
      <c r="Q215" s="6"/>
      <c r="R215" s="102"/>
      <c r="S215" s="6"/>
      <c r="T215" s="102"/>
      <c r="U215" s="6"/>
      <c r="V215" s="102"/>
      <c r="W215" s="6"/>
      <c r="X215" s="6"/>
      <c r="Y215" s="6"/>
      <c r="Z215" s="6"/>
      <c r="AA215" s="6"/>
      <c r="AB215" s="6"/>
      <c r="AC215" s="102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102"/>
      <c r="AU215" s="6"/>
      <c r="AV215" s="6"/>
      <c r="AW215" s="102"/>
      <c r="AX215" s="99"/>
      <c r="AY215" s="7"/>
      <c r="AZ215" s="99"/>
      <c r="BA215" s="102"/>
      <c r="BB215" s="102"/>
      <c r="BC215" s="102"/>
      <c r="BD215" s="6"/>
      <c r="BE215" s="6"/>
      <c r="BF215" s="6"/>
      <c r="BG215" s="6"/>
      <c r="BH215" s="6"/>
      <c r="BI215" s="102"/>
      <c r="BJ215" s="6"/>
      <c r="BK215" s="6"/>
      <c r="BL215" s="6"/>
      <c r="BM215" s="102"/>
      <c r="BN215" s="99"/>
      <c r="BO215" s="100"/>
      <c r="BP215" s="100"/>
      <c r="BQ215" s="100"/>
      <c r="BR215" s="102"/>
      <c r="BS215" s="6"/>
      <c r="BT215" s="6"/>
      <c r="BU215" s="6"/>
      <c r="BV215" s="6"/>
    </row>
    <row r="216" spans="1:74" s="101" customFormat="1" x14ac:dyDescent="0.25">
      <c r="A216" s="98"/>
      <c r="B216" s="115"/>
      <c r="C216" s="116"/>
      <c r="D216" s="2"/>
      <c r="E216" s="127"/>
      <c r="F216" s="99"/>
      <c r="G216" s="87"/>
      <c r="H216" s="29"/>
      <c r="I216" s="98"/>
      <c r="J216" s="117"/>
      <c r="K216" s="117"/>
      <c r="L216" s="6"/>
      <c r="M216" s="7"/>
      <c r="N216" s="7"/>
      <c r="O216" s="7"/>
      <c r="P216" s="102"/>
      <c r="Q216" s="6"/>
      <c r="R216" s="102"/>
      <c r="S216" s="6"/>
      <c r="T216" s="102"/>
      <c r="U216" s="6"/>
      <c r="V216" s="102"/>
      <c r="W216" s="6"/>
      <c r="X216" s="6"/>
      <c r="Y216" s="6"/>
      <c r="Z216" s="6"/>
      <c r="AA216" s="6"/>
      <c r="AB216" s="6"/>
      <c r="AC216" s="102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102"/>
      <c r="AU216" s="6"/>
      <c r="AV216" s="6"/>
      <c r="AW216" s="102"/>
      <c r="AX216" s="99"/>
      <c r="AY216" s="7"/>
      <c r="AZ216" s="99"/>
      <c r="BA216" s="102"/>
      <c r="BB216" s="102"/>
      <c r="BC216" s="102"/>
      <c r="BD216" s="6"/>
      <c r="BE216" s="6"/>
      <c r="BF216" s="6"/>
      <c r="BG216" s="6"/>
      <c r="BH216" s="6"/>
      <c r="BI216" s="102"/>
      <c r="BJ216" s="6"/>
      <c r="BK216" s="6"/>
      <c r="BL216" s="6"/>
      <c r="BM216" s="102"/>
      <c r="BN216" s="99"/>
      <c r="BO216" s="100"/>
      <c r="BP216" s="100"/>
      <c r="BQ216" s="100"/>
      <c r="BR216" s="102"/>
      <c r="BS216" s="6"/>
      <c r="BT216" s="6"/>
      <c r="BU216" s="6"/>
      <c r="BV216" s="6"/>
    </row>
    <row r="217" spans="1:74" s="101" customFormat="1" x14ac:dyDescent="0.25">
      <c r="A217" s="98"/>
      <c r="B217" s="115"/>
      <c r="C217" s="116"/>
      <c r="D217" s="2"/>
      <c r="E217" s="127"/>
      <c r="F217" s="99"/>
      <c r="G217" s="87"/>
      <c r="H217" s="29"/>
      <c r="I217" s="98"/>
      <c r="J217" s="117"/>
      <c r="K217" s="117"/>
      <c r="L217" s="6"/>
      <c r="M217" s="7"/>
      <c r="N217" s="7"/>
      <c r="O217" s="7"/>
      <c r="P217" s="102"/>
      <c r="Q217" s="6"/>
      <c r="R217" s="102"/>
      <c r="S217" s="6"/>
      <c r="T217" s="102"/>
      <c r="U217" s="6"/>
      <c r="V217" s="102"/>
      <c r="W217" s="6"/>
      <c r="X217" s="6"/>
      <c r="Y217" s="6"/>
      <c r="Z217" s="6"/>
      <c r="AA217" s="6"/>
      <c r="AB217" s="6"/>
      <c r="AC217" s="102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102"/>
      <c r="AU217" s="6"/>
      <c r="AV217" s="6"/>
      <c r="AW217" s="102"/>
      <c r="AX217" s="99"/>
      <c r="AY217" s="7"/>
      <c r="AZ217" s="99"/>
      <c r="BA217" s="102"/>
      <c r="BB217" s="102"/>
      <c r="BC217" s="102"/>
      <c r="BD217" s="6"/>
      <c r="BE217" s="6"/>
      <c r="BF217" s="6"/>
      <c r="BG217" s="6"/>
      <c r="BH217" s="6"/>
      <c r="BI217" s="102"/>
      <c r="BJ217" s="6"/>
      <c r="BK217" s="6"/>
      <c r="BL217" s="6"/>
      <c r="BM217" s="102"/>
      <c r="BN217" s="99"/>
      <c r="BO217" s="100"/>
      <c r="BP217" s="100"/>
      <c r="BQ217" s="100"/>
      <c r="BR217" s="102"/>
      <c r="BS217" s="6"/>
      <c r="BT217" s="6"/>
      <c r="BU217" s="6"/>
      <c r="BV217" s="6"/>
    </row>
    <row r="218" spans="1:74" s="101" customFormat="1" x14ac:dyDescent="0.25">
      <c r="A218" s="98"/>
      <c r="B218" s="115"/>
      <c r="C218" s="116"/>
      <c r="D218" s="2"/>
      <c r="E218" s="127"/>
      <c r="F218" s="99"/>
      <c r="G218" s="87"/>
      <c r="H218" s="29"/>
      <c r="I218" s="98"/>
      <c r="J218" s="117"/>
      <c r="K218" s="117"/>
      <c r="L218" s="6"/>
      <c r="M218" s="7"/>
      <c r="N218" s="7"/>
      <c r="O218" s="7"/>
      <c r="P218" s="102"/>
      <c r="Q218" s="6"/>
      <c r="R218" s="102"/>
      <c r="S218" s="6"/>
      <c r="T218" s="102"/>
      <c r="U218" s="6"/>
      <c r="V218" s="102"/>
      <c r="W218" s="6"/>
      <c r="X218" s="6"/>
      <c r="Y218" s="6"/>
      <c r="Z218" s="6"/>
      <c r="AA218" s="6"/>
      <c r="AB218" s="6"/>
      <c r="AC218" s="102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102"/>
      <c r="AU218" s="6"/>
      <c r="AV218" s="6"/>
      <c r="AW218" s="102"/>
      <c r="AX218" s="99"/>
      <c r="AY218" s="7"/>
      <c r="AZ218" s="99"/>
      <c r="BA218" s="102"/>
      <c r="BB218" s="102"/>
      <c r="BC218" s="102"/>
      <c r="BD218" s="6"/>
      <c r="BE218" s="6"/>
      <c r="BF218" s="6"/>
      <c r="BG218" s="6"/>
      <c r="BH218" s="6"/>
      <c r="BI218" s="102"/>
      <c r="BJ218" s="6"/>
      <c r="BK218" s="6"/>
      <c r="BL218" s="6"/>
      <c r="BM218" s="102"/>
      <c r="BN218" s="99"/>
      <c r="BO218" s="100"/>
      <c r="BP218" s="100"/>
      <c r="BQ218" s="100"/>
      <c r="BR218" s="102"/>
      <c r="BS218" s="6"/>
      <c r="BT218" s="6"/>
      <c r="BU218" s="6"/>
      <c r="BV218" s="6"/>
    </row>
    <row r="219" spans="1:74" s="101" customFormat="1" x14ac:dyDescent="0.25">
      <c r="A219" s="98"/>
      <c r="B219" s="115"/>
      <c r="C219" s="116"/>
      <c r="D219" s="2"/>
      <c r="E219" s="127"/>
      <c r="F219" s="99"/>
      <c r="G219" s="87"/>
      <c r="H219" s="29"/>
      <c r="I219" s="98"/>
      <c r="J219" s="117"/>
      <c r="K219" s="117"/>
      <c r="L219" s="6"/>
      <c r="M219" s="7"/>
      <c r="N219" s="7"/>
      <c r="O219" s="7"/>
      <c r="P219" s="102"/>
      <c r="Q219" s="6"/>
      <c r="R219" s="102"/>
      <c r="S219" s="6"/>
      <c r="T219" s="102"/>
      <c r="U219" s="6"/>
      <c r="V219" s="102"/>
      <c r="W219" s="6"/>
      <c r="X219" s="6"/>
      <c r="Y219" s="6"/>
      <c r="Z219" s="6"/>
      <c r="AA219" s="6"/>
      <c r="AB219" s="6"/>
      <c r="AC219" s="102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102"/>
      <c r="AU219" s="6"/>
      <c r="AV219" s="6"/>
      <c r="AW219" s="102"/>
      <c r="AX219" s="99"/>
      <c r="AY219" s="7"/>
      <c r="AZ219" s="99"/>
      <c r="BA219" s="102"/>
      <c r="BB219" s="102"/>
      <c r="BC219" s="102"/>
      <c r="BD219" s="6"/>
      <c r="BE219" s="6"/>
      <c r="BF219" s="6"/>
      <c r="BG219" s="6"/>
      <c r="BH219" s="6"/>
      <c r="BI219" s="102"/>
      <c r="BJ219" s="6"/>
      <c r="BK219" s="6"/>
      <c r="BL219" s="6"/>
      <c r="BM219" s="102"/>
      <c r="BN219" s="99"/>
      <c r="BO219" s="100"/>
      <c r="BP219" s="100"/>
      <c r="BQ219" s="100"/>
      <c r="BR219" s="102"/>
      <c r="BS219" s="6"/>
      <c r="BT219" s="6"/>
      <c r="BU219" s="6"/>
      <c r="BV219" s="6"/>
    </row>
    <row r="220" spans="1:74" s="101" customFormat="1" x14ac:dyDescent="0.25">
      <c r="A220" s="98"/>
      <c r="B220" s="115"/>
      <c r="C220" s="116"/>
      <c r="D220" s="2"/>
      <c r="E220" s="127"/>
      <c r="F220" s="99"/>
      <c r="G220" s="87"/>
      <c r="H220" s="29"/>
      <c r="I220" s="98"/>
      <c r="J220" s="117"/>
      <c r="K220" s="117"/>
      <c r="L220" s="6"/>
      <c r="M220" s="7"/>
      <c r="N220" s="7"/>
      <c r="O220" s="7"/>
      <c r="P220" s="102"/>
      <c r="Q220" s="6"/>
      <c r="R220" s="102"/>
      <c r="S220" s="6"/>
      <c r="T220" s="102"/>
      <c r="U220" s="6"/>
      <c r="V220" s="102"/>
      <c r="W220" s="6"/>
      <c r="X220" s="6"/>
      <c r="Y220" s="6"/>
      <c r="Z220" s="6"/>
      <c r="AA220" s="6"/>
      <c r="AB220" s="6"/>
      <c r="AC220" s="102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102"/>
      <c r="AU220" s="6"/>
      <c r="AV220" s="6"/>
      <c r="AW220" s="102"/>
      <c r="AX220" s="99"/>
      <c r="AY220" s="7"/>
      <c r="AZ220" s="99"/>
      <c r="BA220" s="102"/>
      <c r="BB220" s="102"/>
      <c r="BC220" s="102"/>
      <c r="BD220" s="6"/>
      <c r="BE220" s="6"/>
      <c r="BF220" s="6"/>
      <c r="BG220" s="6"/>
      <c r="BH220" s="6"/>
      <c r="BI220" s="102"/>
      <c r="BJ220" s="6"/>
      <c r="BK220" s="6"/>
      <c r="BL220" s="6"/>
      <c r="BM220" s="102"/>
      <c r="BN220" s="99"/>
      <c r="BO220" s="100"/>
      <c r="BP220" s="100"/>
      <c r="BQ220" s="100"/>
      <c r="BR220" s="102"/>
      <c r="BS220" s="6"/>
      <c r="BT220" s="6"/>
      <c r="BU220" s="6"/>
      <c r="BV220" s="6"/>
    </row>
    <row r="221" spans="1:74" s="101" customFormat="1" x14ac:dyDescent="0.25">
      <c r="A221" s="98"/>
      <c r="B221" s="115"/>
      <c r="C221" s="116"/>
      <c r="D221" s="2"/>
      <c r="E221" s="127"/>
      <c r="F221" s="99"/>
      <c r="G221" s="87"/>
      <c r="H221" s="29"/>
      <c r="I221" s="98"/>
      <c r="J221" s="117"/>
      <c r="K221" s="117"/>
      <c r="L221" s="6"/>
      <c r="M221" s="7"/>
      <c r="N221" s="7"/>
      <c r="O221" s="7"/>
      <c r="P221" s="102"/>
      <c r="Q221" s="6"/>
      <c r="R221" s="102"/>
      <c r="S221" s="6"/>
      <c r="T221" s="102"/>
      <c r="U221" s="6"/>
      <c r="V221" s="102"/>
      <c r="W221" s="6"/>
      <c r="X221" s="6"/>
      <c r="Y221" s="6"/>
      <c r="Z221" s="6"/>
      <c r="AA221" s="6"/>
      <c r="AB221" s="6"/>
      <c r="AC221" s="102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102"/>
      <c r="AU221" s="6"/>
      <c r="AV221" s="6"/>
      <c r="AW221" s="102"/>
      <c r="AX221" s="99"/>
      <c r="AY221" s="7"/>
      <c r="AZ221" s="99"/>
      <c r="BA221" s="102"/>
      <c r="BB221" s="102"/>
      <c r="BC221" s="102"/>
      <c r="BD221" s="6"/>
      <c r="BE221" s="6"/>
      <c r="BF221" s="6"/>
      <c r="BG221" s="6"/>
      <c r="BH221" s="6"/>
      <c r="BI221" s="102"/>
      <c r="BJ221" s="6"/>
      <c r="BK221" s="6"/>
      <c r="BL221" s="6"/>
      <c r="BM221" s="102"/>
      <c r="BN221" s="99"/>
      <c r="BO221" s="100"/>
      <c r="BP221" s="100"/>
      <c r="BQ221" s="100"/>
      <c r="BR221" s="102"/>
      <c r="BS221" s="6"/>
      <c r="BT221" s="6"/>
      <c r="BU221" s="6"/>
      <c r="BV221" s="6"/>
    </row>
    <row r="222" spans="1:74" s="101" customFormat="1" x14ac:dyDescent="0.25">
      <c r="A222" s="98"/>
      <c r="B222" s="115"/>
      <c r="C222" s="116"/>
      <c r="D222" s="2"/>
      <c r="E222" s="127"/>
      <c r="F222" s="99"/>
      <c r="G222" s="87"/>
      <c r="H222" s="29"/>
      <c r="I222" s="98"/>
      <c r="J222" s="117"/>
      <c r="K222" s="117"/>
      <c r="L222" s="6"/>
      <c r="M222" s="7"/>
      <c r="N222" s="7"/>
      <c r="O222" s="7"/>
      <c r="P222" s="102"/>
      <c r="Q222" s="6"/>
      <c r="R222" s="102"/>
      <c r="S222" s="6"/>
      <c r="T222" s="102"/>
      <c r="U222" s="6"/>
      <c r="V222" s="102"/>
      <c r="W222" s="6"/>
      <c r="X222" s="6"/>
      <c r="Y222" s="6"/>
      <c r="Z222" s="6"/>
      <c r="AA222" s="6"/>
      <c r="AB222" s="6"/>
      <c r="AC222" s="102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102"/>
      <c r="AU222" s="6"/>
      <c r="AV222" s="6"/>
      <c r="AW222" s="102"/>
      <c r="AX222" s="99"/>
      <c r="AY222" s="7"/>
      <c r="AZ222" s="99"/>
      <c r="BA222" s="102"/>
      <c r="BB222" s="102"/>
      <c r="BC222" s="102"/>
      <c r="BD222" s="6"/>
      <c r="BE222" s="6"/>
      <c r="BF222" s="6"/>
      <c r="BG222" s="6"/>
      <c r="BH222" s="6"/>
      <c r="BI222" s="102"/>
      <c r="BJ222" s="6"/>
      <c r="BK222" s="6"/>
      <c r="BL222" s="6"/>
      <c r="BM222" s="102"/>
      <c r="BN222" s="99"/>
      <c r="BO222" s="100"/>
      <c r="BP222" s="100"/>
      <c r="BQ222" s="100"/>
      <c r="BR222" s="102"/>
      <c r="BS222" s="6"/>
      <c r="BT222" s="6"/>
      <c r="BU222" s="6"/>
      <c r="BV222" s="6"/>
    </row>
    <row r="223" spans="1:74" s="101" customFormat="1" x14ac:dyDescent="0.25">
      <c r="A223" s="98"/>
      <c r="B223" s="115"/>
      <c r="C223" s="116"/>
      <c r="D223" s="2"/>
      <c r="E223" s="127"/>
      <c r="F223" s="99"/>
      <c r="G223" s="87"/>
      <c r="H223" s="29"/>
      <c r="I223" s="98"/>
      <c r="J223" s="117"/>
      <c r="K223" s="117"/>
      <c r="L223" s="6"/>
      <c r="M223" s="7"/>
      <c r="N223" s="7"/>
      <c r="O223" s="7"/>
      <c r="P223" s="102"/>
      <c r="Q223" s="6"/>
      <c r="R223" s="102"/>
      <c r="S223" s="6"/>
      <c r="T223" s="102"/>
      <c r="U223" s="6"/>
      <c r="V223" s="102"/>
      <c r="W223" s="6"/>
      <c r="X223" s="6"/>
      <c r="Y223" s="6"/>
      <c r="Z223" s="6"/>
      <c r="AA223" s="6"/>
      <c r="AB223" s="6"/>
      <c r="AC223" s="102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102"/>
      <c r="AU223" s="6"/>
      <c r="AV223" s="6"/>
      <c r="AW223" s="102"/>
      <c r="AX223" s="99"/>
      <c r="AY223" s="7"/>
      <c r="AZ223" s="99"/>
      <c r="BA223" s="102"/>
      <c r="BB223" s="102"/>
      <c r="BC223" s="102"/>
      <c r="BD223" s="6"/>
      <c r="BE223" s="6"/>
      <c r="BF223" s="6"/>
      <c r="BG223" s="6"/>
      <c r="BH223" s="6"/>
      <c r="BI223" s="102"/>
      <c r="BJ223" s="6"/>
      <c r="BK223" s="6"/>
      <c r="BL223" s="6"/>
      <c r="BM223" s="102"/>
      <c r="BN223" s="99"/>
      <c r="BO223" s="100"/>
      <c r="BP223" s="100"/>
      <c r="BQ223" s="100"/>
      <c r="BR223" s="102"/>
      <c r="BS223" s="6"/>
      <c r="BT223" s="6"/>
      <c r="BU223" s="6"/>
      <c r="BV223" s="6"/>
    </row>
    <row r="224" spans="1:74" s="101" customFormat="1" x14ac:dyDescent="0.25">
      <c r="A224" s="98"/>
      <c r="B224" s="115"/>
      <c r="C224" s="116"/>
      <c r="D224" s="2"/>
      <c r="E224" s="127"/>
      <c r="F224" s="99"/>
      <c r="G224" s="87"/>
      <c r="H224" s="29"/>
      <c r="I224" s="98"/>
      <c r="J224" s="117"/>
      <c r="K224" s="117"/>
      <c r="L224" s="6"/>
      <c r="M224" s="7"/>
      <c r="N224" s="7"/>
      <c r="O224" s="7"/>
      <c r="P224" s="102"/>
      <c r="Q224" s="6"/>
      <c r="R224" s="102"/>
      <c r="S224" s="6"/>
      <c r="T224" s="102"/>
      <c r="U224" s="6"/>
      <c r="V224" s="102"/>
      <c r="W224" s="6"/>
      <c r="X224" s="6"/>
      <c r="Y224" s="6"/>
      <c r="Z224" s="6"/>
      <c r="AA224" s="6"/>
      <c r="AB224" s="6"/>
      <c r="AC224" s="102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102"/>
      <c r="AU224" s="6"/>
      <c r="AV224" s="6"/>
      <c r="AW224" s="102"/>
      <c r="AX224" s="99"/>
      <c r="AY224" s="7"/>
      <c r="AZ224" s="99"/>
      <c r="BA224" s="102"/>
      <c r="BB224" s="102"/>
      <c r="BC224" s="102"/>
      <c r="BD224" s="6"/>
      <c r="BE224" s="6"/>
      <c r="BF224" s="6"/>
      <c r="BG224" s="6"/>
      <c r="BH224" s="6"/>
      <c r="BI224" s="102"/>
      <c r="BJ224" s="6"/>
      <c r="BK224" s="6"/>
      <c r="BL224" s="6"/>
      <c r="BM224" s="102"/>
      <c r="BN224" s="99"/>
      <c r="BO224" s="100"/>
      <c r="BP224" s="100"/>
      <c r="BQ224" s="100"/>
      <c r="BR224" s="102"/>
      <c r="BS224" s="6"/>
      <c r="BT224" s="6"/>
      <c r="BU224" s="6"/>
      <c r="BV224" s="6"/>
    </row>
    <row r="225" spans="1:74" s="101" customFormat="1" x14ac:dyDescent="0.25">
      <c r="A225" s="98"/>
      <c r="B225" s="115"/>
      <c r="C225" s="116"/>
      <c r="D225" s="4"/>
      <c r="E225" s="127"/>
      <c r="F225" s="99"/>
      <c r="G225" s="87"/>
      <c r="H225" s="29"/>
      <c r="I225" s="98"/>
      <c r="J225" s="117"/>
      <c r="K225" s="117"/>
      <c r="L225" s="6"/>
      <c r="M225" s="6"/>
      <c r="N225" s="6"/>
      <c r="O225" s="6"/>
      <c r="P225" s="99"/>
      <c r="Q225" s="6"/>
      <c r="R225" s="99"/>
      <c r="S225" s="6"/>
      <c r="T225" s="6"/>
      <c r="U225" s="6"/>
      <c r="V225" s="99"/>
      <c r="W225" s="6"/>
      <c r="X225" s="6"/>
      <c r="Y225" s="6"/>
      <c r="Z225" s="6"/>
      <c r="AA225" s="6"/>
      <c r="AB225" s="6"/>
      <c r="AC225" s="99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99"/>
      <c r="AU225" s="6"/>
      <c r="AV225" s="6"/>
      <c r="AW225" s="99"/>
      <c r="AX225" s="99"/>
      <c r="AY225" s="6"/>
      <c r="AZ225" s="99"/>
      <c r="BA225" s="99"/>
      <c r="BB225" s="99"/>
      <c r="BC225" s="99"/>
      <c r="BD225" s="6"/>
      <c r="BE225" s="6"/>
      <c r="BF225" s="6"/>
      <c r="BG225" s="6"/>
      <c r="BH225" s="6"/>
      <c r="BI225" s="99"/>
      <c r="BJ225" s="6"/>
      <c r="BK225" s="6"/>
      <c r="BL225" s="6"/>
      <c r="BM225" s="99"/>
      <c r="BN225" s="99"/>
      <c r="BO225" s="100"/>
      <c r="BP225" s="100"/>
      <c r="BQ225" s="100"/>
      <c r="BR225" s="99"/>
      <c r="BS225" s="6"/>
      <c r="BT225" s="6"/>
      <c r="BU225" s="6"/>
      <c r="BV225" s="6"/>
    </row>
    <row r="226" spans="1:74" s="101" customFormat="1" x14ac:dyDescent="0.25">
      <c r="A226" s="98"/>
      <c r="B226" s="115"/>
      <c r="C226" s="116"/>
      <c r="D226" s="2"/>
      <c r="E226" s="127"/>
      <c r="F226" s="99"/>
      <c r="G226" s="87"/>
      <c r="H226" s="29"/>
      <c r="I226" s="98"/>
      <c r="J226" s="117"/>
      <c r="K226" s="117"/>
      <c r="L226" s="6"/>
      <c r="M226" s="7"/>
      <c r="N226" s="7"/>
      <c r="O226" s="7"/>
      <c r="P226" s="102"/>
      <c r="Q226" s="6"/>
      <c r="R226" s="102"/>
      <c r="S226" s="6"/>
      <c r="T226" s="102"/>
      <c r="U226" s="6"/>
      <c r="V226" s="102"/>
      <c r="W226" s="6"/>
      <c r="X226" s="6"/>
      <c r="Y226" s="6"/>
      <c r="Z226" s="6"/>
      <c r="AA226" s="6"/>
      <c r="AB226" s="6"/>
      <c r="AC226" s="102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102"/>
      <c r="AU226" s="6"/>
      <c r="AV226" s="6"/>
      <c r="AW226" s="102"/>
      <c r="AX226" s="99"/>
      <c r="AY226" s="6"/>
      <c r="AZ226" s="99"/>
      <c r="BA226" s="102"/>
      <c r="BB226" s="102"/>
      <c r="BC226" s="102"/>
      <c r="BD226" s="6"/>
      <c r="BE226" s="6"/>
      <c r="BF226" s="6"/>
      <c r="BG226" s="6"/>
      <c r="BH226" s="6"/>
      <c r="BI226" s="102"/>
      <c r="BJ226" s="6"/>
      <c r="BK226" s="6"/>
      <c r="BL226" s="6"/>
      <c r="BM226" s="102"/>
      <c r="BN226" s="99"/>
      <c r="BO226" s="100"/>
      <c r="BP226" s="100"/>
      <c r="BQ226" s="100"/>
      <c r="BR226" s="102"/>
      <c r="BS226" s="6"/>
      <c r="BT226" s="6"/>
      <c r="BU226" s="6"/>
      <c r="BV226" s="6"/>
    </row>
    <row r="227" spans="1:74" s="101" customFormat="1" x14ac:dyDescent="0.25">
      <c r="A227" s="98"/>
      <c r="B227" s="115"/>
      <c r="C227" s="116"/>
      <c r="D227" s="2"/>
      <c r="E227" s="127"/>
      <c r="F227" s="99"/>
      <c r="G227" s="87"/>
      <c r="H227" s="29"/>
      <c r="I227" s="98"/>
      <c r="J227" s="117"/>
      <c r="K227" s="117"/>
      <c r="L227" s="6"/>
      <c r="M227" s="7"/>
      <c r="N227" s="7"/>
      <c r="O227" s="7"/>
      <c r="P227" s="102"/>
      <c r="Q227" s="6"/>
      <c r="R227" s="102"/>
      <c r="S227" s="6"/>
      <c r="T227" s="102"/>
      <c r="U227" s="6"/>
      <c r="V227" s="102"/>
      <c r="W227" s="6"/>
      <c r="X227" s="6"/>
      <c r="Y227" s="6"/>
      <c r="Z227" s="6"/>
      <c r="AA227" s="6"/>
      <c r="AB227" s="6"/>
      <c r="AC227" s="102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102"/>
      <c r="AU227" s="6"/>
      <c r="AV227" s="6"/>
      <c r="AW227" s="102"/>
      <c r="AX227" s="99"/>
      <c r="AY227" s="7"/>
      <c r="AZ227" s="99"/>
      <c r="BA227" s="102"/>
      <c r="BB227" s="102"/>
      <c r="BC227" s="102"/>
      <c r="BD227" s="6"/>
      <c r="BE227" s="6"/>
      <c r="BF227" s="6"/>
      <c r="BG227" s="6"/>
      <c r="BH227" s="6"/>
      <c r="BI227" s="102"/>
      <c r="BJ227" s="6"/>
      <c r="BK227" s="6"/>
      <c r="BL227" s="6"/>
      <c r="BM227" s="102"/>
      <c r="BN227" s="99"/>
      <c r="BO227" s="100"/>
      <c r="BP227" s="100"/>
      <c r="BQ227" s="100"/>
      <c r="BR227" s="102"/>
      <c r="BS227" s="6"/>
      <c r="BT227" s="6"/>
      <c r="BU227" s="6"/>
      <c r="BV227" s="6"/>
    </row>
    <row r="228" spans="1:74" s="101" customFormat="1" x14ac:dyDescent="0.25">
      <c r="A228" s="98"/>
      <c r="B228" s="115"/>
      <c r="C228" s="116"/>
      <c r="D228" s="2"/>
      <c r="E228" s="127"/>
      <c r="F228" s="99"/>
      <c r="G228" s="87"/>
      <c r="H228" s="29"/>
      <c r="I228" s="98"/>
      <c r="J228" s="117"/>
      <c r="K228" s="117"/>
      <c r="L228" s="6"/>
      <c r="M228" s="7"/>
      <c r="N228" s="7"/>
      <c r="O228" s="7"/>
      <c r="P228" s="102"/>
      <c r="Q228" s="6"/>
      <c r="R228" s="102"/>
      <c r="S228" s="6"/>
      <c r="T228" s="102"/>
      <c r="U228" s="6"/>
      <c r="V228" s="102"/>
      <c r="W228" s="6"/>
      <c r="X228" s="6"/>
      <c r="Y228" s="6"/>
      <c r="Z228" s="6"/>
      <c r="AA228" s="6"/>
      <c r="AB228" s="6"/>
      <c r="AC228" s="102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102"/>
      <c r="AU228" s="6"/>
      <c r="AV228" s="6"/>
      <c r="AW228" s="102"/>
      <c r="AX228" s="99"/>
      <c r="AY228" s="7"/>
      <c r="AZ228" s="99"/>
      <c r="BA228" s="102"/>
      <c r="BB228" s="102"/>
      <c r="BC228" s="102"/>
      <c r="BD228" s="6"/>
      <c r="BE228" s="6"/>
      <c r="BF228" s="6"/>
      <c r="BG228" s="6"/>
      <c r="BH228" s="6"/>
      <c r="BI228" s="102"/>
      <c r="BJ228" s="6"/>
      <c r="BK228" s="6"/>
      <c r="BL228" s="6"/>
      <c r="BM228" s="102"/>
      <c r="BN228" s="99"/>
      <c r="BO228" s="100"/>
      <c r="BP228" s="100"/>
      <c r="BQ228" s="100"/>
      <c r="BR228" s="102"/>
      <c r="BS228" s="6"/>
      <c r="BT228" s="6"/>
      <c r="BU228" s="6"/>
      <c r="BV228" s="6"/>
    </row>
    <row r="229" spans="1:74" s="101" customFormat="1" x14ac:dyDescent="0.25">
      <c r="A229" s="98"/>
      <c r="B229" s="115"/>
      <c r="C229" s="116"/>
      <c r="D229" s="2"/>
      <c r="E229" s="127"/>
      <c r="F229" s="99"/>
      <c r="G229" s="87"/>
      <c r="H229" s="29"/>
      <c r="I229" s="98"/>
      <c r="J229" s="117"/>
      <c r="K229" s="117"/>
      <c r="L229" s="6"/>
      <c r="M229" s="7"/>
      <c r="N229" s="7"/>
      <c r="O229" s="7"/>
      <c r="P229" s="102"/>
      <c r="Q229" s="6"/>
      <c r="R229" s="102"/>
      <c r="S229" s="6"/>
      <c r="T229" s="102"/>
      <c r="U229" s="6"/>
      <c r="V229" s="102"/>
      <c r="W229" s="6"/>
      <c r="X229" s="6"/>
      <c r="Y229" s="6"/>
      <c r="Z229" s="6"/>
      <c r="AA229" s="6"/>
      <c r="AB229" s="6"/>
      <c r="AC229" s="102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102"/>
      <c r="AU229" s="6"/>
      <c r="AV229" s="6"/>
      <c r="AW229" s="102"/>
      <c r="AX229" s="99"/>
      <c r="AY229" s="7"/>
      <c r="AZ229" s="99"/>
      <c r="BA229" s="102"/>
      <c r="BB229" s="102"/>
      <c r="BC229" s="102"/>
      <c r="BD229" s="6"/>
      <c r="BE229" s="6"/>
      <c r="BF229" s="6"/>
      <c r="BG229" s="6"/>
      <c r="BH229" s="6"/>
      <c r="BI229" s="102"/>
      <c r="BJ229" s="6"/>
      <c r="BK229" s="6"/>
      <c r="BL229" s="6"/>
      <c r="BM229" s="102"/>
      <c r="BN229" s="99"/>
      <c r="BO229" s="100"/>
      <c r="BP229" s="100"/>
      <c r="BQ229" s="100"/>
      <c r="BR229" s="102"/>
      <c r="BS229" s="6"/>
      <c r="BT229" s="6"/>
      <c r="BU229" s="6"/>
      <c r="BV229" s="6"/>
    </row>
    <row r="230" spans="1:74" s="101" customFormat="1" x14ac:dyDescent="0.25">
      <c r="A230" s="98"/>
      <c r="B230" s="115"/>
      <c r="C230" s="116"/>
      <c r="D230" s="2"/>
      <c r="E230" s="127"/>
      <c r="F230" s="99"/>
      <c r="G230" s="87"/>
      <c r="H230" s="29"/>
      <c r="I230" s="98"/>
      <c r="J230" s="117"/>
      <c r="K230" s="117"/>
      <c r="L230" s="6"/>
      <c r="M230" s="7"/>
      <c r="N230" s="7"/>
      <c r="O230" s="7"/>
      <c r="P230" s="102"/>
      <c r="Q230" s="6"/>
      <c r="R230" s="102"/>
      <c r="S230" s="6"/>
      <c r="T230" s="102"/>
      <c r="U230" s="6"/>
      <c r="V230" s="102"/>
      <c r="W230" s="6"/>
      <c r="X230" s="6"/>
      <c r="Y230" s="6"/>
      <c r="Z230" s="6"/>
      <c r="AA230" s="6"/>
      <c r="AB230" s="6"/>
      <c r="AC230" s="102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102"/>
      <c r="AU230" s="6"/>
      <c r="AV230" s="6"/>
      <c r="AW230" s="102"/>
      <c r="AX230" s="99"/>
      <c r="AY230" s="7"/>
      <c r="AZ230" s="99"/>
      <c r="BA230" s="102"/>
      <c r="BB230" s="102"/>
      <c r="BC230" s="102"/>
      <c r="BD230" s="6"/>
      <c r="BE230" s="6"/>
      <c r="BF230" s="6"/>
      <c r="BG230" s="6"/>
      <c r="BH230" s="6"/>
      <c r="BI230" s="102"/>
      <c r="BJ230" s="6"/>
      <c r="BK230" s="6"/>
      <c r="BL230" s="6"/>
      <c r="BM230" s="102"/>
      <c r="BN230" s="99"/>
      <c r="BO230" s="100"/>
      <c r="BP230" s="100"/>
      <c r="BQ230" s="100"/>
      <c r="BR230" s="102"/>
      <c r="BS230" s="6"/>
      <c r="BT230" s="6"/>
      <c r="BU230" s="6"/>
      <c r="BV230" s="6"/>
    </row>
    <row r="231" spans="1:74" s="101" customFormat="1" x14ac:dyDescent="0.25">
      <c r="A231" s="98"/>
      <c r="B231" s="115"/>
      <c r="C231" s="116"/>
      <c r="D231" s="2"/>
      <c r="E231" s="127"/>
      <c r="F231" s="99"/>
      <c r="G231" s="87"/>
      <c r="H231" s="29"/>
      <c r="I231" s="98"/>
      <c r="J231" s="117"/>
      <c r="K231" s="117"/>
      <c r="L231" s="6"/>
      <c r="M231" s="7"/>
      <c r="N231" s="7"/>
      <c r="O231" s="7"/>
      <c r="P231" s="102"/>
      <c r="Q231" s="6"/>
      <c r="R231" s="102"/>
      <c r="S231" s="6"/>
      <c r="T231" s="102"/>
      <c r="U231" s="6"/>
      <c r="V231" s="102"/>
      <c r="W231" s="6"/>
      <c r="X231" s="6"/>
      <c r="Y231" s="6"/>
      <c r="Z231" s="6"/>
      <c r="AA231" s="6"/>
      <c r="AB231" s="6"/>
      <c r="AC231" s="102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102"/>
      <c r="AU231" s="6"/>
      <c r="AV231" s="6"/>
      <c r="AW231" s="102"/>
      <c r="AX231" s="99"/>
      <c r="AY231" s="7"/>
      <c r="AZ231" s="99"/>
      <c r="BA231" s="102"/>
      <c r="BB231" s="102"/>
      <c r="BC231" s="102"/>
      <c r="BD231" s="6"/>
      <c r="BE231" s="6"/>
      <c r="BF231" s="6"/>
      <c r="BG231" s="6"/>
      <c r="BH231" s="6"/>
      <c r="BI231" s="102"/>
      <c r="BJ231" s="6"/>
      <c r="BK231" s="6"/>
      <c r="BL231" s="6"/>
      <c r="BM231" s="102"/>
      <c r="BN231" s="99"/>
      <c r="BO231" s="100"/>
      <c r="BP231" s="100"/>
      <c r="BQ231" s="100"/>
      <c r="BR231" s="102"/>
      <c r="BS231" s="6"/>
      <c r="BT231" s="6"/>
      <c r="BU231" s="6"/>
      <c r="BV231" s="6"/>
    </row>
    <row r="232" spans="1:74" s="101" customFormat="1" x14ac:dyDescent="0.25">
      <c r="A232" s="98"/>
      <c r="B232" s="115"/>
      <c r="C232" s="116"/>
      <c r="D232" s="2"/>
      <c r="E232" s="127"/>
      <c r="F232" s="99"/>
      <c r="G232" s="87"/>
      <c r="H232" s="29"/>
      <c r="I232" s="98"/>
      <c r="J232" s="117"/>
      <c r="K232" s="117"/>
      <c r="L232" s="6"/>
      <c r="M232" s="7"/>
      <c r="N232" s="7"/>
      <c r="O232" s="7"/>
      <c r="P232" s="102"/>
      <c r="Q232" s="6"/>
      <c r="R232" s="102"/>
      <c r="S232" s="6"/>
      <c r="T232" s="102"/>
      <c r="U232" s="6"/>
      <c r="V232" s="102"/>
      <c r="W232" s="6"/>
      <c r="X232" s="6"/>
      <c r="Y232" s="6"/>
      <c r="Z232" s="6"/>
      <c r="AA232" s="6"/>
      <c r="AB232" s="6"/>
      <c r="AC232" s="102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102"/>
      <c r="AU232" s="6"/>
      <c r="AV232" s="6"/>
      <c r="AW232" s="102"/>
      <c r="AX232" s="99"/>
      <c r="AY232" s="7"/>
      <c r="AZ232" s="99"/>
      <c r="BA232" s="102"/>
      <c r="BB232" s="102"/>
      <c r="BC232" s="102"/>
      <c r="BD232" s="6"/>
      <c r="BE232" s="6"/>
      <c r="BF232" s="6"/>
      <c r="BG232" s="6"/>
      <c r="BH232" s="6"/>
      <c r="BI232" s="102"/>
      <c r="BJ232" s="6"/>
      <c r="BK232" s="6"/>
      <c r="BL232" s="6"/>
      <c r="BM232" s="102"/>
      <c r="BN232" s="99"/>
      <c r="BO232" s="100"/>
      <c r="BP232" s="100"/>
      <c r="BQ232" s="100"/>
      <c r="BR232" s="102"/>
      <c r="BS232" s="6"/>
      <c r="BT232" s="6"/>
      <c r="BU232" s="6"/>
      <c r="BV232" s="6"/>
    </row>
    <row r="233" spans="1:74" s="101" customFormat="1" x14ac:dyDescent="0.25">
      <c r="A233" s="98"/>
      <c r="B233" s="115"/>
      <c r="C233" s="116"/>
      <c r="D233" s="2"/>
      <c r="E233" s="127"/>
      <c r="F233" s="99"/>
      <c r="G233" s="87"/>
      <c r="H233" s="29"/>
      <c r="I233" s="98"/>
      <c r="J233" s="117"/>
      <c r="K233" s="117"/>
      <c r="L233" s="6"/>
      <c r="M233" s="7"/>
      <c r="N233" s="7"/>
      <c r="O233" s="7"/>
      <c r="P233" s="102"/>
      <c r="Q233" s="6"/>
      <c r="R233" s="102"/>
      <c r="S233" s="6"/>
      <c r="T233" s="102"/>
      <c r="U233" s="6"/>
      <c r="V233" s="102"/>
      <c r="W233" s="6"/>
      <c r="X233" s="6"/>
      <c r="Y233" s="6"/>
      <c r="Z233" s="6"/>
      <c r="AA233" s="6"/>
      <c r="AB233" s="6"/>
      <c r="AC233" s="102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102"/>
      <c r="AU233" s="6"/>
      <c r="AV233" s="6"/>
      <c r="AW233" s="102"/>
      <c r="AX233" s="99"/>
      <c r="AY233" s="7"/>
      <c r="AZ233" s="99"/>
      <c r="BA233" s="102"/>
      <c r="BB233" s="102"/>
      <c r="BC233" s="102"/>
      <c r="BD233" s="6"/>
      <c r="BE233" s="6"/>
      <c r="BF233" s="6"/>
      <c r="BG233" s="6"/>
      <c r="BH233" s="6"/>
      <c r="BI233" s="102"/>
      <c r="BJ233" s="6"/>
      <c r="BK233" s="6"/>
      <c r="BL233" s="6"/>
      <c r="BM233" s="102"/>
      <c r="BN233" s="99"/>
      <c r="BO233" s="100"/>
      <c r="BP233" s="100"/>
      <c r="BQ233" s="100"/>
      <c r="BR233" s="102"/>
      <c r="BS233" s="6"/>
      <c r="BT233" s="6"/>
      <c r="BU233" s="6"/>
      <c r="BV233" s="6"/>
    </row>
    <row r="234" spans="1:74" s="101" customFormat="1" x14ac:dyDescent="0.25">
      <c r="A234" s="98"/>
      <c r="B234" s="115"/>
      <c r="C234" s="116"/>
      <c r="D234" s="2"/>
      <c r="E234" s="127"/>
      <c r="F234" s="99"/>
      <c r="G234" s="87"/>
      <c r="H234" s="29"/>
      <c r="I234" s="98"/>
      <c r="J234" s="117"/>
      <c r="K234" s="117"/>
      <c r="L234" s="6"/>
      <c r="M234" s="7"/>
      <c r="N234" s="7"/>
      <c r="O234" s="7"/>
      <c r="P234" s="102"/>
      <c r="Q234" s="6"/>
      <c r="R234" s="102"/>
      <c r="S234" s="6"/>
      <c r="T234" s="102"/>
      <c r="U234" s="6"/>
      <c r="V234" s="102"/>
      <c r="W234" s="6"/>
      <c r="X234" s="6"/>
      <c r="Y234" s="6"/>
      <c r="Z234" s="6"/>
      <c r="AA234" s="6"/>
      <c r="AB234" s="6"/>
      <c r="AC234" s="102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102"/>
      <c r="AU234" s="6"/>
      <c r="AV234" s="6"/>
      <c r="AW234" s="102"/>
      <c r="AX234" s="99"/>
      <c r="AY234" s="7"/>
      <c r="AZ234" s="99"/>
      <c r="BA234" s="102"/>
      <c r="BB234" s="102"/>
      <c r="BC234" s="102"/>
      <c r="BD234" s="6"/>
      <c r="BE234" s="6"/>
      <c r="BF234" s="6"/>
      <c r="BG234" s="6"/>
      <c r="BH234" s="6"/>
      <c r="BI234" s="102"/>
      <c r="BJ234" s="6"/>
      <c r="BK234" s="6"/>
      <c r="BL234" s="6"/>
      <c r="BM234" s="102"/>
      <c r="BN234" s="99"/>
      <c r="BO234" s="100"/>
      <c r="BP234" s="100"/>
      <c r="BQ234" s="100"/>
      <c r="BR234" s="102"/>
      <c r="BS234" s="6"/>
      <c r="BT234" s="6"/>
      <c r="BU234" s="6"/>
      <c r="BV234" s="6"/>
    </row>
    <row r="235" spans="1:74" s="101" customFormat="1" x14ac:dyDescent="0.25">
      <c r="A235" s="98"/>
      <c r="B235" s="115"/>
      <c r="C235" s="116"/>
      <c r="D235" s="2"/>
      <c r="E235" s="127"/>
      <c r="F235" s="99"/>
      <c r="G235" s="87"/>
      <c r="H235" s="29"/>
      <c r="I235" s="98"/>
      <c r="J235" s="117"/>
      <c r="K235" s="117"/>
      <c r="L235" s="6"/>
      <c r="M235" s="7"/>
      <c r="N235" s="7"/>
      <c r="O235" s="7"/>
      <c r="P235" s="102"/>
      <c r="Q235" s="6"/>
      <c r="R235" s="102"/>
      <c r="S235" s="6"/>
      <c r="T235" s="102"/>
      <c r="U235" s="6"/>
      <c r="V235" s="102"/>
      <c r="W235" s="6"/>
      <c r="X235" s="6"/>
      <c r="Y235" s="6"/>
      <c r="Z235" s="6"/>
      <c r="AA235" s="6"/>
      <c r="AB235" s="6"/>
      <c r="AC235" s="102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102"/>
      <c r="AU235" s="6"/>
      <c r="AV235" s="6"/>
      <c r="AW235" s="102"/>
      <c r="AX235" s="99"/>
      <c r="AY235" s="7"/>
      <c r="AZ235" s="99"/>
      <c r="BA235" s="102"/>
      <c r="BB235" s="102"/>
      <c r="BC235" s="102"/>
      <c r="BD235" s="6"/>
      <c r="BE235" s="6"/>
      <c r="BF235" s="6"/>
      <c r="BG235" s="6"/>
      <c r="BH235" s="6"/>
      <c r="BI235" s="102"/>
      <c r="BJ235" s="6"/>
      <c r="BK235" s="6"/>
      <c r="BL235" s="6"/>
      <c r="BM235" s="102"/>
      <c r="BN235" s="99"/>
      <c r="BO235" s="100"/>
      <c r="BP235" s="100"/>
      <c r="BQ235" s="100"/>
      <c r="BR235" s="102"/>
      <c r="BS235" s="6"/>
      <c r="BT235" s="6"/>
      <c r="BU235" s="6"/>
      <c r="BV235" s="6"/>
    </row>
    <row r="236" spans="1:74" s="101" customFormat="1" x14ac:dyDescent="0.25">
      <c r="A236" s="98"/>
      <c r="B236" s="115"/>
      <c r="C236" s="116"/>
      <c r="D236" s="2"/>
      <c r="E236" s="127"/>
      <c r="F236" s="99"/>
      <c r="G236" s="87"/>
      <c r="H236" s="29"/>
      <c r="I236" s="98"/>
      <c r="J236" s="117"/>
      <c r="K236" s="117"/>
      <c r="L236" s="6"/>
      <c r="M236" s="7"/>
      <c r="N236" s="7"/>
      <c r="O236" s="7"/>
      <c r="P236" s="102"/>
      <c r="Q236" s="6"/>
      <c r="R236" s="102"/>
      <c r="S236" s="6"/>
      <c r="T236" s="102"/>
      <c r="U236" s="6"/>
      <c r="V236" s="102"/>
      <c r="W236" s="6"/>
      <c r="X236" s="6"/>
      <c r="Y236" s="6"/>
      <c r="Z236" s="6"/>
      <c r="AA236" s="6"/>
      <c r="AB236" s="6"/>
      <c r="AC236" s="102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102"/>
      <c r="AU236" s="6"/>
      <c r="AV236" s="6"/>
      <c r="AW236" s="102"/>
      <c r="AX236" s="99"/>
      <c r="AY236" s="7"/>
      <c r="AZ236" s="99"/>
      <c r="BA236" s="102"/>
      <c r="BB236" s="102"/>
      <c r="BC236" s="102"/>
      <c r="BD236" s="6"/>
      <c r="BE236" s="6"/>
      <c r="BF236" s="6"/>
      <c r="BG236" s="6"/>
      <c r="BH236" s="6"/>
      <c r="BI236" s="102"/>
      <c r="BJ236" s="6"/>
      <c r="BK236" s="6"/>
      <c r="BL236" s="6"/>
      <c r="BM236" s="102"/>
      <c r="BN236" s="99"/>
      <c r="BO236" s="100"/>
      <c r="BP236" s="100"/>
      <c r="BQ236" s="100"/>
      <c r="BR236" s="102"/>
      <c r="BS236" s="6"/>
      <c r="BT236" s="6"/>
      <c r="BU236" s="6"/>
      <c r="BV236" s="6"/>
    </row>
    <row r="237" spans="1:74" s="101" customFormat="1" x14ac:dyDescent="0.25">
      <c r="A237" s="98"/>
      <c r="B237" s="115"/>
      <c r="C237" s="116"/>
      <c r="D237" s="2"/>
      <c r="E237" s="127"/>
      <c r="F237" s="99"/>
      <c r="G237" s="87"/>
      <c r="H237" s="29"/>
      <c r="I237" s="98"/>
      <c r="J237" s="117"/>
      <c r="K237" s="117"/>
      <c r="L237" s="6"/>
      <c r="M237" s="7"/>
      <c r="N237" s="7"/>
      <c r="O237" s="7"/>
      <c r="P237" s="102"/>
      <c r="Q237" s="6"/>
      <c r="R237" s="102"/>
      <c r="S237" s="6"/>
      <c r="T237" s="102"/>
      <c r="U237" s="6"/>
      <c r="V237" s="102"/>
      <c r="W237" s="6"/>
      <c r="X237" s="6"/>
      <c r="Y237" s="6"/>
      <c r="Z237" s="6"/>
      <c r="AA237" s="6"/>
      <c r="AB237" s="6"/>
      <c r="AC237" s="102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102"/>
      <c r="AU237" s="6"/>
      <c r="AV237" s="6"/>
      <c r="AW237" s="102"/>
      <c r="AX237" s="99"/>
      <c r="AY237" s="7"/>
      <c r="AZ237" s="99"/>
      <c r="BA237" s="102"/>
      <c r="BB237" s="102"/>
      <c r="BC237" s="102"/>
      <c r="BD237" s="6"/>
      <c r="BE237" s="6"/>
      <c r="BF237" s="6"/>
      <c r="BG237" s="6"/>
      <c r="BH237" s="6"/>
      <c r="BI237" s="102"/>
      <c r="BJ237" s="6"/>
      <c r="BK237" s="6"/>
      <c r="BL237" s="6"/>
      <c r="BM237" s="102"/>
      <c r="BN237" s="99"/>
      <c r="BO237" s="100"/>
      <c r="BP237" s="100"/>
      <c r="BQ237" s="100"/>
      <c r="BR237" s="102"/>
      <c r="BS237" s="6"/>
      <c r="BT237" s="6"/>
      <c r="BU237" s="6"/>
      <c r="BV237" s="6"/>
    </row>
    <row r="238" spans="1:74" s="101" customFormat="1" x14ac:dyDescent="0.25">
      <c r="A238" s="98"/>
      <c r="B238" s="115"/>
      <c r="C238" s="116"/>
      <c r="D238" s="2"/>
      <c r="E238" s="127"/>
      <c r="F238" s="99"/>
      <c r="G238" s="87"/>
      <c r="H238" s="29"/>
      <c r="I238" s="98"/>
      <c r="J238" s="117"/>
      <c r="K238" s="117"/>
      <c r="L238" s="6"/>
      <c r="M238" s="7"/>
      <c r="N238" s="7"/>
      <c r="O238" s="7"/>
      <c r="P238" s="102"/>
      <c r="Q238" s="6"/>
      <c r="R238" s="102"/>
      <c r="S238" s="6"/>
      <c r="T238" s="102"/>
      <c r="U238" s="6"/>
      <c r="V238" s="102"/>
      <c r="W238" s="6"/>
      <c r="X238" s="6"/>
      <c r="Y238" s="6"/>
      <c r="Z238" s="6"/>
      <c r="AA238" s="6"/>
      <c r="AB238" s="6"/>
      <c r="AC238" s="102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102"/>
      <c r="AU238" s="6"/>
      <c r="AV238" s="6"/>
      <c r="AW238" s="102"/>
      <c r="AX238" s="99"/>
      <c r="AY238" s="7"/>
      <c r="AZ238" s="99"/>
      <c r="BA238" s="102"/>
      <c r="BB238" s="102"/>
      <c r="BC238" s="102"/>
      <c r="BD238" s="6"/>
      <c r="BE238" s="6"/>
      <c r="BF238" s="6"/>
      <c r="BG238" s="6"/>
      <c r="BH238" s="6"/>
      <c r="BI238" s="102"/>
      <c r="BJ238" s="6"/>
      <c r="BK238" s="6"/>
      <c r="BL238" s="6"/>
      <c r="BM238" s="102"/>
      <c r="BN238" s="99"/>
      <c r="BO238" s="100"/>
      <c r="BP238" s="100"/>
      <c r="BQ238" s="100"/>
      <c r="BR238" s="102"/>
      <c r="BS238" s="6"/>
      <c r="BT238" s="6"/>
      <c r="BU238" s="6"/>
      <c r="BV238" s="6"/>
    </row>
    <row r="239" spans="1:74" s="101" customFormat="1" x14ac:dyDescent="0.25">
      <c r="A239" s="98"/>
      <c r="B239" s="115"/>
      <c r="C239" s="116"/>
      <c r="D239" s="2"/>
      <c r="E239" s="127"/>
      <c r="F239" s="99"/>
      <c r="G239" s="87"/>
      <c r="H239" s="29"/>
      <c r="I239" s="98"/>
      <c r="J239" s="117"/>
      <c r="K239" s="117"/>
      <c r="L239" s="6"/>
      <c r="M239" s="7"/>
      <c r="N239" s="7"/>
      <c r="O239" s="7"/>
      <c r="P239" s="102"/>
      <c r="Q239" s="6"/>
      <c r="R239" s="102"/>
      <c r="S239" s="6"/>
      <c r="T239" s="102"/>
      <c r="U239" s="6"/>
      <c r="V239" s="102"/>
      <c r="W239" s="6"/>
      <c r="X239" s="6"/>
      <c r="Y239" s="6"/>
      <c r="Z239" s="6"/>
      <c r="AA239" s="6"/>
      <c r="AB239" s="6"/>
      <c r="AC239" s="102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102"/>
      <c r="AU239" s="6"/>
      <c r="AV239" s="6"/>
      <c r="AW239" s="102"/>
      <c r="AX239" s="99"/>
      <c r="AY239" s="7"/>
      <c r="AZ239" s="99"/>
      <c r="BA239" s="102"/>
      <c r="BB239" s="102"/>
      <c r="BC239" s="102"/>
      <c r="BD239" s="6"/>
      <c r="BE239" s="6"/>
      <c r="BF239" s="6"/>
      <c r="BG239" s="6"/>
      <c r="BH239" s="6"/>
      <c r="BI239" s="102"/>
      <c r="BJ239" s="6"/>
      <c r="BK239" s="6"/>
      <c r="BL239" s="6"/>
      <c r="BM239" s="102"/>
      <c r="BN239" s="99"/>
      <c r="BO239" s="100"/>
      <c r="BP239" s="100"/>
      <c r="BQ239" s="100"/>
      <c r="BR239" s="102"/>
      <c r="BS239" s="6"/>
      <c r="BT239" s="6"/>
      <c r="BU239" s="6"/>
      <c r="BV239" s="6"/>
    </row>
    <row r="240" spans="1:74" s="101" customFormat="1" x14ac:dyDescent="0.25">
      <c r="A240" s="98"/>
      <c r="B240" s="115"/>
      <c r="C240" s="116"/>
      <c r="D240" s="2"/>
      <c r="E240" s="127"/>
      <c r="F240" s="99"/>
      <c r="G240" s="87"/>
      <c r="H240" s="29"/>
      <c r="I240" s="98"/>
      <c r="J240" s="117"/>
      <c r="K240" s="117"/>
      <c r="L240" s="6"/>
      <c r="M240" s="7"/>
      <c r="N240" s="7"/>
      <c r="O240" s="7"/>
      <c r="P240" s="102"/>
      <c r="Q240" s="6"/>
      <c r="R240" s="102"/>
      <c r="S240" s="6"/>
      <c r="T240" s="102"/>
      <c r="U240" s="6"/>
      <c r="V240" s="102"/>
      <c r="W240" s="6"/>
      <c r="X240" s="6"/>
      <c r="Y240" s="6"/>
      <c r="Z240" s="6"/>
      <c r="AA240" s="6"/>
      <c r="AB240" s="6"/>
      <c r="AC240" s="102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102"/>
      <c r="AU240" s="6"/>
      <c r="AV240" s="6"/>
      <c r="AW240" s="102"/>
      <c r="AX240" s="99"/>
      <c r="AY240" s="7"/>
      <c r="AZ240" s="99"/>
      <c r="BA240" s="102"/>
      <c r="BB240" s="102"/>
      <c r="BC240" s="102"/>
      <c r="BD240" s="6"/>
      <c r="BE240" s="6"/>
      <c r="BF240" s="6"/>
      <c r="BG240" s="6"/>
      <c r="BH240" s="6"/>
      <c r="BI240" s="102"/>
      <c r="BJ240" s="6"/>
      <c r="BK240" s="6"/>
      <c r="BL240" s="6"/>
      <c r="BM240" s="102"/>
      <c r="BN240" s="99"/>
      <c r="BO240" s="100"/>
      <c r="BP240" s="100"/>
      <c r="BQ240" s="100"/>
      <c r="BR240" s="102"/>
      <c r="BS240" s="6"/>
      <c r="BT240" s="6"/>
      <c r="BU240" s="6"/>
      <c r="BV240" s="6"/>
    </row>
    <row r="241" spans="1:74" s="101" customFormat="1" x14ac:dyDescent="0.25">
      <c r="A241" s="98"/>
      <c r="B241" s="115"/>
      <c r="C241" s="116"/>
      <c r="D241" s="2"/>
      <c r="E241" s="127"/>
      <c r="F241" s="99"/>
      <c r="G241" s="87"/>
      <c r="H241" s="29"/>
      <c r="I241" s="98"/>
      <c r="J241" s="117"/>
      <c r="K241" s="117"/>
      <c r="L241" s="6"/>
      <c r="M241" s="7"/>
      <c r="N241" s="7"/>
      <c r="O241" s="7"/>
      <c r="P241" s="102"/>
      <c r="Q241" s="6"/>
      <c r="R241" s="102"/>
      <c r="S241" s="6"/>
      <c r="T241" s="102"/>
      <c r="U241" s="6"/>
      <c r="V241" s="102"/>
      <c r="W241" s="6"/>
      <c r="X241" s="6"/>
      <c r="Y241" s="6"/>
      <c r="Z241" s="6"/>
      <c r="AA241" s="6"/>
      <c r="AB241" s="6"/>
      <c r="AC241" s="102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102"/>
      <c r="AU241" s="6"/>
      <c r="AV241" s="6"/>
      <c r="AW241" s="102"/>
      <c r="AX241" s="99"/>
      <c r="AY241" s="7"/>
      <c r="AZ241" s="99"/>
      <c r="BA241" s="102"/>
      <c r="BB241" s="102"/>
      <c r="BC241" s="102"/>
      <c r="BD241" s="6"/>
      <c r="BE241" s="6"/>
      <c r="BF241" s="6"/>
      <c r="BG241" s="6"/>
      <c r="BH241" s="6"/>
      <c r="BI241" s="102"/>
      <c r="BJ241" s="6"/>
      <c r="BK241" s="6"/>
      <c r="BL241" s="6"/>
      <c r="BM241" s="102"/>
      <c r="BN241" s="99"/>
      <c r="BO241" s="100"/>
      <c r="BP241" s="100"/>
      <c r="BQ241" s="100"/>
      <c r="BR241" s="102"/>
      <c r="BS241" s="6"/>
      <c r="BT241" s="6"/>
      <c r="BU241" s="6"/>
      <c r="BV241" s="6"/>
    </row>
    <row r="242" spans="1:74" s="101" customFormat="1" x14ac:dyDescent="0.25">
      <c r="A242" s="98"/>
      <c r="B242" s="115"/>
      <c r="C242" s="116"/>
      <c r="D242" s="2"/>
      <c r="E242" s="127"/>
      <c r="F242" s="99"/>
      <c r="G242" s="87"/>
      <c r="H242" s="29"/>
      <c r="I242" s="98"/>
      <c r="J242" s="117"/>
      <c r="K242" s="117"/>
      <c r="L242" s="6"/>
      <c r="M242" s="7"/>
      <c r="N242" s="7"/>
      <c r="O242" s="7"/>
      <c r="P242" s="102"/>
      <c r="Q242" s="6"/>
      <c r="R242" s="102"/>
      <c r="S242" s="6"/>
      <c r="T242" s="102"/>
      <c r="U242" s="6"/>
      <c r="V242" s="102"/>
      <c r="W242" s="6"/>
      <c r="X242" s="6"/>
      <c r="Y242" s="6"/>
      <c r="Z242" s="6"/>
      <c r="AA242" s="6"/>
      <c r="AB242" s="6"/>
      <c r="AC242" s="102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102"/>
      <c r="AU242" s="6"/>
      <c r="AV242" s="6"/>
      <c r="AW242" s="102"/>
      <c r="AX242" s="99"/>
      <c r="AY242" s="7"/>
      <c r="AZ242" s="99"/>
      <c r="BA242" s="102"/>
      <c r="BB242" s="102"/>
      <c r="BC242" s="102"/>
      <c r="BD242" s="6"/>
      <c r="BE242" s="6"/>
      <c r="BF242" s="6"/>
      <c r="BG242" s="6"/>
      <c r="BH242" s="6"/>
      <c r="BI242" s="102"/>
      <c r="BJ242" s="6"/>
      <c r="BK242" s="6"/>
      <c r="BL242" s="6"/>
      <c r="BM242" s="102"/>
      <c r="BN242" s="99"/>
      <c r="BO242" s="100"/>
      <c r="BP242" s="100"/>
      <c r="BQ242" s="100"/>
      <c r="BR242" s="102"/>
      <c r="BS242" s="6"/>
      <c r="BT242" s="6"/>
      <c r="BU242" s="6"/>
      <c r="BV242" s="6"/>
    </row>
    <row r="243" spans="1:74" s="101" customFormat="1" x14ac:dyDescent="0.25">
      <c r="A243" s="98"/>
      <c r="B243" s="115"/>
      <c r="C243" s="116"/>
      <c r="D243" s="2"/>
      <c r="E243" s="127"/>
      <c r="F243" s="99"/>
      <c r="G243" s="87"/>
      <c r="H243" s="29"/>
      <c r="I243" s="98"/>
      <c r="J243" s="117"/>
      <c r="K243" s="117"/>
      <c r="L243" s="6"/>
      <c r="M243" s="7"/>
      <c r="N243" s="7"/>
      <c r="O243" s="7"/>
      <c r="P243" s="102"/>
      <c r="Q243" s="6"/>
      <c r="R243" s="102"/>
      <c r="S243" s="6"/>
      <c r="T243" s="102"/>
      <c r="U243" s="6"/>
      <c r="V243" s="102"/>
      <c r="W243" s="6"/>
      <c r="X243" s="6"/>
      <c r="Y243" s="6"/>
      <c r="Z243" s="6"/>
      <c r="AA243" s="6"/>
      <c r="AB243" s="6"/>
      <c r="AC243" s="102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102"/>
      <c r="AU243" s="6"/>
      <c r="AV243" s="6"/>
      <c r="AW243" s="102"/>
      <c r="AX243" s="99"/>
      <c r="AY243" s="7"/>
      <c r="AZ243" s="99"/>
      <c r="BA243" s="102"/>
      <c r="BB243" s="102"/>
      <c r="BC243" s="102"/>
      <c r="BD243" s="6"/>
      <c r="BE243" s="6"/>
      <c r="BF243" s="6"/>
      <c r="BG243" s="6"/>
      <c r="BH243" s="6"/>
      <c r="BI243" s="102"/>
      <c r="BJ243" s="6"/>
      <c r="BK243" s="6"/>
      <c r="BL243" s="6"/>
      <c r="BM243" s="102"/>
      <c r="BN243" s="99"/>
      <c r="BO243" s="100"/>
      <c r="BP243" s="100"/>
      <c r="BQ243" s="100"/>
      <c r="BR243" s="102"/>
      <c r="BS243" s="6"/>
      <c r="BT243" s="6"/>
      <c r="BU243" s="6"/>
      <c r="BV243" s="6"/>
    </row>
    <row r="244" spans="1:74" s="101" customFormat="1" x14ac:dyDescent="0.25">
      <c r="A244" s="98"/>
      <c r="B244" s="115"/>
      <c r="C244" s="116"/>
      <c r="D244" s="2"/>
      <c r="E244" s="127"/>
      <c r="F244" s="99"/>
      <c r="G244" s="87"/>
      <c r="H244" s="29"/>
      <c r="I244" s="98"/>
      <c r="J244" s="117"/>
      <c r="K244" s="117"/>
      <c r="L244" s="6"/>
      <c r="M244" s="7"/>
      <c r="N244" s="7"/>
      <c r="O244" s="7"/>
      <c r="P244" s="102"/>
      <c r="Q244" s="6"/>
      <c r="R244" s="102"/>
      <c r="S244" s="6"/>
      <c r="T244" s="102"/>
      <c r="U244" s="6"/>
      <c r="V244" s="102"/>
      <c r="W244" s="6"/>
      <c r="X244" s="6"/>
      <c r="Y244" s="6"/>
      <c r="Z244" s="6"/>
      <c r="AA244" s="6"/>
      <c r="AB244" s="6"/>
      <c r="AC244" s="102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102"/>
      <c r="AU244" s="6"/>
      <c r="AV244" s="6"/>
      <c r="AW244" s="102"/>
      <c r="AX244" s="99"/>
      <c r="AY244" s="7"/>
      <c r="AZ244" s="99"/>
      <c r="BA244" s="102"/>
      <c r="BB244" s="102"/>
      <c r="BC244" s="102"/>
      <c r="BD244" s="6"/>
      <c r="BE244" s="6"/>
      <c r="BF244" s="6"/>
      <c r="BG244" s="6"/>
      <c r="BH244" s="6"/>
      <c r="BI244" s="102"/>
      <c r="BJ244" s="6"/>
      <c r="BK244" s="6"/>
      <c r="BL244" s="6"/>
      <c r="BM244" s="102"/>
      <c r="BN244" s="99"/>
      <c r="BO244" s="100"/>
      <c r="BP244" s="100"/>
      <c r="BQ244" s="100"/>
      <c r="BR244" s="102"/>
      <c r="BS244" s="6"/>
      <c r="BT244" s="6"/>
      <c r="BU244" s="6"/>
      <c r="BV244" s="6"/>
    </row>
    <row r="245" spans="1:74" s="101" customFormat="1" x14ac:dyDescent="0.25">
      <c r="A245" s="98"/>
      <c r="B245" s="115"/>
      <c r="C245" s="116"/>
      <c r="D245" s="2"/>
      <c r="E245" s="127"/>
      <c r="F245" s="99"/>
      <c r="G245" s="87"/>
      <c r="H245" s="29"/>
      <c r="I245" s="98"/>
      <c r="J245" s="117"/>
      <c r="K245" s="117"/>
      <c r="L245" s="6"/>
      <c r="M245" s="7"/>
      <c r="N245" s="7"/>
      <c r="O245" s="7"/>
      <c r="P245" s="102"/>
      <c r="Q245" s="6"/>
      <c r="R245" s="102"/>
      <c r="S245" s="6"/>
      <c r="T245" s="102"/>
      <c r="U245" s="6"/>
      <c r="V245" s="102"/>
      <c r="W245" s="6"/>
      <c r="X245" s="6"/>
      <c r="Y245" s="6"/>
      <c r="Z245" s="6"/>
      <c r="AA245" s="6"/>
      <c r="AB245" s="6"/>
      <c r="AC245" s="102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102"/>
      <c r="AU245" s="6"/>
      <c r="AV245" s="6"/>
      <c r="AW245" s="102"/>
      <c r="AX245" s="99"/>
      <c r="AY245" s="7"/>
      <c r="AZ245" s="99"/>
      <c r="BA245" s="102"/>
      <c r="BB245" s="102"/>
      <c r="BC245" s="102"/>
      <c r="BD245" s="6"/>
      <c r="BE245" s="6"/>
      <c r="BF245" s="6"/>
      <c r="BG245" s="6"/>
      <c r="BH245" s="6"/>
      <c r="BI245" s="102"/>
      <c r="BJ245" s="6"/>
      <c r="BK245" s="6"/>
      <c r="BL245" s="6"/>
      <c r="BM245" s="102"/>
      <c r="BN245" s="99"/>
      <c r="BO245" s="100"/>
      <c r="BP245" s="100"/>
      <c r="BQ245" s="100"/>
      <c r="BR245" s="102"/>
      <c r="BS245" s="6"/>
      <c r="BT245" s="6"/>
      <c r="BU245" s="6"/>
      <c r="BV245" s="6"/>
    </row>
    <row r="246" spans="1:74" s="101" customFormat="1" x14ac:dyDescent="0.25">
      <c r="A246" s="98"/>
      <c r="B246" s="115"/>
      <c r="C246" s="116"/>
      <c r="D246" s="2"/>
      <c r="E246" s="127"/>
      <c r="F246" s="99"/>
      <c r="G246" s="87"/>
      <c r="H246" s="29"/>
      <c r="I246" s="98"/>
      <c r="J246" s="117"/>
      <c r="K246" s="117"/>
      <c r="L246" s="6"/>
      <c r="M246" s="7"/>
      <c r="N246" s="7"/>
      <c r="O246" s="7"/>
      <c r="P246" s="102"/>
      <c r="Q246" s="6"/>
      <c r="R246" s="102"/>
      <c r="S246" s="6"/>
      <c r="T246" s="102"/>
      <c r="U246" s="6"/>
      <c r="V246" s="102"/>
      <c r="W246" s="6"/>
      <c r="X246" s="6"/>
      <c r="Y246" s="6"/>
      <c r="Z246" s="6"/>
      <c r="AA246" s="6"/>
      <c r="AB246" s="6"/>
      <c r="AC246" s="102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102"/>
      <c r="AU246" s="6"/>
      <c r="AV246" s="6"/>
      <c r="AW246" s="102"/>
      <c r="AX246" s="99"/>
      <c r="AY246" s="7"/>
      <c r="AZ246" s="99"/>
      <c r="BA246" s="102"/>
      <c r="BB246" s="102"/>
      <c r="BC246" s="102"/>
      <c r="BD246" s="6"/>
      <c r="BE246" s="6"/>
      <c r="BF246" s="6"/>
      <c r="BG246" s="6"/>
      <c r="BH246" s="6"/>
      <c r="BI246" s="102"/>
      <c r="BJ246" s="6"/>
      <c r="BK246" s="6"/>
      <c r="BL246" s="6"/>
      <c r="BM246" s="102"/>
      <c r="BN246" s="99"/>
      <c r="BO246" s="100"/>
      <c r="BP246" s="100"/>
      <c r="BQ246" s="100"/>
      <c r="BR246" s="102"/>
      <c r="BS246" s="6"/>
      <c r="BT246" s="6"/>
      <c r="BU246" s="6"/>
      <c r="BV246" s="6"/>
    </row>
    <row r="247" spans="1:74" s="101" customFormat="1" x14ac:dyDescent="0.25">
      <c r="A247" s="98"/>
      <c r="B247" s="115"/>
      <c r="C247" s="116"/>
      <c r="D247" s="2"/>
      <c r="E247" s="127"/>
      <c r="F247" s="99"/>
      <c r="G247" s="87"/>
      <c r="H247" s="29"/>
      <c r="I247" s="98"/>
      <c r="J247" s="117"/>
      <c r="K247" s="117"/>
      <c r="L247" s="6"/>
      <c r="M247" s="7"/>
      <c r="N247" s="7"/>
      <c r="O247" s="7"/>
      <c r="P247" s="102"/>
      <c r="Q247" s="6"/>
      <c r="R247" s="102"/>
      <c r="S247" s="6"/>
      <c r="T247" s="102"/>
      <c r="U247" s="6"/>
      <c r="V247" s="102"/>
      <c r="W247" s="6"/>
      <c r="X247" s="6"/>
      <c r="Y247" s="6"/>
      <c r="Z247" s="6"/>
      <c r="AA247" s="6"/>
      <c r="AB247" s="6"/>
      <c r="AC247" s="102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102"/>
      <c r="AU247" s="6"/>
      <c r="AV247" s="6"/>
      <c r="AW247" s="102"/>
      <c r="AX247" s="99"/>
      <c r="AY247" s="7"/>
      <c r="AZ247" s="99"/>
      <c r="BA247" s="102"/>
      <c r="BB247" s="102"/>
      <c r="BC247" s="102"/>
      <c r="BD247" s="6"/>
      <c r="BE247" s="6"/>
      <c r="BF247" s="6"/>
      <c r="BG247" s="6"/>
      <c r="BH247" s="6"/>
      <c r="BI247" s="102"/>
      <c r="BJ247" s="6"/>
      <c r="BK247" s="6"/>
      <c r="BL247" s="6"/>
      <c r="BM247" s="102"/>
      <c r="BN247" s="99"/>
      <c r="BO247" s="100"/>
      <c r="BP247" s="100"/>
      <c r="BQ247" s="100"/>
      <c r="BR247" s="102"/>
      <c r="BS247" s="6"/>
      <c r="BT247" s="6"/>
      <c r="BU247" s="6"/>
      <c r="BV247" s="6"/>
    </row>
    <row r="248" spans="1:74" s="101" customFormat="1" x14ac:dyDescent="0.25">
      <c r="A248" s="98"/>
      <c r="B248" s="115"/>
      <c r="C248" s="116"/>
      <c r="D248" s="2"/>
      <c r="E248" s="127"/>
      <c r="F248" s="99"/>
      <c r="G248" s="87"/>
      <c r="H248" s="29"/>
      <c r="I248" s="98"/>
      <c r="J248" s="117"/>
      <c r="K248" s="117"/>
      <c r="L248" s="6"/>
      <c r="M248" s="7"/>
      <c r="N248" s="7"/>
      <c r="O248" s="7"/>
      <c r="P248" s="102"/>
      <c r="Q248" s="6"/>
      <c r="R248" s="102"/>
      <c r="S248" s="6"/>
      <c r="T248" s="102"/>
      <c r="U248" s="6"/>
      <c r="V248" s="102"/>
      <c r="W248" s="6"/>
      <c r="X248" s="6"/>
      <c r="Y248" s="6"/>
      <c r="Z248" s="6"/>
      <c r="AA248" s="6"/>
      <c r="AB248" s="6"/>
      <c r="AC248" s="102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102"/>
      <c r="AU248" s="6"/>
      <c r="AV248" s="6"/>
      <c r="AW248" s="102"/>
      <c r="AX248" s="99"/>
      <c r="AY248" s="7"/>
      <c r="AZ248" s="99"/>
      <c r="BA248" s="102"/>
      <c r="BB248" s="102"/>
      <c r="BC248" s="102"/>
      <c r="BD248" s="6"/>
      <c r="BE248" s="6"/>
      <c r="BF248" s="6"/>
      <c r="BG248" s="6"/>
      <c r="BH248" s="6"/>
      <c r="BI248" s="102"/>
      <c r="BJ248" s="6"/>
      <c r="BK248" s="6"/>
      <c r="BL248" s="6"/>
      <c r="BM248" s="102"/>
      <c r="BN248" s="99"/>
      <c r="BO248" s="100"/>
      <c r="BP248" s="100"/>
      <c r="BQ248" s="100"/>
      <c r="BR248" s="102"/>
      <c r="BS248" s="6"/>
      <c r="BT248" s="6"/>
      <c r="BU248" s="6"/>
      <c r="BV248" s="6"/>
    </row>
    <row r="249" spans="1:74" s="101" customFormat="1" x14ac:dyDescent="0.25">
      <c r="A249" s="98"/>
      <c r="B249" s="115"/>
      <c r="C249" s="116"/>
      <c r="D249" s="2"/>
      <c r="E249" s="127"/>
      <c r="F249" s="99"/>
      <c r="G249" s="87"/>
      <c r="H249" s="29"/>
      <c r="I249" s="98"/>
      <c r="J249" s="117"/>
      <c r="K249" s="117"/>
      <c r="L249" s="6"/>
      <c r="M249" s="7"/>
      <c r="N249" s="7"/>
      <c r="O249" s="7"/>
      <c r="P249" s="102"/>
      <c r="Q249" s="6"/>
      <c r="R249" s="102"/>
      <c r="S249" s="6"/>
      <c r="T249" s="102"/>
      <c r="U249" s="6"/>
      <c r="V249" s="102"/>
      <c r="W249" s="6"/>
      <c r="X249" s="6"/>
      <c r="Y249" s="6"/>
      <c r="Z249" s="6"/>
      <c r="AA249" s="6"/>
      <c r="AB249" s="6"/>
      <c r="AC249" s="102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102"/>
      <c r="AU249" s="6"/>
      <c r="AV249" s="6"/>
      <c r="AW249" s="102"/>
      <c r="AX249" s="99"/>
      <c r="AY249" s="7"/>
      <c r="AZ249" s="99"/>
      <c r="BA249" s="102"/>
      <c r="BB249" s="102"/>
      <c r="BC249" s="102"/>
      <c r="BD249" s="6"/>
      <c r="BE249" s="6"/>
      <c r="BF249" s="6"/>
      <c r="BG249" s="6"/>
      <c r="BH249" s="6"/>
      <c r="BI249" s="102"/>
      <c r="BJ249" s="6"/>
      <c r="BK249" s="6"/>
      <c r="BL249" s="6"/>
      <c r="BM249" s="102"/>
      <c r="BN249" s="99"/>
      <c r="BO249" s="100"/>
      <c r="BP249" s="100"/>
      <c r="BQ249" s="100"/>
      <c r="BR249" s="102"/>
      <c r="BS249" s="6"/>
      <c r="BT249" s="6"/>
      <c r="BU249" s="6"/>
      <c r="BV249" s="6"/>
    </row>
    <row r="250" spans="1:74" s="101" customFormat="1" x14ac:dyDescent="0.25">
      <c r="A250" s="98"/>
      <c r="B250" s="115"/>
      <c r="C250" s="116"/>
      <c r="D250" s="2"/>
      <c r="E250" s="127"/>
      <c r="F250" s="99"/>
      <c r="G250" s="87"/>
      <c r="H250" s="29"/>
      <c r="I250" s="98"/>
      <c r="J250" s="117"/>
      <c r="K250" s="117"/>
      <c r="L250" s="6"/>
      <c r="M250" s="7"/>
      <c r="N250" s="7"/>
      <c r="O250" s="7"/>
      <c r="P250" s="102"/>
      <c r="Q250" s="6"/>
      <c r="R250" s="102"/>
      <c r="S250" s="6"/>
      <c r="T250" s="102"/>
      <c r="U250" s="6"/>
      <c r="V250" s="102"/>
      <c r="W250" s="6"/>
      <c r="X250" s="6"/>
      <c r="Y250" s="6"/>
      <c r="Z250" s="6"/>
      <c r="AA250" s="6"/>
      <c r="AB250" s="6"/>
      <c r="AC250" s="102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102"/>
      <c r="AU250" s="6"/>
      <c r="AV250" s="6"/>
      <c r="AW250" s="102"/>
      <c r="AX250" s="99"/>
      <c r="AY250" s="7"/>
      <c r="AZ250" s="99"/>
      <c r="BA250" s="102"/>
      <c r="BB250" s="102"/>
      <c r="BC250" s="102"/>
      <c r="BD250" s="6"/>
      <c r="BE250" s="6"/>
      <c r="BF250" s="6"/>
      <c r="BG250" s="6"/>
      <c r="BH250" s="6"/>
      <c r="BI250" s="102"/>
      <c r="BJ250" s="6"/>
      <c r="BK250" s="6"/>
      <c r="BL250" s="6"/>
      <c r="BM250" s="102"/>
      <c r="BN250" s="99"/>
      <c r="BO250" s="100"/>
      <c r="BP250" s="100"/>
      <c r="BQ250" s="100"/>
      <c r="BR250" s="102"/>
      <c r="BS250" s="6"/>
      <c r="BT250" s="6"/>
      <c r="BU250" s="6"/>
      <c r="BV250" s="6"/>
    </row>
    <row r="251" spans="1:74" s="101" customFormat="1" x14ac:dyDescent="0.25">
      <c r="A251" s="98"/>
      <c r="B251" s="115"/>
      <c r="C251" s="116"/>
      <c r="D251" s="2"/>
      <c r="E251" s="127"/>
      <c r="F251" s="99"/>
      <c r="G251" s="87"/>
      <c r="H251" s="29"/>
      <c r="I251" s="98"/>
      <c r="J251" s="117"/>
      <c r="K251" s="117"/>
      <c r="L251" s="6"/>
      <c r="M251" s="7"/>
      <c r="N251" s="7"/>
      <c r="O251" s="7"/>
      <c r="P251" s="102"/>
      <c r="Q251" s="6"/>
      <c r="R251" s="102"/>
      <c r="S251" s="6"/>
      <c r="T251" s="102"/>
      <c r="U251" s="6"/>
      <c r="V251" s="102"/>
      <c r="W251" s="6"/>
      <c r="X251" s="6"/>
      <c r="Y251" s="6"/>
      <c r="Z251" s="6"/>
      <c r="AA251" s="6"/>
      <c r="AB251" s="6"/>
      <c r="AC251" s="102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102"/>
      <c r="AU251" s="6"/>
      <c r="AV251" s="6"/>
      <c r="AW251" s="102"/>
      <c r="AX251" s="99"/>
      <c r="AY251" s="7"/>
      <c r="AZ251" s="99"/>
      <c r="BA251" s="102"/>
      <c r="BB251" s="102"/>
      <c r="BC251" s="102"/>
      <c r="BD251" s="6"/>
      <c r="BE251" s="6"/>
      <c r="BF251" s="6"/>
      <c r="BG251" s="6"/>
      <c r="BH251" s="6"/>
      <c r="BI251" s="102"/>
      <c r="BJ251" s="6"/>
      <c r="BK251" s="6"/>
      <c r="BL251" s="6"/>
      <c r="BM251" s="102"/>
      <c r="BN251" s="99"/>
      <c r="BO251" s="100"/>
      <c r="BP251" s="100"/>
      <c r="BQ251" s="100"/>
      <c r="BR251" s="102"/>
      <c r="BS251" s="6"/>
      <c r="BT251" s="6"/>
      <c r="BU251" s="6"/>
      <c r="BV251" s="6"/>
    </row>
    <row r="252" spans="1:74" s="101" customFormat="1" x14ac:dyDescent="0.25">
      <c r="A252" s="98"/>
      <c r="B252" s="115"/>
      <c r="C252" s="116"/>
      <c r="D252" s="2"/>
      <c r="E252" s="127"/>
      <c r="F252" s="99"/>
      <c r="G252" s="87"/>
      <c r="H252" s="29"/>
      <c r="I252" s="98"/>
      <c r="J252" s="117"/>
      <c r="K252" s="117"/>
      <c r="L252" s="6"/>
      <c r="M252" s="7"/>
      <c r="N252" s="7"/>
      <c r="O252" s="7"/>
      <c r="P252" s="102"/>
      <c r="Q252" s="6"/>
      <c r="R252" s="102"/>
      <c r="S252" s="6"/>
      <c r="T252" s="102"/>
      <c r="U252" s="6"/>
      <c r="V252" s="102"/>
      <c r="W252" s="6"/>
      <c r="X252" s="6"/>
      <c r="Y252" s="6"/>
      <c r="Z252" s="6"/>
      <c r="AA252" s="6"/>
      <c r="AB252" s="6"/>
      <c r="AC252" s="102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102"/>
      <c r="AU252" s="6"/>
      <c r="AV252" s="6"/>
      <c r="AW252" s="102"/>
      <c r="AX252" s="99"/>
      <c r="AY252" s="7"/>
      <c r="AZ252" s="99"/>
      <c r="BA252" s="102"/>
      <c r="BB252" s="102"/>
      <c r="BC252" s="102"/>
      <c r="BD252" s="6"/>
      <c r="BE252" s="6"/>
      <c r="BF252" s="6"/>
      <c r="BG252" s="6"/>
      <c r="BH252" s="6"/>
      <c r="BI252" s="102"/>
      <c r="BJ252" s="6"/>
      <c r="BK252" s="6"/>
      <c r="BL252" s="6"/>
      <c r="BM252" s="102"/>
      <c r="BN252" s="99"/>
      <c r="BO252" s="100"/>
      <c r="BP252" s="100"/>
      <c r="BQ252" s="100"/>
      <c r="BR252" s="102"/>
      <c r="BS252" s="6"/>
      <c r="BT252" s="6"/>
      <c r="BU252" s="6"/>
      <c r="BV252" s="6"/>
    </row>
    <row r="253" spans="1:74" s="101" customFormat="1" x14ac:dyDescent="0.25">
      <c r="A253" s="98"/>
      <c r="B253" s="115"/>
      <c r="C253" s="116"/>
      <c r="D253" s="2"/>
      <c r="E253" s="127"/>
      <c r="F253" s="99"/>
      <c r="G253" s="87"/>
      <c r="H253" s="29"/>
      <c r="I253" s="98"/>
      <c r="J253" s="117"/>
      <c r="K253" s="117"/>
      <c r="L253" s="6"/>
      <c r="M253" s="7"/>
      <c r="N253" s="7"/>
      <c r="O253" s="7"/>
      <c r="P253" s="102"/>
      <c r="Q253" s="6"/>
      <c r="R253" s="102"/>
      <c r="S253" s="6"/>
      <c r="T253" s="102"/>
      <c r="U253" s="6"/>
      <c r="V253" s="102"/>
      <c r="W253" s="6"/>
      <c r="X253" s="6"/>
      <c r="Y253" s="6"/>
      <c r="Z253" s="6"/>
      <c r="AA253" s="6"/>
      <c r="AB253" s="6"/>
      <c r="AC253" s="102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102"/>
      <c r="AU253" s="6"/>
      <c r="AV253" s="6"/>
      <c r="AW253" s="102"/>
      <c r="AX253" s="99"/>
      <c r="AY253" s="7"/>
      <c r="AZ253" s="99"/>
      <c r="BA253" s="102"/>
      <c r="BB253" s="102"/>
      <c r="BC253" s="102"/>
      <c r="BD253" s="6"/>
      <c r="BE253" s="6"/>
      <c r="BF253" s="6"/>
      <c r="BG253" s="6"/>
      <c r="BH253" s="6"/>
      <c r="BI253" s="102"/>
      <c r="BJ253" s="6"/>
      <c r="BK253" s="6"/>
      <c r="BL253" s="6"/>
      <c r="BM253" s="102"/>
      <c r="BN253" s="99"/>
      <c r="BO253" s="100"/>
      <c r="BP253" s="100"/>
      <c r="BQ253" s="100"/>
      <c r="BR253" s="102"/>
      <c r="BS253" s="6"/>
      <c r="BT253" s="6"/>
      <c r="BU253" s="6"/>
      <c r="BV253" s="6"/>
    </row>
    <row r="254" spans="1:74" s="101" customFormat="1" x14ac:dyDescent="0.25">
      <c r="A254" s="98"/>
      <c r="B254" s="115"/>
      <c r="C254" s="116"/>
      <c r="D254" s="2"/>
      <c r="E254" s="127"/>
      <c r="F254" s="99"/>
      <c r="G254" s="87"/>
      <c r="H254" s="29"/>
      <c r="I254" s="98"/>
      <c r="J254" s="117"/>
      <c r="K254" s="117"/>
      <c r="L254" s="6"/>
      <c r="M254" s="7"/>
      <c r="N254" s="7"/>
      <c r="O254" s="7"/>
      <c r="P254" s="102"/>
      <c r="Q254" s="6"/>
      <c r="R254" s="102"/>
      <c r="S254" s="6"/>
      <c r="T254" s="102"/>
      <c r="U254" s="6"/>
      <c r="V254" s="102"/>
      <c r="W254" s="6"/>
      <c r="X254" s="6"/>
      <c r="Y254" s="6"/>
      <c r="Z254" s="6"/>
      <c r="AA254" s="6"/>
      <c r="AB254" s="6"/>
      <c r="AC254" s="102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102"/>
      <c r="AU254" s="6"/>
      <c r="AV254" s="6"/>
      <c r="AW254" s="102"/>
      <c r="AX254" s="99"/>
      <c r="AY254" s="7"/>
      <c r="AZ254" s="99"/>
      <c r="BA254" s="102"/>
      <c r="BB254" s="102"/>
      <c r="BC254" s="102"/>
      <c r="BD254" s="6"/>
      <c r="BE254" s="6"/>
      <c r="BF254" s="6"/>
      <c r="BG254" s="6"/>
      <c r="BH254" s="6"/>
      <c r="BI254" s="102"/>
      <c r="BJ254" s="6"/>
      <c r="BK254" s="6"/>
      <c r="BL254" s="6"/>
      <c r="BM254" s="102"/>
      <c r="BN254" s="99"/>
      <c r="BO254" s="100"/>
      <c r="BP254" s="100"/>
      <c r="BQ254" s="100"/>
      <c r="BR254" s="102"/>
      <c r="BS254" s="6"/>
      <c r="BT254" s="6"/>
      <c r="BU254" s="6"/>
      <c r="BV254" s="6"/>
    </row>
    <row r="255" spans="1:74" s="101" customFormat="1" x14ac:dyDescent="0.25">
      <c r="A255" s="98"/>
      <c r="B255" s="115"/>
      <c r="C255" s="116"/>
      <c r="D255" s="2"/>
      <c r="E255" s="127"/>
      <c r="F255" s="99"/>
      <c r="G255" s="87"/>
      <c r="H255" s="29"/>
      <c r="I255" s="98"/>
      <c r="J255" s="117"/>
      <c r="K255" s="117"/>
      <c r="L255" s="6"/>
      <c r="M255" s="7"/>
      <c r="N255" s="7"/>
      <c r="O255" s="7"/>
      <c r="P255" s="102"/>
      <c r="Q255" s="6"/>
      <c r="R255" s="102"/>
      <c r="S255" s="6"/>
      <c r="T255" s="102"/>
      <c r="U255" s="6"/>
      <c r="V255" s="102"/>
      <c r="W255" s="6"/>
      <c r="X255" s="6"/>
      <c r="Y255" s="6"/>
      <c r="Z255" s="6"/>
      <c r="AA255" s="6"/>
      <c r="AB255" s="6"/>
      <c r="AC255" s="102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102"/>
      <c r="AU255" s="6"/>
      <c r="AV255" s="6"/>
      <c r="AW255" s="102"/>
      <c r="AX255" s="99"/>
      <c r="AY255" s="7"/>
      <c r="AZ255" s="99"/>
      <c r="BA255" s="102"/>
      <c r="BB255" s="102"/>
      <c r="BC255" s="102"/>
      <c r="BD255" s="6"/>
      <c r="BE255" s="6"/>
      <c r="BF255" s="6"/>
      <c r="BG255" s="6"/>
      <c r="BH255" s="6"/>
      <c r="BI255" s="102"/>
      <c r="BJ255" s="6"/>
      <c r="BK255" s="6"/>
      <c r="BL255" s="6"/>
      <c r="BM255" s="102"/>
      <c r="BN255" s="99"/>
      <c r="BO255" s="100"/>
      <c r="BP255" s="100"/>
      <c r="BQ255" s="100"/>
      <c r="BR255" s="102"/>
      <c r="BS255" s="6"/>
      <c r="BT255" s="6"/>
      <c r="BU255" s="6"/>
      <c r="BV255" s="6"/>
    </row>
    <row r="256" spans="1:74" s="101" customFormat="1" x14ac:dyDescent="0.25">
      <c r="A256" s="98"/>
      <c r="B256" s="115"/>
      <c r="C256" s="116"/>
      <c r="D256" s="2"/>
      <c r="E256" s="127"/>
      <c r="F256" s="99"/>
      <c r="G256" s="87"/>
      <c r="H256" s="29"/>
      <c r="I256" s="98"/>
      <c r="J256" s="117"/>
      <c r="K256" s="117"/>
      <c r="L256" s="6"/>
      <c r="M256" s="7"/>
      <c r="N256" s="7"/>
      <c r="O256" s="7"/>
      <c r="P256" s="102"/>
      <c r="Q256" s="6"/>
      <c r="R256" s="102"/>
      <c r="S256" s="6"/>
      <c r="T256" s="102"/>
      <c r="U256" s="6"/>
      <c r="V256" s="102"/>
      <c r="W256" s="6"/>
      <c r="X256" s="6"/>
      <c r="Y256" s="6"/>
      <c r="Z256" s="6"/>
      <c r="AA256" s="6"/>
      <c r="AB256" s="6"/>
      <c r="AC256" s="102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102"/>
      <c r="AU256" s="6"/>
      <c r="AV256" s="6"/>
      <c r="AW256" s="102"/>
      <c r="AX256" s="99"/>
      <c r="AY256" s="7"/>
      <c r="AZ256" s="99"/>
      <c r="BA256" s="102"/>
      <c r="BB256" s="102"/>
      <c r="BC256" s="102"/>
      <c r="BD256" s="6"/>
      <c r="BE256" s="6"/>
      <c r="BF256" s="6"/>
      <c r="BG256" s="6"/>
      <c r="BH256" s="6"/>
      <c r="BI256" s="102"/>
      <c r="BJ256" s="6"/>
      <c r="BK256" s="6"/>
      <c r="BL256" s="6"/>
      <c r="BM256" s="102"/>
      <c r="BN256" s="99"/>
      <c r="BO256" s="100"/>
      <c r="BP256" s="100"/>
      <c r="BQ256" s="100"/>
      <c r="BR256" s="102"/>
      <c r="BS256" s="6"/>
      <c r="BT256" s="6"/>
      <c r="BU256" s="6"/>
      <c r="BV256" s="6"/>
    </row>
    <row r="257" spans="1:74" s="101" customFormat="1" x14ac:dyDescent="0.25">
      <c r="A257" s="98"/>
      <c r="B257" s="115"/>
      <c r="C257" s="116"/>
      <c r="D257" s="2"/>
      <c r="E257" s="127"/>
      <c r="F257" s="99"/>
      <c r="G257" s="87"/>
      <c r="H257" s="29"/>
      <c r="I257" s="98"/>
      <c r="J257" s="117"/>
      <c r="K257" s="117"/>
      <c r="L257" s="6"/>
      <c r="M257" s="7"/>
      <c r="N257" s="7"/>
      <c r="O257" s="7"/>
      <c r="P257" s="102"/>
      <c r="Q257" s="6"/>
      <c r="R257" s="102"/>
      <c r="S257" s="6"/>
      <c r="T257" s="102"/>
      <c r="U257" s="6"/>
      <c r="V257" s="102"/>
      <c r="W257" s="6"/>
      <c r="X257" s="6"/>
      <c r="Y257" s="6"/>
      <c r="Z257" s="6"/>
      <c r="AA257" s="6"/>
      <c r="AB257" s="6"/>
      <c r="AC257" s="102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102"/>
      <c r="AU257" s="6"/>
      <c r="AV257" s="6"/>
      <c r="AW257" s="102"/>
      <c r="AX257" s="99"/>
      <c r="AY257" s="7"/>
      <c r="AZ257" s="99"/>
      <c r="BA257" s="102"/>
      <c r="BB257" s="102"/>
      <c r="BC257" s="102"/>
      <c r="BD257" s="6"/>
      <c r="BE257" s="6"/>
      <c r="BF257" s="6"/>
      <c r="BG257" s="6"/>
      <c r="BH257" s="6"/>
      <c r="BI257" s="102"/>
      <c r="BJ257" s="6"/>
      <c r="BK257" s="6"/>
      <c r="BL257" s="6"/>
      <c r="BM257" s="102"/>
      <c r="BN257" s="99"/>
      <c r="BO257" s="100"/>
      <c r="BP257" s="100"/>
      <c r="BQ257" s="100"/>
      <c r="BR257" s="102"/>
      <c r="BS257" s="6"/>
      <c r="BT257" s="6"/>
      <c r="BU257" s="6"/>
      <c r="BV257" s="6"/>
    </row>
    <row r="258" spans="1:74" s="101" customFormat="1" x14ac:dyDescent="0.25">
      <c r="A258" s="98"/>
      <c r="B258" s="115"/>
      <c r="C258" s="116"/>
      <c r="D258" s="2"/>
      <c r="E258" s="127"/>
      <c r="F258" s="99"/>
      <c r="G258" s="87"/>
      <c r="H258" s="29"/>
      <c r="I258" s="98"/>
      <c r="J258" s="117"/>
      <c r="K258" s="117"/>
      <c r="L258" s="6"/>
      <c r="M258" s="7"/>
      <c r="N258" s="7"/>
      <c r="O258" s="7"/>
      <c r="P258" s="102"/>
      <c r="Q258" s="6"/>
      <c r="R258" s="102"/>
      <c r="S258" s="6"/>
      <c r="T258" s="102"/>
      <c r="U258" s="6"/>
      <c r="V258" s="102"/>
      <c r="W258" s="6"/>
      <c r="X258" s="6"/>
      <c r="Y258" s="6"/>
      <c r="Z258" s="6"/>
      <c r="AA258" s="6"/>
      <c r="AB258" s="6"/>
      <c r="AC258" s="102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102"/>
      <c r="AU258" s="6"/>
      <c r="AV258" s="6"/>
      <c r="AW258" s="102"/>
      <c r="AX258" s="99"/>
      <c r="AY258" s="7"/>
      <c r="AZ258" s="99"/>
      <c r="BA258" s="102"/>
      <c r="BB258" s="102"/>
      <c r="BC258" s="102"/>
      <c r="BD258" s="6"/>
      <c r="BE258" s="6"/>
      <c r="BF258" s="6"/>
      <c r="BG258" s="6"/>
      <c r="BH258" s="6"/>
      <c r="BI258" s="102"/>
      <c r="BJ258" s="6"/>
      <c r="BK258" s="6"/>
      <c r="BL258" s="6"/>
      <c r="BM258" s="102"/>
      <c r="BN258" s="99"/>
      <c r="BO258" s="100"/>
      <c r="BP258" s="100"/>
      <c r="BQ258" s="100"/>
      <c r="BR258" s="102"/>
      <c r="BS258" s="6"/>
      <c r="BT258" s="6"/>
      <c r="BU258" s="6"/>
      <c r="BV258" s="6"/>
    </row>
    <row r="259" spans="1:74" s="101" customFormat="1" x14ac:dyDescent="0.25">
      <c r="A259" s="98"/>
      <c r="B259" s="115"/>
      <c r="C259" s="116"/>
      <c r="D259" s="2"/>
      <c r="E259" s="127"/>
      <c r="F259" s="99"/>
      <c r="G259" s="87"/>
      <c r="H259" s="29"/>
      <c r="I259" s="98"/>
      <c r="J259" s="117"/>
      <c r="K259" s="117"/>
      <c r="L259" s="6"/>
      <c r="M259" s="7"/>
      <c r="N259" s="7"/>
      <c r="O259" s="7"/>
      <c r="P259" s="102"/>
      <c r="Q259" s="6"/>
      <c r="R259" s="102"/>
      <c r="S259" s="6"/>
      <c r="T259" s="102"/>
      <c r="U259" s="6"/>
      <c r="V259" s="102"/>
      <c r="W259" s="6"/>
      <c r="X259" s="6"/>
      <c r="Y259" s="6"/>
      <c r="Z259" s="6"/>
      <c r="AA259" s="6"/>
      <c r="AB259" s="6"/>
      <c r="AC259" s="102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102"/>
      <c r="AU259" s="6"/>
      <c r="AV259" s="6"/>
      <c r="AW259" s="102"/>
      <c r="AX259" s="99"/>
      <c r="AY259" s="7"/>
      <c r="AZ259" s="99"/>
      <c r="BA259" s="102"/>
      <c r="BB259" s="102"/>
      <c r="BC259" s="102"/>
      <c r="BD259" s="6"/>
      <c r="BE259" s="6"/>
      <c r="BF259" s="6"/>
      <c r="BG259" s="6"/>
      <c r="BH259" s="6"/>
      <c r="BI259" s="102"/>
      <c r="BJ259" s="6"/>
      <c r="BK259" s="6"/>
      <c r="BL259" s="6"/>
      <c r="BM259" s="102"/>
      <c r="BN259" s="99"/>
      <c r="BO259" s="100"/>
      <c r="BP259" s="100"/>
      <c r="BQ259" s="100"/>
      <c r="BR259" s="102"/>
      <c r="BS259" s="6"/>
      <c r="BT259" s="6"/>
      <c r="BU259" s="6"/>
      <c r="BV259" s="6"/>
    </row>
    <row r="260" spans="1:74" s="101" customFormat="1" x14ac:dyDescent="0.25">
      <c r="A260" s="98"/>
      <c r="B260" s="115"/>
      <c r="C260" s="116"/>
      <c r="D260" s="2"/>
      <c r="E260" s="127"/>
      <c r="F260" s="99"/>
      <c r="G260" s="87"/>
      <c r="H260" s="29"/>
      <c r="I260" s="98"/>
      <c r="J260" s="117"/>
      <c r="K260" s="117"/>
      <c r="L260" s="6"/>
      <c r="M260" s="7"/>
      <c r="N260" s="7"/>
      <c r="O260" s="7"/>
      <c r="P260" s="102"/>
      <c r="Q260" s="6"/>
      <c r="R260" s="102"/>
      <c r="S260" s="6"/>
      <c r="T260" s="102"/>
      <c r="U260" s="6"/>
      <c r="V260" s="102"/>
      <c r="W260" s="6"/>
      <c r="X260" s="6"/>
      <c r="Y260" s="6"/>
      <c r="Z260" s="6"/>
      <c r="AA260" s="6"/>
      <c r="AB260" s="6"/>
      <c r="AC260" s="102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102"/>
      <c r="AU260" s="6"/>
      <c r="AV260" s="6"/>
      <c r="AW260" s="102"/>
      <c r="AX260" s="99"/>
      <c r="AY260" s="7"/>
      <c r="AZ260" s="99"/>
      <c r="BA260" s="102"/>
      <c r="BB260" s="102"/>
      <c r="BC260" s="102"/>
      <c r="BD260" s="6"/>
      <c r="BE260" s="6"/>
      <c r="BF260" s="6"/>
      <c r="BG260" s="6"/>
      <c r="BH260" s="6"/>
      <c r="BI260" s="102"/>
      <c r="BJ260" s="6"/>
      <c r="BK260" s="6"/>
      <c r="BL260" s="6"/>
      <c r="BM260" s="102"/>
      <c r="BN260" s="99"/>
      <c r="BO260" s="100"/>
      <c r="BP260" s="100"/>
      <c r="BQ260" s="100"/>
      <c r="BR260" s="102"/>
      <c r="BS260" s="6"/>
      <c r="BT260" s="6"/>
      <c r="BU260" s="6"/>
      <c r="BV260" s="6"/>
    </row>
    <row r="261" spans="1:74" s="101" customFormat="1" x14ac:dyDescent="0.25">
      <c r="A261" s="98"/>
      <c r="B261" s="115"/>
      <c r="C261" s="116"/>
      <c r="D261" s="2"/>
      <c r="E261" s="127"/>
      <c r="F261" s="99"/>
      <c r="G261" s="87"/>
      <c r="H261" s="29"/>
      <c r="I261" s="98"/>
      <c r="J261" s="117"/>
      <c r="K261" s="117"/>
      <c r="L261" s="6"/>
      <c r="M261" s="7"/>
      <c r="N261" s="7"/>
      <c r="O261" s="7"/>
      <c r="P261" s="102"/>
      <c r="Q261" s="6"/>
      <c r="R261" s="102"/>
      <c r="S261" s="6"/>
      <c r="T261" s="102"/>
      <c r="U261" s="6"/>
      <c r="V261" s="102"/>
      <c r="W261" s="6"/>
      <c r="X261" s="6"/>
      <c r="Y261" s="6"/>
      <c r="Z261" s="6"/>
      <c r="AA261" s="6"/>
      <c r="AB261" s="6"/>
      <c r="AC261" s="102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102"/>
      <c r="AU261" s="6"/>
      <c r="AV261" s="6"/>
      <c r="AW261" s="102"/>
      <c r="AX261" s="99"/>
      <c r="AY261" s="7"/>
      <c r="AZ261" s="99"/>
      <c r="BA261" s="102"/>
      <c r="BB261" s="102"/>
      <c r="BC261" s="102"/>
      <c r="BD261" s="6"/>
      <c r="BE261" s="6"/>
      <c r="BF261" s="6"/>
      <c r="BG261" s="6"/>
      <c r="BH261" s="6"/>
      <c r="BI261" s="102"/>
      <c r="BJ261" s="6"/>
      <c r="BK261" s="6"/>
      <c r="BL261" s="6"/>
      <c r="BM261" s="102"/>
      <c r="BN261" s="99"/>
      <c r="BO261" s="100"/>
      <c r="BP261" s="100"/>
      <c r="BQ261" s="100"/>
      <c r="BR261" s="102"/>
      <c r="BS261" s="6"/>
      <c r="BT261" s="6"/>
      <c r="BU261" s="6"/>
      <c r="BV261" s="6"/>
    </row>
    <row r="262" spans="1:74" s="101" customFormat="1" x14ac:dyDescent="0.25">
      <c r="A262" s="98"/>
      <c r="B262" s="115"/>
      <c r="C262" s="116"/>
      <c r="D262" s="2"/>
      <c r="E262" s="127"/>
      <c r="F262" s="99"/>
      <c r="G262" s="87"/>
      <c r="H262" s="29"/>
      <c r="I262" s="98"/>
      <c r="J262" s="117"/>
      <c r="K262" s="117"/>
      <c r="L262" s="6"/>
      <c r="M262" s="7"/>
      <c r="N262" s="7"/>
      <c r="O262" s="7"/>
      <c r="P262" s="102"/>
      <c r="Q262" s="6"/>
      <c r="R262" s="102"/>
      <c r="S262" s="6"/>
      <c r="T262" s="102"/>
      <c r="U262" s="6"/>
      <c r="V262" s="102"/>
      <c r="W262" s="6"/>
      <c r="X262" s="6"/>
      <c r="Y262" s="6"/>
      <c r="Z262" s="6"/>
      <c r="AA262" s="6"/>
      <c r="AB262" s="6"/>
      <c r="AC262" s="102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102"/>
      <c r="AU262" s="6"/>
      <c r="AV262" s="6"/>
      <c r="AW262" s="102"/>
      <c r="AX262" s="99"/>
      <c r="AY262" s="7"/>
      <c r="AZ262" s="99"/>
      <c r="BA262" s="102"/>
      <c r="BB262" s="102"/>
      <c r="BC262" s="102"/>
      <c r="BD262" s="6"/>
      <c r="BE262" s="6"/>
      <c r="BF262" s="6"/>
      <c r="BG262" s="6"/>
      <c r="BH262" s="6"/>
      <c r="BI262" s="102"/>
      <c r="BJ262" s="6"/>
      <c r="BK262" s="6"/>
      <c r="BL262" s="6"/>
      <c r="BM262" s="102"/>
      <c r="BN262" s="99"/>
      <c r="BO262" s="100"/>
      <c r="BP262" s="100"/>
      <c r="BQ262" s="100"/>
      <c r="BR262" s="102"/>
      <c r="BS262" s="6"/>
      <c r="BT262" s="6"/>
      <c r="BU262" s="6"/>
      <c r="BV262" s="6"/>
    </row>
    <row r="263" spans="1:74" s="101" customFormat="1" x14ac:dyDescent="0.25">
      <c r="A263" s="98"/>
      <c r="B263" s="115"/>
      <c r="C263" s="116"/>
      <c r="D263" s="2"/>
      <c r="E263" s="127"/>
      <c r="F263" s="99"/>
      <c r="G263" s="87"/>
      <c r="H263" s="29"/>
      <c r="I263" s="98"/>
      <c r="J263" s="117"/>
      <c r="K263" s="117"/>
      <c r="L263" s="6"/>
      <c r="M263" s="7"/>
      <c r="N263" s="7"/>
      <c r="O263" s="7"/>
      <c r="P263" s="102"/>
      <c r="Q263" s="6"/>
      <c r="R263" s="102"/>
      <c r="S263" s="6"/>
      <c r="T263" s="102"/>
      <c r="U263" s="6"/>
      <c r="V263" s="102"/>
      <c r="W263" s="6"/>
      <c r="X263" s="6"/>
      <c r="Y263" s="6"/>
      <c r="Z263" s="6"/>
      <c r="AA263" s="6"/>
      <c r="AB263" s="6"/>
      <c r="AC263" s="102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102"/>
      <c r="AU263" s="6"/>
      <c r="AV263" s="6"/>
      <c r="AW263" s="102"/>
      <c r="AX263" s="99"/>
      <c r="AY263" s="7"/>
      <c r="AZ263" s="99"/>
      <c r="BA263" s="102"/>
      <c r="BB263" s="102"/>
      <c r="BC263" s="102"/>
      <c r="BD263" s="6"/>
      <c r="BE263" s="6"/>
      <c r="BF263" s="6"/>
      <c r="BG263" s="6"/>
      <c r="BH263" s="6"/>
      <c r="BI263" s="102"/>
      <c r="BJ263" s="6"/>
      <c r="BK263" s="6"/>
      <c r="BL263" s="6"/>
      <c r="BM263" s="102"/>
      <c r="BN263" s="99"/>
      <c r="BO263" s="100"/>
      <c r="BP263" s="100"/>
      <c r="BQ263" s="100"/>
      <c r="BR263" s="102"/>
      <c r="BS263" s="6"/>
      <c r="BT263" s="6"/>
      <c r="BU263" s="6"/>
      <c r="BV263" s="6"/>
    </row>
    <row r="264" spans="1:74" s="101" customFormat="1" x14ac:dyDescent="0.25">
      <c r="A264" s="98"/>
      <c r="B264" s="115"/>
      <c r="C264" s="116"/>
      <c r="D264" s="2"/>
      <c r="E264" s="127"/>
      <c r="F264" s="99"/>
      <c r="G264" s="87"/>
      <c r="H264" s="29"/>
      <c r="I264" s="98"/>
      <c r="J264" s="117"/>
      <c r="K264" s="117"/>
      <c r="L264" s="6"/>
      <c r="M264" s="7"/>
      <c r="N264" s="7"/>
      <c r="O264" s="7"/>
      <c r="P264" s="102"/>
      <c r="Q264" s="6"/>
      <c r="R264" s="102"/>
      <c r="S264" s="6"/>
      <c r="T264" s="102"/>
      <c r="U264" s="6"/>
      <c r="V264" s="102"/>
      <c r="W264" s="6"/>
      <c r="X264" s="6"/>
      <c r="Y264" s="6"/>
      <c r="Z264" s="6"/>
      <c r="AA264" s="6"/>
      <c r="AB264" s="6"/>
      <c r="AC264" s="102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102"/>
      <c r="AU264" s="6"/>
      <c r="AV264" s="6"/>
      <c r="AW264" s="102"/>
      <c r="AX264" s="99"/>
      <c r="AY264" s="7"/>
      <c r="AZ264" s="99"/>
      <c r="BA264" s="102"/>
      <c r="BB264" s="102"/>
      <c r="BC264" s="102"/>
      <c r="BD264" s="6"/>
      <c r="BE264" s="6"/>
      <c r="BF264" s="6"/>
      <c r="BG264" s="6"/>
      <c r="BH264" s="6"/>
      <c r="BI264" s="102"/>
      <c r="BJ264" s="6"/>
      <c r="BK264" s="6"/>
      <c r="BL264" s="6"/>
      <c r="BM264" s="102"/>
      <c r="BN264" s="99"/>
      <c r="BO264" s="100"/>
      <c r="BP264" s="100"/>
      <c r="BQ264" s="100"/>
      <c r="BR264" s="102"/>
      <c r="BS264" s="6"/>
      <c r="BT264" s="6"/>
      <c r="BU264" s="6"/>
      <c r="BV264" s="6"/>
    </row>
    <row r="265" spans="1:74" s="101" customFormat="1" x14ac:dyDescent="0.25">
      <c r="A265" s="98"/>
      <c r="B265" s="115"/>
      <c r="C265" s="116"/>
      <c r="D265" s="2"/>
      <c r="E265" s="127"/>
      <c r="F265" s="99"/>
      <c r="G265" s="87"/>
      <c r="H265" s="29"/>
      <c r="I265" s="98"/>
      <c r="J265" s="117"/>
      <c r="K265" s="117"/>
      <c r="L265" s="6"/>
      <c r="M265" s="7"/>
      <c r="N265" s="7"/>
      <c r="O265" s="7"/>
      <c r="P265" s="102"/>
      <c r="Q265" s="6"/>
      <c r="R265" s="102"/>
      <c r="S265" s="6"/>
      <c r="T265" s="102"/>
      <c r="U265" s="6"/>
      <c r="V265" s="102"/>
      <c r="W265" s="6"/>
      <c r="X265" s="6"/>
      <c r="Y265" s="6"/>
      <c r="Z265" s="6"/>
      <c r="AA265" s="6"/>
      <c r="AB265" s="6"/>
      <c r="AC265" s="102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102"/>
      <c r="AU265" s="6"/>
      <c r="AV265" s="6"/>
      <c r="AW265" s="102"/>
      <c r="AX265" s="99"/>
      <c r="AY265" s="7"/>
      <c r="AZ265" s="99"/>
      <c r="BA265" s="102"/>
      <c r="BB265" s="102"/>
      <c r="BC265" s="102"/>
      <c r="BD265" s="6"/>
      <c r="BE265" s="6"/>
      <c r="BF265" s="6"/>
      <c r="BG265" s="6"/>
      <c r="BH265" s="6"/>
      <c r="BI265" s="102"/>
      <c r="BJ265" s="6"/>
      <c r="BK265" s="6"/>
      <c r="BL265" s="6"/>
      <c r="BM265" s="102"/>
      <c r="BN265" s="99"/>
      <c r="BO265" s="100"/>
      <c r="BP265" s="100"/>
      <c r="BQ265" s="100"/>
      <c r="BR265" s="102"/>
      <c r="BS265" s="6"/>
      <c r="BT265" s="6"/>
      <c r="BU265" s="6"/>
      <c r="BV265" s="6"/>
    </row>
    <row r="266" spans="1:74" s="101" customFormat="1" x14ac:dyDescent="0.25">
      <c r="A266" s="98"/>
      <c r="B266" s="115"/>
      <c r="C266" s="116"/>
      <c r="D266" s="2"/>
      <c r="E266" s="127"/>
      <c r="F266" s="99"/>
      <c r="G266" s="87"/>
      <c r="H266" s="29"/>
      <c r="I266" s="98"/>
      <c r="J266" s="117"/>
      <c r="K266" s="117"/>
      <c r="L266" s="6"/>
      <c r="M266" s="7"/>
      <c r="N266" s="7"/>
      <c r="O266" s="7"/>
      <c r="P266" s="102"/>
      <c r="Q266" s="6"/>
      <c r="R266" s="102"/>
      <c r="S266" s="6"/>
      <c r="T266" s="102"/>
      <c r="U266" s="6"/>
      <c r="V266" s="102"/>
      <c r="W266" s="6"/>
      <c r="X266" s="6"/>
      <c r="Y266" s="6"/>
      <c r="Z266" s="6"/>
      <c r="AA266" s="6"/>
      <c r="AB266" s="6"/>
      <c r="AC266" s="102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102"/>
      <c r="AU266" s="6"/>
      <c r="AV266" s="6"/>
      <c r="AW266" s="102"/>
      <c r="AX266" s="99"/>
      <c r="AY266" s="7"/>
      <c r="AZ266" s="99"/>
      <c r="BA266" s="102"/>
      <c r="BB266" s="102"/>
      <c r="BC266" s="102"/>
      <c r="BD266" s="6"/>
      <c r="BE266" s="6"/>
      <c r="BF266" s="6"/>
      <c r="BG266" s="6"/>
      <c r="BH266" s="6"/>
      <c r="BI266" s="102"/>
      <c r="BJ266" s="6"/>
      <c r="BK266" s="6"/>
      <c r="BL266" s="6"/>
      <c r="BM266" s="102"/>
      <c r="BN266" s="99"/>
      <c r="BO266" s="100"/>
      <c r="BP266" s="100"/>
      <c r="BQ266" s="100"/>
      <c r="BR266" s="102"/>
      <c r="BS266" s="6"/>
      <c r="BT266" s="6"/>
      <c r="BU266" s="6"/>
      <c r="BV266" s="6"/>
    </row>
    <row r="267" spans="1:74" s="101" customFormat="1" x14ac:dyDescent="0.25">
      <c r="A267" s="98"/>
      <c r="B267" s="115"/>
      <c r="C267" s="116"/>
      <c r="D267" s="2"/>
      <c r="E267" s="127"/>
      <c r="F267" s="99"/>
      <c r="G267" s="87"/>
      <c r="H267" s="29"/>
      <c r="I267" s="98"/>
      <c r="J267" s="117"/>
      <c r="K267" s="117"/>
      <c r="L267" s="6"/>
      <c r="M267" s="7"/>
      <c r="N267" s="7"/>
      <c r="O267" s="7"/>
      <c r="P267" s="102"/>
      <c r="Q267" s="6"/>
      <c r="R267" s="102"/>
      <c r="S267" s="6"/>
      <c r="T267" s="102"/>
      <c r="U267" s="6"/>
      <c r="V267" s="102"/>
      <c r="W267" s="6"/>
      <c r="X267" s="6"/>
      <c r="Y267" s="6"/>
      <c r="Z267" s="6"/>
      <c r="AA267" s="6"/>
      <c r="AB267" s="6"/>
      <c r="AC267" s="102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102"/>
      <c r="AU267" s="6"/>
      <c r="AV267" s="6"/>
      <c r="AW267" s="102"/>
      <c r="AX267" s="99"/>
      <c r="AY267" s="7"/>
      <c r="AZ267" s="99"/>
      <c r="BA267" s="102"/>
      <c r="BB267" s="102"/>
      <c r="BC267" s="102"/>
      <c r="BD267" s="6"/>
      <c r="BE267" s="6"/>
      <c r="BF267" s="6"/>
      <c r="BG267" s="6"/>
      <c r="BH267" s="6"/>
      <c r="BI267" s="102"/>
      <c r="BJ267" s="6"/>
      <c r="BK267" s="6"/>
      <c r="BL267" s="6"/>
      <c r="BM267" s="102"/>
      <c r="BN267" s="99"/>
      <c r="BO267" s="100"/>
      <c r="BP267" s="100"/>
      <c r="BQ267" s="100"/>
      <c r="BR267" s="102"/>
      <c r="BS267" s="6"/>
      <c r="BT267" s="6"/>
      <c r="BU267" s="6"/>
      <c r="BV267" s="6"/>
    </row>
    <row r="268" spans="1:74" s="101" customFormat="1" x14ac:dyDescent="0.25">
      <c r="A268" s="98"/>
      <c r="B268" s="115"/>
      <c r="C268" s="116"/>
      <c r="D268" s="2"/>
      <c r="E268" s="127"/>
      <c r="F268" s="99"/>
      <c r="G268" s="87"/>
      <c r="H268" s="29"/>
      <c r="I268" s="98"/>
      <c r="J268" s="117"/>
      <c r="K268" s="117"/>
      <c r="L268" s="6"/>
      <c r="M268" s="7"/>
      <c r="N268" s="7"/>
      <c r="O268" s="7"/>
      <c r="P268" s="102"/>
      <c r="Q268" s="6"/>
      <c r="R268" s="102"/>
      <c r="S268" s="6"/>
      <c r="T268" s="102"/>
      <c r="U268" s="6"/>
      <c r="V268" s="102"/>
      <c r="W268" s="6"/>
      <c r="X268" s="6"/>
      <c r="Y268" s="6"/>
      <c r="Z268" s="6"/>
      <c r="AA268" s="6"/>
      <c r="AB268" s="6"/>
      <c r="AC268" s="102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102"/>
      <c r="AU268" s="6"/>
      <c r="AV268" s="6"/>
      <c r="AW268" s="102"/>
      <c r="AX268" s="99"/>
      <c r="AY268" s="7"/>
      <c r="AZ268" s="99"/>
      <c r="BA268" s="102"/>
      <c r="BB268" s="102"/>
      <c r="BC268" s="102"/>
      <c r="BD268" s="6"/>
      <c r="BE268" s="6"/>
      <c r="BF268" s="6"/>
      <c r="BG268" s="6"/>
      <c r="BH268" s="6"/>
      <c r="BI268" s="102"/>
      <c r="BJ268" s="6"/>
      <c r="BK268" s="6"/>
      <c r="BL268" s="6"/>
      <c r="BM268" s="102"/>
      <c r="BN268" s="99"/>
      <c r="BO268" s="100"/>
      <c r="BP268" s="100"/>
      <c r="BQ268" s="100"/>
      <c r="BR268" s="102"/>
      <c r="BS268" s="6"/>
      <c r="BT268" s="6"/>
      <c r="BU268" s="6"/>
      <c r="BV268" s="6"/>
    </row>
    <row r="269" spans="1:74" s="101" customFormat="1" x14ac:dyDescent="0.25">
      <c r="A269" s="98"/>
      <c r="B269" s="115"/>
      <c r="C269" s="116"/>
      <c r="D269" s="4"/>
      <c r="E269" s="127"/>
      <c r="F269" s="99"/>
      <c r="G269" s="87"/>
      <c r="H269" s="29"/>
      <c r="I269" s="98"/>
      <c r="J269" s="117"/>
      <c r="K269" s="117"/>
      <c r="L269" s="6"/>
      <c r="M269" s="6"/>
      <c r="N269" s="6"/>
      <c r="O269" s="6"/>
      <c r="P269" s="99"/>
      <c r="Q269" s="6"/>
      <c r="R269" s="99"/>
      <c r="S269" s="6"/>
      <c r="T269" s="6"/>
      <c r="U269" s="6"/>
      <c r="V269" s="99"/>
      <c r="W269" s="6"/>
      <c r="X269" s="6"/>
      <c r="Y269" s="6"/>
      <c r="Z269" s="6"/>
      <c r="AA269" s="6"/>
      <c r="AB269" s="6"/>
      <c r="AC269" s="99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99"/>
      <c r="AU269" s="6"/>
      <c r="AV269" s="6"/>
      <c r="AW269" s="99"/>
      <c r="AX269" s="99"/>
      <c r="AY269" s="6"/>
      <c r="AZ269" s="99"/>
      <c r="BA269" s="99"/>
      <c r="BB269" s="99"/>
      <c r="BC269" s="99"/>
      <c r="BD269" s="6"/>
      <c r="BE269" s="6"/>
      <c r="BF269" s="6"/>
      <c r="BG269" s="6"/>
      <c r="BH269" s="6"/>
      <c r="BI269" s="99"/>
      <c r="BJ269" s="6"/>
      <c r="BK269" s="6"/>
      <c r="BL269" s="6"/>
      <c r="BM269" s="99"/>
      <c r="BN269" s="99"/>
      <c r="BO269" s="100"/>
      <c r="BP269" s="100"/>
      <c r="BQ269" s="100"/>
      <c r="BR269" s="99"/>
      <c r="BS269" s="6"/>
      <c r="BT269" s="6"/>
      <c r="BU269" s="6"/>
      <c r="BV269" s="6"/>
    </row>
    <row r="270" spans="1:74" s="101" customFormat="1" x14ac:dyDescent="0.25">
      <c r="A270" s="98"/>
      <c r="B270" s="115"/>
      <c r="C270" s="116"/>
      <c r="D270" s="2"/>
      <c r="E270" s="127"/>
      <c r="F270" s="99"/>
      <c r="G270" s="87"/>
      <c r="H270" s="29"/>
      <c r="I270" s="98"/>
      <c r="J270" s="117"/>
      <c r="K270" s="117"/>
      <c r="L270" s="6"/>
      <c r="M270" s="7"/>
      <c r="N270" s="7"/>
      <c r="O270" s="7"/>
      <c r="P270" s="102"/>
      <c r="Q270" s="6"/>
      <c r="R270" s="102"/>
      <c r="S270" s="6"/>
      <c r="T270" s="102"/>
      <c r="U270" s="6"/>
      <c r="V270" s="102"/>
      <c r="W270" s="6"/>
      <c r="X270" s="6"/>
      <c r="Y270" s="6"/>
      <c r="Z270" s="6"/>
      <c r="AA270" s="6"/>
      <c r="AB270" s="6"/>
      <c r="AC270" s="102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102"/>
      <c r="AU270" s="6"/>
      <c r="AV270" s="6"/>
      <c r="AW270" s="102"/>
      <c r="AX270" s="99"/>
      <c r="AY270" s="6"/>
      <c r="AZ270" s="99"/>
      <c r="BA270" s="102"/>
      <c r="BB270" s="102"/>
      <c r="BC270" s="102"/>
      <c r="BD270" s="6"/>
      <c r="BE270" s="6"/>
      <c r="BF270" s="6"/>
      <c r="BG270" s="6"/>
      <c r="BH270" s="6"/>
      <c r="BI270" s="102"/>
      <c r="BJ270" s="6"/>
      <c r="BK270" s="6"/>
      <c r="BL270" s="6"/>
      <c r="BM270" s="102"/>
      <c r="BN270" s="99"/>
      <c r="BO270" s="100"/>
      <c r="BP270" s="100"/>
      <c r="BQ270" s="100"/>
      <c r="BR270" s="102"/>
      <c r="BS270" s="6"/>
      <c r="BT270" s="6"/>
      <c r="BU270" s="6"/>
      <c r="BV270" s="6"/>
    </row>
    <row r="271" spans="1:74" s="101" customFormat="1" x14ac:dyDescent="0.25">
      <c r="A271" s="98"/>
      <c r="B271" s="115"/>
      <c r="C271" s="116"/>
      <c r="D271" s="2"/>
      <c r="E271" s="127"/>
      <c r="F271" s="99"/>
      <c r="G271" s="87"/>
      <c r="H271" s="29"/>
      <c r="I271" s="98"/>
      <c r="J271" s="117"/>
      <c r="K271" s="117"/>
      <c r="L271" s="6"/>
      <c r="M271" s="7"/>
      <c r="N271" s="7"/>
      <c r="O271" s="7"/>
      <c r="P271" s="102"/>
      <c r="Q271" s="6"/>
      <c r="R271" s="102"/>
      <c r="S271" s="6"/>
      <c r="T271" s="102"/>
      <c r="U271" s="6"/>
      <c r="V271" s="102"/>
      <c r="W271" s="6"/>
      <c r="X271" s="6"/>
      <c r="Y271" s="6"/>
      <c r="Z271" s="6"/>
      <c r="AA271" s="6"/>
      <c r="AB271" s="6"/>
      <c r="AC271" s="102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102"/>
      <c r="AU271" s="6"/>
      <c r="AV271" s="6"/>
      <c r="AW271" s="102"/>
      <c r="AX271" s="99"/>
      <c r="AY271" s="7"/>
      <c r="AZ271" s="99"/>
      <c r="BA271" s="102"/>
      <c r="BB271" s="102"/>
      <c r="BC271" s="102"/>
      <c r="BD271" s="6"/>
      <c r="BE271" s="6"/>
      <c r="BF271" s="6"/>
      <c r="BG271" s="6"/>
      <c r="BH271" s="6"/>
      <c r="BI271" s="102"/>
      <c r="BJ271" s="6"/>
      <c r="BK271" s="6"/>
      <c r="BL271" s="6"/>
      <c r="BM271" s="102"/>
      <c r="BN271" s="99"/>
      <c r="BO271" s="100"/>
      <c r="BP271" s="100"/>
      <c r="BQ271" s="100"/>
      <c r="BR271" s="102"/>
      <c r="BS271" s="6"/>
      <c r="BT271" s="6"/>
      <c r="BU271" s="6"/>
      <c r="BV271" s="6"/>
    </row>
    <row r="272" spans="1:74" s="101" customFormat="1" x14ac:dyDescent="0.25">
      <c r="A272" s="98"/>
      <c r="B272" s="115"/>
      <c r="C272" s="116"/>
      <c r="D272" s="2"/>
      <c r="E272" s="127"/>
      <c r="F272" s="99"/>
      <c r="G272" s="87"/>
      <c r="H272" s="29"/>
      <c r="I272" s="98"/>
      <c r="J272" s="117"/>
      <c r="K272" s="117"/>
      <c r="L272" s="6"/>
      <c r="M272" s="7"/>
      <c r="N272" s="7"/>
      <c r="O272" s="7"/>
      <c r="P272" s="102"/>
      <c r="Q272" s="6"/>
      <c r="R272" s="102"/>
      <c r="S272" s="6"/>
      <c r="T272" s="102"/>
      <c r="U272" s="6"/>
      <c r="V272" s="102"/>
      <c r="W272" s="6"/>
      <c r="X272" s="6"/>
      <c r="Y272" s="6"/>
      <c r="Z272" s="6"/>
      <c r="AA272" s="6"/>
      <c r="AB272" s="6"/>
      <c r="AC272" s="102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102"/>
      <c r="AU272" s="6"/>
      <c r="AV272" s="6"/>
      <c r="AW272" s="102"/>
      <c r="AX272" s="99"/>
      <c r="AY272" s="7"/>
      <c r="AZ272" s="99"/>
      <c r="BA272" s="102"/>
      <c r="BB272" s="102"/>
      <c r="BC272" s="102"/>
      <c r="BD272" s="6"/>
      <c r="BE272" s="6"/>
      <c r="BF272" s="6"/>
      <c r="BG272" s="6"/>
      <c r="BH272" s="6"/>
      <c r="BI272" s="102"/>
      <c r="BJ272" s="6"/>
      <c r="BK272" s="6"/>
      <c r="BL272" s="6"/>
      <c r="BM272" s="102"/>
      <c r="BN272" s="99"/>
      <c r="BO272" s="100"/>
      <c r="BP272" s="100"/>
      <c r="BQ272" s="100"/>
      <c r="BR272" s="102"/>
      <c r="BS272" s="6"/>
      <c r="BT272" s="6"/>
      <c r="BU272" s="6"/>
      <c r="BV272" s="6"/>
    </row>
    <row r="273" spans="1:74" s="101" customFormat="1" x14ac:dyDescent="0.25">
      <c r="A273" s="98"/>
      <c r="B273" s="115"/>
      <c r="C273" s="116"/>
      <c r="D273" s="2"/>
      <c r="E273" s="127"/>
      <c r="F273" s="99"/>
      <c r="G273" s="87"/>
      <c r="H273" s="29"/>
      <c r="I273" s="98"/>
      <c r="J273" s="117"/>
      <c r="K273" s="117"/>
      <c r="L273" s="6"/>
      <c r="M273" s="7"/>
      <c r="N273" s="7"/>
      <c r="O273" s="7"/>
      <c r="P273" s="102"/>
      <c r="Q273" s="6"/>
      <c r="R273" s="102"/>
      <c r="S273" s="6"/>
      <c r="T273" s="102"/>
      <c r="U273" s="6"/>
      <c r="V273" s="102"/>
      <c r="W273" s="6"/>
      <c r="X273" s="6"/>
      <c r="Y273" s="6"/>
      <c r="Z273" s="6"/>
      <c r="AA273" s="6"/>
      <c r="AB273" s="6"/>
      <c r="AC273" s="102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102"/>
      <c r="AU273" s="6"/>
      <c r="AV273" s="6"/>
      <c r="AW273" s="102"/>
      <c r="AX273" s="99"/>
      <c r="AY273" s="7"/>
      <c r="AZ273" s="99"/>
      <c r="BA273" s="102"/>
      <c r="BB273" s="102"/>
      <c r="BC273" s="102"/>
      <c r="BD273" s="6"/>
      <c r="BE273" s="6"/>
      <c r="BF273" s="6"/>
      <c r="BG273" s="6"/>
      <c r="BH273" s="6"/>
      <c r="BI273" s="102"/>
      <c r="BJ273" s="6"/>
      <c r="BK273" s="6"/>
      <c r="BL273" s="6"/>
      <c r="BM273" s="102"/>
      <c r="BN273" s="99"/>
      <c r="BO273" s="100"/>
      <c r="BP273" s="100"/>
      <c r="BQ273" s="100"/>
      <c r="BR273" s="102"/>
      <c r="BS273" s="6"/>
      <c r="BT273" s="6"/>
      <c r="BU273" s="6"/>
      <c r="BV273" s="6"/>
    </row>
    <row r="274" spans="1:74" s="101" customFormat="1" x14ac:dyDescent="0.25">
      <c r="A274" s="98"/>
      <c r="B274" s="115"/>
      <c r="C274" s="116"/>
      <c r="D274" s="2"/>
      <c r="E274" s="127"/>
      <c r="F274" s="99"/>
      <c r="G274" s="87"/>
      <c r="H274" s="29"/>
      <c r="I274" s="98"/>
      <c r="J274" s="117"/>
      <c r="K274" s="117"/>
      <c r="L274" s="6"/>
      <c r="M274" s="7"/>
      <c r="N274" s="7"/>
      <c r="O274" s="7"/>
      <c r="P274" s="102"/>
      <c r="Q274" s="6"/>
      <c r="R274" s="102"/>
      <c r="S274" s="6"/>
      <c r="T274" s="102"/>
      <c r="U274" s="6"/>
      <c r="V274" s="102"/>
      <c r="W274" s="6"/>
      <c r="X274" s="6"/>
      <c r="Y274" s="6"/>
      <c r="Z274" s="6"/>
      <c r="AA274" s="6"/>
      <c r="AB274" s="6"/>
      <c r="AC274" s="102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102"/>
      <c r="AU274" s="6"/>
      <c r="AV274" s="6"/>
      <c r="AW274" s="102"/>
      <c r="AX274" s="99"/>
      <c r="AY274" s="7"/>
      <c r="AZ274" s="99"/>
      <c r="BA274" s="102"/>
      <c r="BB274" s="102"/>
      <c r="BC274" s="102"/>
      <c r="BD274" s="6"/>
      <c r="BE274" s="6"/>
      <c r="BF274" s="6"/>
      <c r="BG274" s="6"/>
      <c r="BH274" s="6"/>
      <c r="BI274" s="102"/>
      <c r="BJ274" s="6"/>
      <c r="BK274" s="6"/>
      <c r="BL274" s="6"/>
      <c r="BM274" s="102"/>
      <c r="BN274" s="99"/>
      <c r="BO274" s="100"/>
      <c r="BP274" s="100"/>
      <c r="BQ274" s="100"/>
      <c r="BR274" s="102"/>
      <c r="BS274" s="6"/>
      <c r="BT274" s="6"/>
      <c r="BU274" s="6"/>
      <c r="BV274" s="6"/>
    </row>
    <row r="275" spans="1:74" s="101" customFormat="1" x14ac:dyDescent="0.25">
      <c r="A275" s="98"/>
      <c r="B275" s="115"/>
      <c r="C275" s="116"/>
      <c r="D275" s="2"/>
      <c r="E275" s="127"/>
      <c r="F275" s="99"/>
      <c r="G275" s="87"/>
      <c r="H275" s="29"/>
      <c r="I275" s="98"/>
      <c r="J275" s="117"/>
      <c r="K275" s="117"/>
      <c r="L275" s="6"/>
      <c r="M275" s="7"/>
      <c r="N275" s="7"/>
      <c r="O275" s="7"/>
      <c r="P275" s="102"/>
      <c r="Q275" s="6"/>
      <c r="R275" s="102"/>
      <c r="S275" s="6"/>
      <c r="T275" s="102"/>
      <c r="U275" s="6"/>
      <c r="V275" s="102"/>
      <c r="W275" s="6"/>
      <c r="X275" s="6"/>
      <c r="Y275" s="6"/>
      <c r="Z275" s="6"/>
      <c r="AA275" s="6"/>
      <c r="AB275" s="6"/>
      <c r="AC275" s="102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102"/>
      <c r="AU275" s="6"/>
      <c r="AV275" s="6"/>
      <c r="AW275" s="102"/>
      <c r="AX275" s="99"/>
      <c r="AY275" s="7"/>
      <c r="AZ275" s="99"/>
      <c r="BA275" s="102"/>
      <c r="BB275" s="102"/>
      <c r="BC275" s="102"/>
      <c r="BD275" s="6"/>
      <c r="BE275" s="6"/>
      <c r="BF275" s="6"/>
      <c r="BG275" s="6"/>
      <c r="BH275" s="6"/>
      <c r="BI275" s="102"/>
      <c r="BJ275" s="6"/>
      <c r="BK275" s="6"/>
      <c r="BL275" s="6"/>
      <c r="BM275" s="102"/>
      <c r="BN275" s="99"/>
      <c r="BO275" s="100"/>
      <c r="BP275" s="100"/>
      <c r="BQ275" s="100"/>
      <c r="BR275" s="102"/>
      <c r="BS275" s="6"/>
      <c r="BT275" s="6"/>
      <c r="BU275" s="6"/>
      <c r="BV275" s="6"/>
    </row>
    <row r="276" spans="1:74" s="101" customFormat="1" x14ac:dyDescent="0.25">
      <c r="A276" s="98"/>
      <c r="B276" s="115"/>
      <c r="C276" s="116"/>
      <c r="D276" s="2"/>
      <c r="E276" s="127"/>
      <c r="F276" s="99"/>
      <c r="G276" s="87"/>
      <c r="H276" s="29"/>
      <c r="I276" s="98"/>
      <c r="J276" s="117"/>
      <c r="K276" s="117"/>
      <c r="L276" s="6"/>
      <c r="M276" s="7"/>
      <c r="N276" s="7"/>
      <c r="O276" s="7"/>
      <c r="P276" s="102"/>
      <c r="Q276" s="6"/>
      <c r="R276" s="102"/>
      <c r="S276" s="6"/>
      <c r="T276" s="102"/>
      <c r="U276" s="6"/>
      <c r="V276" s="102"/>
      <c r="W276" s="6"/>
      <c r="X276" s="6"/>
      <c r="Y276" s="6"/>
      <c r="Z276" s="6"/>
      <c r="AA276" s="6"/>
      <c r="AB276" s="6"/>
      <c r="AC276" s="102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102"/>
      <c r="AU276" s="6"/>
      <c r="AV276" s="6"/>
      <c r="AW276" s="102"/>
      <c r="AX276" s="99"/>
      <c r="AY276" s="7"/>
      <c r="AZ276" s="99"/>
      <c r="BA276" s="102"/>
      <c r="BB276" s="102"/>
      <c r="BC276" s="102"/>
      <c r="BD276" s="6"/>
      <c r="BE276" s="6"/>
      <c r="BF276" s="6"/>
      <c r="BG276" s="6"/>
      <c r="BH276" s="6"/>
      <c r="BI276" s="102"/>
      <c r="BJ276" s="6"/>
      <c r="BK276" s="6"/>
      <c r="BL276" s="6"/>
      <c r="BM276" s="102"/>
      <c r="BN276" s="99"/>
      <c r="BO276" s="100"/>
      <c r="BP276" s="100"/>
      <c r="BQ276" s="100"/>
      <c r="BR276" s="102"/>
      <c r="BS276" s="6"/>
      <c r="BT276" s="6"/>
      <c r="BU276" s="6"/>
      <c r="BV276" s="6"/>
    </row>
    <row r="277" spans="1:74" s="101" customFormat="1" x14ac:dyDescent="0.25">
      <c r="A277" s="98"/>
      <c r="B277" s="115"/>
      <c r="C277" s="116"/>
      <c r="D277" s="2"/>
      <c r="E277" s="127"/>
      <c r="F277" s="99"/>
      <c r="G277" s="87"/>
      <c r="H277" s="29"/>
      <c r="I277" s="98"/>
      <c r="J277" s="117"/>
      <c r="K277" s="117"/>
      <c r="L277" s="6"/>
      <c r="M277" s="7"/>
      <c r="N277" s="7"/>
      <c r="O277" s="7"/>
      <c r="P277" s="102"/>
      <c r="Q277" s="6"/>
      <c r="R277" s="102"/>
      <c r="S277" s="6"/>
      <c r="T277" s="102"/>
      <c r="U277" s="6"/>
      <c r="V277" s="102"/>
      <c r="W277" s="6"/>
      <c r="X277" s="6"/>
      <c r="Y277" s="6"/>
      <c r="Z277" s="6"/>
      <c r="AA277" s="6"/>
      <c r="AB277" s="6"/>
      <c r="AC277" s="102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102"/>
      <c r="AU277" s="6"/>
      <c r="AV277" s="6"/>
      <c r="AW277" s="102"/>
      <c r="AX277" s="99"/>
      <c r="AY277" s="7"/>
      <c r="AZ277" s="99"/>
      <c r="BA277" s="102"/>
      <c r="BB277" s="102"/>
      <c r="BC277" s="102"/>
      <c r="BD277" s="6"/>
      <c r="BE277" s="6"/>
      <c r="BF277" s="6"/>
      <c r="BG277" s="6"/>
      <c r="BH277" s="6"/>
      <c r="BI277" s="102"/>
      <c r="BJ277" s="6"/>
      <c r="BK277" s="6"/>
      <c r="BL277" s="6"/>
      <c r="BM277" s="102"/>
      <c r="BN277" s="99"/>
      <c r="BO277" s="100"/>
      <c r="BP277" s="100"/>
      <c r="BQ277" s="100"/>
      <c r="BR277" s="102"/>
      <c r="BS277" s="6"/>
      <c r="BT277" s="6"/>
      <c r="BU277" s="6"/>
      <c r="BV277" s="6"/>
    </row>
    <row r="278" spans="1:74" s="101" customFormat="1" x14ac:dyDescent="0.25">
      <c r="A278" s="98"/>
      <c r="B278" s="115"/>
      <c r="C278" s="116"/>
      <c r="D278" s="2"/>
      <c r="E278" s="127"/>
      <c r="F278" s="99"/>
      <c r="G278" s="87"/>
      <c r="H278" s="29"/>
      <c r="I278" s="98"/>
      <c r="J278" s="117"/>
      <c r="K278" s="117"/>
      <c r="L278" s="6"/>
      <c r="M278" s="7"/>
      <c r="N278" s="7"/>
      <c r="O278" s="7"/>
      <c r="P278" s="102"/>
      <c r="Q278" s="6"/>
      <c r="R278" s="102"/>
      <c r="S278" s="6"/>
      <c r="T278" s="102"/>
      <c r="U278" s="6"/>
      <c r="V278" s="102"/>
      <c r="W278" s="6"/>
      <c r="X278" s="6"/>
      <c r="Y278" s="6"/>
      <c r="Z278" s="6"/>
      <c r="AA278" s="6"/>
      <c r="AB278" s="6"/>
      <c r="AC278" s="102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102"/>
      <c r="AU278" s="6"/>
      <c r="AV278" s="6"/>
      <c r="AW278" s="102"/>
      <c r="AX278" s="99"/>
      <c r="AY278" s="7"/>
      <c r="AZ278" s="99"/>
      <c r="BA278" s="102"/>
      <c r="BB278" s="102"/>
      <c r="BC278" s="102"/>
      <c r="BD278" s="6"/>
      <c r="BE278" s="6"/>
      <c r="BF278" s="6"/>
      <c r="BG278" s="6"/>
      <c r="BH278" s="6"/>
      <c r="BI278" s="102"/>
      <c r="BJ278" s="6"/>
      <c r="BK278" s="6"/>
      <c r="BL278" s="6"/>
      <c r="BM278" s="102"/>
      <c r="BN278" s="99"/>
      <c r="BO278" s="100"/>
      <c r="BP278" s="100"/>
      <c r="BQ278" s="100"/>
      <c r="BR278" s="102"/>
      <c r="BS278" s="6"/>
      <c r="BT278" s="6"/>
      <c r="BU278" s="6"/>
      <c r="BV278" s="6"/>
    </row>
    <row r="279" spans="1:74" s="101" customFormat="1" x14ac:dyDescent="0.25">
      <c r="A279" s="98"/>
      <c r="B279" s="115"/>
      <c r="C279" s="116"/>
      <c r="D279" s="2"/>
      <c r="E279" s="127"/>
      <c r="F279" s="99"/>
      <c r="G279" s="87"/>
      <c r="H279" s="29"/>
      <c r="I279" s="98"/>
      <c r="J279" s="117"/>
      <c r="K279" s="117"/>
      <c r="L279" s="6"/>
      <c r="M279" s="7"/>
      <c r="N279" s="7"/>
      <c r="O279" s="7"/>
      <c r="P279" s="102"/>
      <c r="Q279" s="6"/>
      <c r="R279" s="102"/>
      <c r="S279" s="6"/>
      <c r="T279" s="102"/>
      <c r="U279" s="6"/>
      <c r="V279" s="102"/>
      <c r="W279" s="6"/>
      <c r="X279" s="6"/>
      <c r="Y279" s="6"/>
      <c r="Z279" s="6"/>
      <c r="AA279" s="6"/>
      <c r="AB279" s="6"/>
      <c r="AC279" s="102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102"/>
      <c r="AU279" s="6"/>
      <c r="AV279" s="6"/>
      <c r="AW279" s="102"/>
      <c r="AX279" s="99"/>
      <c r="AY279" s="7"/>
      <c r="AZ279" s="99"/>
      <c r="BA279" s="102"/>
      <c r="BB279" s="102"/>
      <c r="BC279" s="102"/>
      <c r="BD279" s="6"/>
      <c r="BE279" s="6"/>
      <c r="BF279" s="6"/>
      <c r="BG279" s="6"/>
      <c r="BH279" s="6"/>
      <c r="BI279" s="102"/>
      <c r="BJ279" s="6"/>
      <c r="BK279" s="6"/>
      <c r="BL279" s="6"/>
      <c r="BM279" s="102"/>
      <c r="BN279" s="99"/>
      <c r="BO279" s="100"/>
      <c r="BP279" s="100"/>
      <c r="BQ279" s="100"/>
      <c r="BR279" s="102"/>
      <c r="BS279" s="6"/>
      <c r="BT279" s="6"/>
      <c r="BU279" s="6"/>
      <c r="BV279" s="6"/>
    </row>
    <row r="280" spans="1:74" s="101" customFormat="1" x14ac:dyDescent="0.25">
      <c r="A280" s="98"/>
      <c r="B280" s="115"/>
      <c r="C280" s="116"/>
      <c r="D280" s="2"/>
      <c r="E280" s="127"/>
      <c r="F280" s="99"/>
      <c r="G280" s="87"/>
      <c r="H280" s="29"/>
      <c r="I280" s="98"/>
      <c r="J280" s="117"/>
      <c r="K280" s="117"/>
      <c r="L280" s="6"/>
      <c r="M280" s="7"/>
      <c r="N280" s="7"/>
      <c r="O280" s="7"/>
      <c r="P280" s="102"/>
      <c r="Q280" s="6"/>
      <c r="R280" s="102"/>
      <c r="S280" s="6"/>
      <c r="T280" s="102"/>
      <c r="U280" s="6"/>
      <c r="V280" s="102"/>
      <c r="W280" s="6"/>
      <c r="X280" s="6"/>
      <c r="Y280" s="6"/>
      <c r="Z280" s="6"/>
      <c r="AA280" s="6"/>
      <c r="AB280" s="6"/>
      <c r="AC280" s="102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102"/>
      <c r="AU280" s="6"/>
      <c r="AV280" s="6"/>
      <c r="AW280" s="102"/>
      <c r="AX280" s="99"/>
      <c r="AY280" s="7"/>
      <c r="AZ280" s="99"/>
      <c r="BA280" s="102"/>
      <c r="BB280" s="102"/>
      <c r="BC280" s="102"/>
      <c r="BD280" s="6"/>
      <c r="BE280" s="6"/>
      <c r="BF280" s="6"/>
      <c r="BG280" s="6"/>
      <c r="BH280" s="6"/>
      <c r="BI280" s="102"/>
      <c r="BJ280" s="6"/>
      <c r="BK280" s="6"/>
      <c r="BL280" s="6"/>
      <c r="BM280" s="102"/>
      <c r="BN280" s="99"/>
      <c r="BO280" s="100"/>
      <c r="BP280" s="100"/>
      <c r="BQ280" s="100"/>
      <c r="BR280" s="102"/>
      <c r="BS280" s="6"/>
      <c r="BT280" s="6"/>
      <c r="BU280" s="6"/>
      <c r="BV280" s="6"/>
    </row>
    <row r="281" spans="1:74" s="101" customFormat="1" x14ac:dyDescent="0.25">
      <c r="A281" s="98"/>
      <c r="B281" s="115"/>
      <c r="C281" s="116"/>
      <c r="D281" s="2"/>
      <c r="E281" s="127"/>
      <c r="F281" s="99"/>
      <c r="G281" s="87"/>
      <c r="H281" s="29"/>
      <c r="I281" s="98"/>
      <c r="J281" s="117"/>
      <c r="K281" s="117"/>
      <c r="L281" s="6"/>
      <c r="M281" s="7"/>
      <c r="N281" s="7"/>
      <c r="O281" s="7"/>
      <c r="P281" s="102"/>
      <c r="Q281" s="6"/>
      <c r="R281" s="102"/>
      <c r="S281" s="6"/>
      <c r="T281" s="102"/>
      <c r="U281" s="6"/>
      <c r="V281" s="102"/>
      <c r="W281" s="6"/>
      <c r="X281" s="6"/>
      <c r="Y281" s="6"/>
      <c r="Z281" s="6"/>
      <c r="AA281" s="6"/>
      <c r="AB281" s="6"/>
      <c r="AC281" s="102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102"/>
      <c r="AU281" s="6"/>
      <c r="AV281" s="6"/>
      <c r="AW281" s="102"/>
      <c r="AX281" s="99"/>
      <c r="AY281" s="7"/>
      <c r="AZ281" s="99"/>
      <c r="BA281" s="102"/>
      <c r="BB281" s="102"/>
      <c r="BC281" s="102"/>
      <c r="BD281" s="6"/>
      <c r="BE281" s="6"/>
      <c r="BF281" s="6"/>
      <c r="BG281" s="6"/>
      <c r="BH281" s="6"/>
      <c r="BI281" s="102"/>
      <c r="BJ281" s="6"/>
      <c r="BK281" s="6"/>
      <c r="BL281" s="6"/>
      <c r="BM281" s="102"/>
      <c r="BN281" s="99"/>
      <c r="BO281" s="100"/>
      <c r="BP281" s="100"/>
      <c r="BQ281" s="100"/>
      <c r="BR281" s="102"/>
      <c r="BS281" s="6"/>
      <c r="BT281" s="6"/>
      <c r="BU281" s="6"/>
      <c r="BV281" s="6"/>
    </row>
    <row r="282" spans="1:74" s="101" customFormat="1" x14ac:dyDescent="0.25">
      <c r="A282" s="98"/>
      <c r="B282" s="115"/>
      <c r="C282" s="116"/>
      <c r="D282" s="2"/>
      <c r="E282" s="127"/>
      <c r="F282" s="99"/>
      <c r="G282" s="87"/>
      <c r="H282" s="29"/>
      <c r="I282" s="98"/>
      <c r="J282" s="117"/>
      <c r="K282" s="117"/>
      <c r="L282" s="6"/>
      <c r="M282" s="7"/>
      <c r="N282" s="7"/>
      <c r="O282" s="7"/>
      <c r="P282" s="102"/>
      <c r="Q282" s="6"/>
      <c r="R282" s="102"/>
      <c r="S282" s="6"/>
      <c r="T282" s="102"/>
      <c r="U282" s="6"/>
      <c r="V282" s="102"/>
      <c r="W282" s="6"/>
      <c r="X282" s="6"/>
      <c r="Y282" s="6"/>
      <c r="Z282" s="6"/>
      <c r="AA282" s="6"/>
      <c r="AB282" s="6"/>
      <c r="AC282" s="102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102"/>
      <c r="AU282" s="6"/>
      <c r="AV282" s="6"/>
      <c r="AW282" s="102"/>
      <c r="AX282" s="99"/>
      <c r="AY282" s="7"/>
      <c r="AZ282" s="99"/>
      <c r="BA282" s="102"/>
      <c r="BB282" s="102"/>
      <c r="BC282" s="102"/>
      <c r="BD282" s="6"/>
      <c r="BE282" s="6"/>
      <c r="BF282" s="6"/>
      <c r="BG282" s="6"/>
      <c r="BH282" s="6"/>
      <c r="BI282" s="102"/>
      <c r="BJ282" s="6"/>
      <c r="BK282" s="6"/>
      <c r="BL282" s="6"/>
      <c r="BM282" s="102"/>
      <c r="BN282" s="99"/>
      <c r="BO282" s="100"/>
      <c r="BP282" s="100"/>
      <c r="BQ282" s="100"/>
      <c r="BR282" s="102"/>
      <c r="BS282" s="6"/>
      <c r="BT282" s="6"/>
      <c r="BU282" s="6"/>
      <c r="BV282" s="6"/>
    </row>
    <row r="283" spans="1:74" s="101" customFormat="1" x14ac:dyDescent="0.25">
      <c r="A283" s="98"/>
      <c r="B283" s="115"/>
      <c r="C283" s="116"/>
      <c r="D283" s="2"/>
      <c r="E283" s="127"/>
      <c r="F283" s="99"/>
      <c r="G283" s="87"/>
      <c r="H283" s="29"/>
      <c r="I283" s="98"/>
      <c r="J283" s="117"/>
      <c r="K283" s="117"/>
      <c r="L283" s="6"/>
      <c r="M283" s="7"/>
      <c r="N283" s="7"/>
      <c r="O283" s="7"/>
      <c r="P283" s="102"/>
      <c r="Q283" s="6"/>
      <c r="R283" s="102"/>
      <c r="S283" s="6"/>
      <c r="T283" s="102"/>
      <c r="U283" s="6"/>
      <c r="V283" s="102"/>
      <c r="W283" s="6"/>
      <c r="X283" s="6"/>
      <c r="Y283" s="6"/>
      <c r="Z283" s="6"/>
      <c r="AA283" s="6"/>
      <c r="AB283" s="6"/>
      <c r="AC283" s="102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102"/>
      <c r="AU283" s="6"/>
      <c r="AV283" s="6"/>
      <c r="AW283" s="102"/>
      <c r="AX283" s="99"/>
      <c r="AY283" s="7"/>
      <c r="AZ283" s="99"/>
      <c r="BA283" s="102"/>
      <c r="BB283" s="102"/>
      <c r="BC283" s="102"/>
      <c r="BD283" s="6"/>
      <c r="BE283" s="6"/>
      <c r="BF283" s="6"/>
      <c r="BG283" s="6"/>
      <c r="BH283" s="6"/>
      <c r="BI283" s="102"/>
      <c r="BJ283" s="6"/>
      <c r="BK283" s="6"/>
      <c r="BL283" s="6"/>
      <c r="BM283" s="102"/>
      <c r="BN283" s="99"/>
      <c r="BO283" s="100"/>
      <c r="BP283" s="100"/>
      <c r="BQ283" s="100"/>
      <c r="BR283" s="102"/>
      <c r="BS283" s="6"/>
      <c r="BT283" s="6"/>
      <c r="BU283" s="6"/>
      <c r="BV283" s="6"/>
    </row>
    <row r="284" spans="1:74" s="101" customFormat="1" x14ac:dyDescent="0.25">
      <c r="A284" s="98"/>
      <c r="B284" s="115"/>
      <c r="C284" s="116"/>
      <c r="D284" s="2"/>
      <c r="E284" s="127"/>
      <c r="F284" s="99"/>
      <c r="G284" s="87"/>
      <c r="H284" s="29"/>
      <c r="I284" s="98"/>
      <c r="J284" s="117"/>
      <c r="K284" s="117"/>
      <c r="L284" s="6"/>
      <c r="M284" s="7"/>
      <c r="N284" s="7"/>
      <c r="O284" s="7"/>
      <c r="P284" s="102"/>
      <c r="Q284" s="6"/>
      <c r="R284" s="102"/>
      <c r="S284" s="6"/>
      <c r="T284" s="102"/>
      <c r="U284" s="6"/>
      <c r="V284" s="102"/>
      <c r="W284" s="6"/>
      <c r="X284" s="6"/>
      <c r="Y284" s="6"/>
      <c r="Z284" s="6"/>
      <c r="AA284" s="6"/>
      <c r="AB284" s="6"/>
      <c r="AC284" s="102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102"/>
      <c r="AU284" s="6"/>
      <c r="AV284" s="6"/>
      <c r="AW284" s="102"/>
      <c r="AX284" s="99"/>
      <c r="AY284" s="7"/>
      <c r="AZ284" s="99"/>
      <c r="BA284" s="102"/>
      <c r="BB284" s="102"/>
      <c r="BC284" s="102"/>
      <c r="BD284" s="6"/>
      <c r="BE284" s="6"/>
      <c r="BF284" s="6"/>
      <c r="BG284" s="6"/>
      <c r="BH284" s="6"/>
      <c r="BI284" s="102"/>
      <c r="BJ284" s="6"/>
      <c r="BK284" s="6"/>
      <c r="BL284" s="6"/>
      <c r="BM284" s="102"/>
      <c r="BN284" s="99"/>
      <c r="BO284" s="100"/>
      <c r="BP284" s="100"/>
      <c r="BQ284" s="100"/>
      <c r="BR284" s="102"/>
      <c r="BS284" s="6"/>
      <c r="BT284" s="6"/>
      <c r="BU284" s="6"/>
      <c r="BV284" s="6"/>
    </row>
    <row r="285" spans="1:74" s="101" customFormat="1" x14ac:dyDescent="0.25">
      <c r="A285" s="98"/>
      <c r="B285" s="115"/>
      <c r="C285" s="116"/>
      <c r="D285" s="2"/>
      <c r="E285" s="127"/>
      <c r="F285" s="99"/>
      <c r="G285" s="87"/>
      <c r="H285" s="29"/>
      <c r="I285" s="98"/>
      <c r="J285" s="117"/>
      <c r="K285" s="117"/>
      <c r="L285" s="6"/>
      <c r="M285" s="7"/>
      <c r="N285" s="7"/>
      <c r="O285" s="7"/>
      <c r="P285" s="102"/>
      <c r="Q285" s="6"/>
      <c r="R285" s="102"/>
      <c r="S285" s="6"/>
      <c r="T285" s="102"/>
      <c r="U285" s="6"/>
      <c r="V285" s="102"/>
      <c r="W285" s="6"/>
      <c r="X285" s="6"/>
      <c r="Y285" s="6"/>
      <c r="Z285" s="6"/>
      <c r="AA285" s="6"/>
      <c r="AB285" s="6"/>
      <c r="AC285" s="102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102"/>
      <c r="AU285" s="6"/>
      <c r="AV285" s="6"/>
      <c r="AW285" s="102"/>
      <c r="AX285" s="99"/>
      <c r="AY285" s="7"/>
      <c r="AZ285" s="99"/>
      <c r="BA285" s="102"/>
      <c r="BB285" s="102"/>
      <c r="BC285" s="102"/>
      <c r="BD285" s="6"/>
      <c r="BE285" s="6"/>
      <c r="BF285" s="6"/>
      <c r="BG285" s="6"/>
      <c r="BH285" s="6"/>
      <c r="BI285" s="102"/>
      <c r="BJ285" s="6"/>
      <c r="BK285" s="6"/>
      <c r="BL285" s="6"/>
      <c r="BM285" s="102"/>
      <c r="BN285" s="99"/>
      <c r="BO285" s="100"/>
      <c r="BP285" s="100"/>
      <c r="BQ285" s="100"/>
      <c r="BR285" s="102"/>
      <c r="BS285" s="6"/>
      <c r="BT285" s="6"/>
      <c r="BU285" s="6"/>
      <c r="BV285" s="6"/>
    </row>
    <row r="286" spans="1:74" s="101" customFormat="1" x14ac:dyDescent="0.25">
      <c r="A286" s="98"/>
      <c r="B286" s="115"/>
      <c r="C286" s="116"/>
      <c r="D286" s="2"/>
      <c r="E286" s="127"/>
      <c r="F286" s="99"/>
      <c r="G286" s="87"/>
      <c r="H286" s="29"/>
      <c r="I286" s="98"/>
      <c r="J286" s="117"/>
      <c r="K286" s="117"/>
      <c r="L286" s="6"/>
      <c r="M286" s="7"/>
      <c r="N286" s="7"/>
      <c r="O286" s="7"/>
      <c r="P286" s="102"/>
      <c r="Q286" s="6"/>
      <c r="R286" s="102"/>
      <c r="S286" s="6"/>
      <c r="T286" s="102"/>
      <c r="U286" s="6"/>
      <c r="V286" s="102"/>
      <c r="W286" s="6"/>
      <c r="X286" s="6"/>
      <c r="Y286" s="6"/>
      <c r="Z286" s="6"/>
      <c r="AA286" s="6"/>
      <c r="AB286" s="6"/>
      <c r="AC286" s="102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102"/>
      <c r="AU286" s="6"/>
      <c r="AV286" s="6"/>
      <c r="AW286" s="102"/>
      <c r="AX286" s="99"/>
      <c r="AY286" s="7"/>
      <c r="AZ286" s="99"/>
      <c r="BA286" s="102"/>
      <c r="BB286" s="102"/>
      <c r="BC286" s="102"/>
      <c r="BD286" s="6"/>
      <c r="BE286" s="6"/>
      <c r="BF286" s="6"/>
      <c r="BG286" s="6"/>
      <c r="BH286" s="6"/>
      <c r="BI286" s="102"/>
      <c r="BJ286" s="6"/>
      <c r="BK286" s="6"/>
      <c r="BL286" s="6"/>
      <c r="BM286" s="102"/>
      <c r="BN286" s="99"/>
      <c r="BO286" s="100"/>
      <c r="BP286" s="100"/>
      <c r="BQ286" s="100"/>
      <c r="BR286" s="102"/>
      <c r="BS286" s="6"/>
      <c r="BT286" s="6"/>
      <c r="BU286" s="6"/>
      <c r="BV286" s="6"/>
    </row>
    <row r="287" spans="1:74" s="101" customFormat="1" x14ac:dyDescent="0.25">
      <c r="A287" s="98"/>
      <c r="B287" s="115"/>
      <c r="C287" s="116"/>
      <c r="D287" s="2"/>
      <c r="E287" s="127"/>
      <c r="F287" s="99"/>
      <c r="G287" s="87"/>
      <c r="H287" s="29"/>
      <c r="I287" s="98"/>
      <c r="J287" s="117"/>
      <c r="K287" s="117"/>
      <c r="L287" s="6"/>
      <c r="M287" s="7"/>
      <c r="N287" s="7"/>
      <c r="O287" s="7"/>
      <c r="P287" s="102"/>
      <c r="Q287" s="6"/>
      <c r="R287" s="102"/>
      <c r="S287" s="6"/>
      <c r="T287" s="102"/>
      <c r="U287" s="6"/>
      <c r="V287" s="102"/>
      <c r="W287" s="6"/>
      <c r="X287" s="6"/>
      <c r="Y287" s="6"/>
      <c r="Z287" s="6"/>
      <c r="AA287" s="6"/>
      <c r="AB287" s="6"/>
      <c r="AC287" s="102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102"/>
      <c r="AU287" s="6"/>
      <c r="AV287" s="6"/>
      <c r="AW287" s="102"/>
      <c r="AX287" s="99"/>
      <c r="AY287" s="7"/>
      <c r="AZ287" s="99"/>
      <c r="BA287" s="102"/>
      <c r="BB287" s="102"/>
      <c r="BC287" s="102"/>
      <c r="BD287" s="6"/>
      <c r="BE287" s="6"/>
      <c r="BF287" s="6"/>
      <c r="BG287" s="6"/>
      <c r="BH287" s="6"/>
      <c r="BI287" s="102"/>
      <c r="BJ287" s="6"/>
      <c r="BK287" s="6"/>
      <c r="BL287" s="6"/>
      <c r="BM287" s="102"/>
      <c r="BN287" s="99"/>
      <c r="BO287" s="100"/>
      <c r="BP287" s="100"/>
      <c r="BQ287" s="100"/>
      <c r="BR287" s="102"/>
      <c r="BS287" s="6"/>
      <c r="BT287" s="6"/>
      <c r="BU287" s="6"/>
      <c r="BV287" s="6"/>
    </row>
    <row r="288" spans="1:74" s="101" customFormat="1" x14ac:dyDescent="0.25">
      <c r="A288" s="98"/>
      <c r="B288" s="115"/>
      <c r="C288" s="116"/>
      <c r="D288" s="2"/>
      <c r="E288" s="127"/>
      <c r="F288" s="99"/>
      <c r="G288" s="87"/>
      <c r="H288" s="29"/>
      <c r="I288" s="98"/>
      <c r="J288" s="117"/>
      <c r="K288" s="117"/>
      <c r="L288" s="6"/>
      <c r="M288" s="7"/>
      <c r="N288" s="7"/>
      <c r="O288" s="7"/>
      <c r="P288" s="102"/>
      <c r="Q288" s="6"/>
      <c r="R288" s="102"/>
      <c r="S288" s="6"/>
      <c r="T288" s="102"/>
      <c r="U288" s="6"/>
      <c r="V288" s="102"/>
      <c r="W288" s="6"/>
      <c r="X288" s="6"/>
      <c r="Y288" s="6"/>
      <c r="Z288" s="6"/>
      <c r="AA288" s="6"/>
      <c r="AB288" s="6"/>
      <c r="AC288" s="102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102"/>
      <c r="AU288" s="6"/>
      <c r="AV288" s="6"/>
      <c r="AW288" s="102"/>
      <c r="AX288" s="99"/>
      <c r="AY288" s="7"/>
      <c r="AZ288" s="99"/>
      <c r="BA288" s="102"/>
      <c r="BB288" s="102"/>
      <c r="BC288" s="102"/>
      <c r="BD288" s="6"/>
      <c r="BE288" s="6"/>
      <c r="BF288" s="6"/>
      <c r="BG288" s="6"/>
      <c r="BH288" s="6"/>
      <c r="BI288" s="102"/>
      <c r="BJ288" s="6"/>
      <c r="BK288" s="6"/>
      <c r="BL288" s="6"/>
      <c r="BM288" s="102"/>
      <c r="BN288" s="99"/>
      <c r="BO288" s="100"/>
      <c r="BP288" s="100"/>
      <c r="BQ288" s="100"/>
      <c r="BR288" s="102"/>
      <c r="BS288" s="6"/>
      <c r="BT288" s="6"/>
      <c r="BU288" s="6"/>
      <c r="BV288" s="6"/>
    </row>
    <row r="289" spans="1:74" s="101" customFormat="1" x14ac:dyDescent="0.25">
      <c r="A289" s="98"/>
      <c r="B289" s="115"/>
      <c r="C289" s="116"/>
      <c r="D289" s="2"/>
      <c r="E289" s="127"/>
      <c r="F289" s="99"/>
      <c r="G289" s="87"/>
      <c r="H289" s="29"/>
      <c r="I289" s="98"/>
      <c r="J289" s="117"/>
      <c r="K289" s="117"/>
      <c r="L289" s="6"/>
      <c r="M289" s="7"/>
      <c r="N289" s="7"/>
      <c r="O289" s="7"/>
      <c r="P289" s="102"/>
      <c r="Q289" s="6"/>
      <c r="R289" s="102"/>
      <c r="S289" s="6"/>
      <c r="T289" s="102"/>
      <c r="U289" s="6"/>
      <c r="V289" s="102"/>
      <c r="W289" s="6"/>
      <c r="X289" s="6"/>
      <c r="Y289" s="6"/>
      <c r="Z289" s="6"/>
      <c r="AA289" s="6"/>
      <c r="AB289" s="6"/>
      <c r="AC289" s="102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102"/>
      <c r="AU289" s="6"/>
      <c r="AV289" s="6"/>
      <c r="AW289" s="102"/>
      <c r="AX289" s="99"/>
      <c r="AY289" s="7"/>
      <c r="AZ289" s="99"/>
      <c r="BA289" s="102"/>
      <c r="BB289" s="102"/>
      <c r="BC289" s="102"/>
      <c r="BD289" s="6"/>
      <c r="BE289" s="6"/>
      <c r="BF289" s="6"/>
      <c r="BG289" s="6"/>
      <c r="BH289" s="6"/>
      <c r="BI289" s="102"/>
      <c r="BJ289" s="6"/>
      <c r="BK289" s="6"/>
      <c r="BL289" s="6"/>
      <c r="BM289" s="102"/>
      <c r="BN289" s="99"/>
      <c r="BO289" s="100"/>
      <c r="BP289" s="100"/>
      <c r="BQ289" s="100"/>
      <c r="BR289" s="102"/>
      <c r="BS289" s="6"/>
      <c r="BT289" s="6"/>
      <c r="BU289" s="6"/>
      <c r="BV289" s="6"/>
    </row>
    <row r="290" spans="1:74" s="101" customFormat="1" x14ac:dyDescent="0.25">
      <c r="A290" s="98"/>
      <c r="B290" s="115"/>
      <c r="C290" s="116"/>
      <c r="D290" s="2"/>
      <c r="E290" s="127"/>
      <c r="F290" s="99"/>
      <c r="G290" s="87"/>
      <c r="H290" s="29"/>
      <c r="I290" s="98"/>
      <c r="J290" s="117"/>
      <c r="K290" s="117"/>
      <c r="L290" s="6"/>
      <c r="M290" s="7"/>
      <c r="N290" s="7"/>
      <c r="O290" s="7"/>
      <c r="P290" s="102"/>
      <c r="Q290" s="6"/>
      <c r="R290" s="102"/>
      <c r="S290" s="6"/>
      <c r="T290" s="102"/>
      <c r="U290" s="6"/>
      <c r="V290" s="102"/>
      <c r="W290" s="6"/>
      <c r="X290" s="6"/>
      <c r="Y290" s="6"/>
      <c r="Z290" s="6"/>
      <c r="AA290" s="6"/>
      <c r="AB290" s="6"/>
      <c r="AC290" s="102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102"/>
      <c r="AU290" s="6"/>
      <c r="AV290" s="6"/>
      <c r="AW290" s="102"/>
      <c r="AX290" s="99"/>
      <c r="AY290" s="7"/>
      <c r="AZ290" s="99"/>
      <c r="BA290" s="102"/>
      <c r="BB290" s="102"/>
      <c r="BC290" s="102"/>
      <c r="BD290" s="6"/>
      <c r="BE290" s="6"/>
      <c r="BF290" s="6"/>
      <c r="BG290" s="6"/>
      <c r="BH290" s="6"/>
      <c r="BI290" s="102"/>
      <c r="BJ290" s="6"/>
      <c r="BK290" s="6"/>
      <c r="BL290" s="6"/>
      <c r="BM290" s="102"/>
      <c r="BN290" s="99"/>
      <c r="BO290" s="100"/>
      <c r="BP290" s="100"/>
      <c r="BQ290" s="100"/>
      <c r="BR290" s="102"/>
      <c r="BS290" s="6"/>
      <c r="BT290" s="6"/>
      <c r="BU290" s="6"/>
      <c r="BV290" s="6"/>
    </row>
    <row r="291" spans="1:74" s="101" customFormat="1" x14ac:dyDescent="0.25">
      <c r="A291" s="98"/>
      <c r="B291" s="115"/>
      <c r="C291" s="116"/>
      <c r="D291" s="2"/>
      <c r="E291" s="127"/>
      <c r="F291" s="99"/>
      <c r="G291" s="87"/>
      <c r="H291" s="29"/>
      <c r="I291" s="98"/>
      <c r="J291" s="117"/>
      <c r="K291" s="117"/>
      <c r="L291" s="6"/>
      <c r="M291" s="7"/>
      <c r="N291" s="7"/>
      <c r="O291" s="7"/>
      <c r="P291" s="102"/>
      <c r="Q291" s="6"/>
      <c r="R291" s="102"/>
      <c r="S291" s="6"/>
      <c r="T291" s="102"/>
      <c r="U291" s="6"/>
      <c r="V291" s="102"/>
      <c r="W291" s="6"/>
      <c r="X291" s="6"/>
      <c r="Y291" s="6"/>
      <c r="Z291" s="6"/>
      <c r="AA291" s="6"/>
      <c r="AB291" s="6"/>
      <c r="AC291" s="102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102"/>
      <c r="AU291" s="6"/>
      <c r="AV291" s="6"/>
      <c r="AW291" s="102"/>
      <c r="AX291" s="99"/>
      <c r="AY291" s="7"/>
      <c r="AZ291" s="99"/>
      <c r="BA291" s="102"/>
      <c r="BB291" s="102"/>
      <c r="BC291" s="102"/>
      <c r="BD291" s="6"/>
      <c r="BE291" s="6"/>
      <c r="BF291" s="6"/>
      <c r="BG291" s="6"/>
      <c r="BH291" s="6"/>
      <c r="BI291" s="102"/>
      <c r="BJ291" s="6"/>
      <c r="BK291" s="6"/>
      <c r="BL291" s="6"/>
      <c r="BM291" s="102"/>
      <c r="BN291" s="99"/>
      <c r="BO291" s="100"/>
      <c r="BP291" s="100"/>
      <c r="BQ291" s="100"/>
      <c r="BR291" s="102"/>
      <c r="BS291" s="6"/>
      <c r="BT291" s="6"/>
      <c r="BU291" s="6"/>
      <c r="BV291" s="6"/>
    </row>
    <row r="292" spans="1:74" s="101" customFormat="1" x14ac:dyDescent="0.25">
      <c r="A292" s="98"/>
      <c r="B292" s="115"/>
      <c r="C292" s="116"/>
      <c r="D292" s="2"/>
      <c r="E292" s="127"/>
      <c r="F292" s="99"/>
      <c r="G292" s="87"/>
      <c r="H292" s="29"/>
      <c r="I292" s="98"/>
      <c r="J292" s="117"/>
      <c r="K292" s="117"/>
      <c r="L292" s="6"/>
      <c r="M292" s="7"/>
      <c r="N292" s="7"/>
      <c r="O292" s="7"/>
      <c r="P292" s="102"/>
      <c r="Q292" s="6"/>
      <c r="R292" s="102"/>
      <c r="S292" s="6"/>
      <c r="T292" s="102"/>
      <c r="U292" s="6"/>
      <c r="V292" s="102"/>
      <c r="W292" s="6"/>
      <c r="X292" s="6"/>
      <c r="Y292" s="6"/>
      <c r="Z292" s="6"/>
      <c r="AA292" s="6"/>
      <c r="AB292" s="6"/>
      <c r="AC292" s="102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102"/>
      <c r="AU292" s="6"/>
      <c r="AV292" s="6"/>
      <c r="AW292" s="102"/>
      <c r="AX292" s="99"/>
      <c r="AY292" s="7"/>
      <c r="AZ292" s="99"/>
      <c r="BA292" s="102"/>
      <c r="BB292" s="102"/>
      <c r="BC292" s="102"/>
      <c r="BD292" s="6"/>
      <c r="BE292" s="6"/>
      <c r="BF292" s="6"/>
      <c r="BG292" s="6"/>
      <c r="BH292" s="6"/>
      <c r="BI292" s="102"/>
      <c r="BJ292" s="6"/>
      <c r="BK292" s="6"/>
      <c r="BL292" s="6"/>
      <c r="BM292" s="102"/>
      <c r="BN292" s="99"/>
      <c r="BO292" s="100"/>
      <c r="BP292" s="100"/>
      <c r="BQ292" s="100"/>
      <c r="BR292" s="102"/>
      <c r="BS292" s="6"/>
      <c r="BT292" s="6"/>
      <c r="BU292" s="6"/>
      <c r="BV292" s="6"/>
    </row>
    <row r="293" spans="1:74" s="101" customFormat="1" x14ac:dyDescent="0.25">
      <c r="A293" s="98"/>
      <c r="B293" s="115"/>
      <c r="C293" s="116"/>
      <c r="D293" s="2"/>
      <c r="E293" s="127"/>
      <c r="F293" s="99"/>
      <c r="G293" s="87"/>
      <c r="H293" s="29"/>
      <c r="I293" s="98"/>
      <c r="J293" s="117"/>
      <c r="K293" s="117"/>
      <c r="L293" s="6"/>
      <c r="M293" s="7"/>
      <c r="N293" s="7"/>
      <c r="O293" s="7"/>
      <c r="P293" s="102"/>
      <c r="Q293" s="6"/>
      <c r="R293" s="102"/>
      <c r="S293" s="6"/>
      <c r="T293" s="102"/>
      <c r="U293" s="6"/>
      <c r="V293" s="102"/>
      <c r="W293" s="6"/>
      <c r="X293" s="6"/>
      <c r="Y293" s="6"/>
      <c r="Z293" s="6"/>
      <c r="AA293" s="6"/>
      <c r="AB293" s="6"/>
      <c r="AC293" s="102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102"/>
      <c r="AU293" s="6"/>
      <c r="AV293" s="6"/>
      <c r="AW293" s="102"/>
      <c r="AX293" s="99"/>
      <c r="AY293" s="7"/>
      <c r="AZ293" s="99"/>
      <c r="BA293" s="102"/>
      <c r="BB293" s="102"/>
      <c r="BC293" s="102"/>
      <c r="BD293" s="6"/>
      <c r="BE293" s="6"/>
      <c r="BF293" s="6"/>
      <c r="BG293" s="6"/>
      <c r="BH293" s="6"/>
      <c r="BI293" s="102"/>
      <c r="BJ293" s="6"/>
      <c r="BK293" s="6"/>
      <c r="BL293" s="6"/>
      <c r="BM293" s="102"/>
      <c r="BN293" s="99"/>
      <c r="BO293" s="100"/>
      <c r="BP293" s="100"/>
      <c r="BQ293" s="100"/>
      <c r="BR293" s="102"/>
      <c r="BS293" s="6"/>
      <c r="BT293" s="6"/>
      <c r="BU293" s="6"/>
      <c r="BV293" s="6"/>
    </row>
    <row r="294" spans="1:74" s="101" customFormat="1" x14ac:dyDescent="0.25">
      <c r="A294" s="98"/>
      <c r="B294" s="115"/>
      <c r="C294" s="116"/>
      <c r="D294" s="2"/>
      <c r="E294" s="127"/>
      <c r="F294" s="99"/>
      <c r="G294" s="87"/>
      <c r="H294" s="29"/>
      <c r="I294" s="98"/>
      <c r="J294" s="117"/>
      <c r="K294" s="117"/>
      <c r="L294" s="6"/>
      <c r="M294" s="7"/>
      <c r="N294" s="7"/>
      <c r="O294" s="7"/>
      <c r="P294" s="102"/>
      <c r="Q294" s="6"/>
      <c r="R294" s="102"/>
      <c r="S294" s="6"/>
      <c r="T294" s="102"/>
      <c r="U294" s="6"/>
      <c r="V294" s="102"/>
      <c r="W294" s="6"/>
      <c r="X294" s="6"/>
      <c r="Y294" s="6"/>
      <c r="Z294" s="6"/>
      <c r="AA294" s="6"/>
      <c r="AB294" s="6"/>
      <c r="AC294" s="102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102"/>
      <c r="AU294" s="6"/>
      <c r="AV294" s="6"/>
      <c r="AW294" s="102"/>
      <c r="AX294" s="99"/>
      <c r="AY294" s="7"/>
      <c r="AZ294" s="99"/>
      <c r="BA294" s="102"/>
      <c r="BB294" s="102"/>
      <c r="BC294" s="102"/>
      <c r="BD294" s="6"/>
      <c r="BE294" s="6"/>
      <c r="BF294" s="6"/>
      <c r="BG294" s="6"/>
      <c r="BH294" s="6"/>
      <c r="BI294" s="102"/>
      <c r="BJ294" s="6"/>
      <c r="BK294" s="6"/>
      <c r="BL294" s="6"/>
      <c r="BM294" s="102"/>
      <c r="BN294" s="99"/>
      <c r="BO294" s="100"/>
      <c r="BP294" s="100"/>
      <c r="BQ294" s="100"/>
      <c r="BR294" s="102"/>
      <c r="BS294" s="6"/>
      <c r="BT294" s="6"/>
      <c r="BU294" s="6"/>
      <c r="BV294" s="6"/>
    </row>
    <row r="295" spans="1:74" s="101" customFormat="1" x14ac:dyDescent="0.25">
      <c r="A295" s="98"/>
      <c r="B295" s="115"/>
      <c r="C295" s="116"/>
      <c r="D295" s="2"/>
      <c r="E295" s="127"/>
      <c r="F295" s="99"/>
      <c r="G295" s="87"/>
      <c r="H295" s="29"/>
      <c r="I295" s="98"/>
      <c r="J295" s="117"/>
      <c r="K295" s="117"/>
      <c r="L295" s="6"/>
      <c r="M295" s="7"/>
      <c r="N295" s="7"/>
      <c r="O295" s="7"/>
      <c r="P295" s="102"/>
      <c r="Q295" s="6"/>
      <c r="R295" s="102"/>
      <c r="S295" s="6"/>
      <c r="T295" s="102"/>
      <c r="U295" s="6"/>
      <c r="V295" s="102"/>
      <c r="W295" s="6"/>
      <c r="X295" s="6"/>
      <c r="Y295" s="6"/>
      <c r="Z295" s="6"/>
      <c r="AA295" s="6"/>
      <c r="AB295" s="6"/>
      <c r="AC295" s="102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102"/>
      <c r="AU295" s="6"/>
      <c r="AV295" s="6"/>
      <c r="AW295" s="102"/>
      <c r="AX295" s="99"/>
      <c r="AY295" s="7"/>
      <c r="AZ295" s="99"/>
      <c r="BA295" s="102"/>
      <c r="BB295" s="102"/>
      <c r="BC295" s="102"/>
      <c r="BD295" s="6"/>
      <c r="BE295" s="6"/>
      <c r="BF295" s="6"/>
      <c r="BG295" s="6"/>
      <c r="BH295" s="6"/>
      <c r="BI295" s="102"/>
      <c r="BJ295" s="6"/>
      <c r="BK295" s="6"/>
      <c r="BL295" s="6"/>
      <c r="BM295" s="102"/>
      <c r="BN295" s="99"/>
      <c r="BO295" s="100"/>
      <c r="BP295" s="100"/>
      <c r="BQ295" s="100"/>
      <c r="BR295" s="102"/>
      <c r="BS295" s="6"/>
      <c r="BT295" s="6"/>
      <c r="BU295" s="6"/>
      <c r="BV295" s="6"/>
    </row>
    <row r="296" spans="1:74" s="101" customFormat="1" x14ac:dyDescent="0.25">
      <c r="A296" s="98"/>
      <c r="B296" s="115"/>
      <c r="C296" s="116"/>
      <c r="D296" s="2"/>
      <c r="E296" s="127"/>
      <c r="F296" s="99"/>
      <c r="G296" s="87"/>
      <c r="H296" s="29"/>
      <c r="I296" s="98"/>
      <c r="J296" s="117"/>
      <c r="K296" s="117"/>
      <c r="L296" s="6"/>
      <c r="M296" s="7"/>
      <c r="N296" s="7"/>
      <c r="O296" s="7"/>
      <c r="P296" s="102"/>
      <c r="Q296" s="6"/>
      <c r="R296" s="102"/>
      <c r="S296" s="6"/>
      <c r="T296" s="102"/>
      <c r="U296" s="6"/>
      <c r="V296" s="102"/>
      <c r="W296" s="6"/>
      <c r="X296" s="6"/>
      <c r="Y296" s="6"/>
      <c r="Z296" s="6"/>
      <c r="AA296" s="6"/>
      <c r="AB296" s="6"/>
      <c r="AC296" s="102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102"/>
      <c r="AU296" s="6"/>
      <c r="AV296" s="6"/>
      <c r="AW296" s="102"/>
      <c r="AX296" s="99"/>
      <c r="AY296" s="7"/>
      <c r="AZ296" s="99"/>
      <c r="BA296" s="102"/>
      <c r="BB296" s="102"/>
      <c r="BC296" s="102"/>
      <c r="BD296" s="6"/>
      <c r="BE296" s="6"/>
      <c r="BF296" s="6"/>
      <c r="BG296" s="6"/>
      <c r="BH296" s="6"/>
      <c r="BI296" s="102"/>
      <c r="BJ296" s="6"/>
      <c r="BK296" s="6"/>
      <c r="BL296" s="6"/>
      <c r="BM296" s="102"/>
      <c r="BN296" s="99"/>
      <c r="BO296" s="100"/>
      <c r="BP296" s="100"/>
      <c r="BQ296" s="100"/>
      <c r="BR296" s="102"/>
      <c r="BS296" s="6"/>
      <c r="BT296" s="6"/>
      <c r="BU296" s="6"/>
      <c r="BV296" s="6"/>
    </row>
    <row r="297" spans="1:74" s="101" customFormat="1" x14ac:dyDescent="0.25">
      <c r="A297" s="98"/>
      <c r="B297" s="115"/>
      <c r="C297" s="116"/>
      <c r="D297" s="2"/>
      <c r="E297" s="127"/>
      <c r="F297" s="99"/>
      <c r="G297" s="87"/>
      <c r="H297" s="29"/>
      <c r="I297" s="98"/>
      <c r="J297" s="117"/>
      <c r="K297" s="117"/>
      <c r="L297" s="6"/>
      <c r="M297" s="7"/>
      <c r="N297" s="7"/>
      <c r="O297" s="7"/>
      <c r="P297" s="102"/>
      <c r="Q297" s="6"/>
      <c r="R297" s="102"/>
      <c r="S297" s="6"/>
      <c r="T297" s="102"/>
      <c r="U297" s="6"/>
      <c r="V297" s="102"/>
      <c r="W297" s="6"/>
      <c r="X297" s="6"/>
      <c r="Y297" s="6"/>
      <c r="Z297" s="6"/>
      <c r="AA297" s="6"/>
      <c r="AB297" s="6"/>
      <c r="AC297" s="102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102"/>
      <c r="AU297" s="6"/>
      <c r="AV297" s="6"/>
      <c r="AW297" s="102"/>
      <c r="AX297" s="99"/>
      <c r="AY297" s="7"/>
      <c r="AZ297" s="99"/>
      <c r="BA297" s="102"/>
      <c r="BB297" s="102"/>
      <c r="BC297" s="102"/>
      <c r="BD297" s="6"/>
      <c r="BE297" s="6"/>
      <c r="BF297" s="6"/>
      <c r="BG297" s="6"/>
      <c r="BH297" s="6"/>
      <c r="BI297" s="102"/>
      <c r="BJ297" s="6"/>
      <c r="BK297" s="6"/>
      <c r="BL297" s="6"/>
      <c r="BM297" s="102"/>
      <c r="BN297" s="99"/>
      <c r="BO297" s="100"/>
      <c r="BP297" s="100"/>
      <c r="BQ297" s="100"/>
      <c r="BR297" s="102"/>
      <c r="BS297" s="6"/>
      <c r="BT297" s="6"/>
      <c r="BU297" s="6"/>
      <c r="BV297" s="6"/>
    </row>
    <row r="298" spans="1:74" s="101" customFormat="1" x14ac:dyDescent="0.25">
      <c r="A298" s="98"/>
      <c r="B298" s="115"/>
      <c r="C298" s="116"/>
      <c r="D298" s="2"/>
      <c r="E298" s="127"/>
      <c r="F298" s="99"/>
      <c r="G298" s="87"/>
      <c r="H298" s="29"/>
      <c r="I298" s="98"/>
      <c r="J298" s="117"/>
      <c r="K298" s="117"/>
      <c r="L298" s="6"/>
      <c r="M298" s="7"/>
      <c r="N298" s="7"/>
      <c r="O298" s="7"/>
      <c r="P298" s="102"/>
      <c r="Q298" s="6"/>
      <c r="R298" s="102"/>
      <c r="S298" s="6"/>
      <c r="T298" s="102"/>
      <c r="U298" s="6"/>
      <c r="V298" s="102"/>
      <c r="W298" s="6"/>
      <c r="X298" s="6"/>
      <c r="Y298" s="6"/>
      <c r="Z298" s="6"/>
      <c r="AA298" s="6"/>
      <c r="AB298" s="6"/>
      <c r="AC298" s="102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102"/>
      <c r="AU298" s="6"/>
      <c r="AV298" s="6"/>
      <c r="AW298" s="102"/>
      <c r="AX298" s="99"/>
      <c r="AY298" s="7"/>
      <c r="AZ298" s="99"/>
      <c r="BA298" s="102"/>
      <c r="BB298" s="102"/>
      <c r="BC298" s="102"/>
      <c r="BD298" s="6"/>
      <c r="BE298" s="6"/>
      <c r="BF298" s="6"/>
      <c r="BG298" s="6"/>
      <c r="BH298" s="6"/>
      <c r="BI298" s="102"/>
      <c r="BJ298" s="6"/>
      <c r="BK298" s="6"/>
      <c r="BL298" s="6"/>
      <c r="BM298" s="102"/>
      <c r="BN298" s="99"/>
      <c r="BO298" s="100"/>
      <c r="BP298" s="100"/>
      <c r="BQ298" s="100"/>
      <c r="BR298" s="102"/>
      <c r="BS298" s="6"/>
      <c r="BT298" s="6"/>
      <c r="BU298" s="6"/>
      <c r="BV298" s="6"/>
    </row>
    <row r="299" spans="1:74" s="101" customFormat="1" x14ac:dyDescent="0.25">
      <c r="A299" s="98"/>
      <c r="B299" s="115"/>
      <c r="C299" s="116"/>
      <c r="D299" s="2"/>
      <c r="E299" s="127"/>
      <c r="F299" s="99"/>
      <c r="G299" s="87"/>
      <c r="H299" s="29"/>
      <c r="I299" s="98"/>
      <c r="J299" s="117"/>
      <c r="K299" s="117"/>
      <c r="L299" s="6"/>
      <c r="M299" s="7"/>
      <c r="N299" s="7"/>
      <c r="O299" s="7"/>
      <c r="P299" s="102"/>
      <c r="Q299" s="6"/>
      <c r="R299" s="102"/>
      <c r="S299" s="6"/>
      <c r="T299" s="102"/>
      <c r="U299" s="6"/>
      <c r="V299" s="102"/>
      <c r="W299" s="6"/>
      <c r="X299" s="6"/>
      <c r="Y299" s="6"/>
      <c r="Z299" s="6"/>
      <c r="AA299" s="6"/>
      <c r="AB299" s="6"/>
      <c r="AC299" s="102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102"/>
      <c r="AU299" s="6"/>
      <c r="AV299" s="6"/>
      <c r="AW299" s="102"/>
      <c r="AX299" s="99"/>
      <c r="AY299" s="7"/>
      <c r="AZ299" s="99"/>
      <c r="BA299" s="102"/>
      <c r="BB299" s="102"/>
      <c r="BC299" s="102"/>
      <c r="BD299" s="6"/>
      <c r="BE299" s="6"/>
      <c r="BF299" s="6"/>
      <c r="BG299" s="6"/>
      <c r="BH299" s="6"/>
      <c r="BI299" s="102"/>
      <c r="BJ299" s="6"/>
      <c r="BK299" s="6"/>
      <c r="BL299" s="6"/>
      <c r="BM299" s="102"/>
      <c r="BN299" s="99"/>
      <c r="BO299" s="100"/>
      <c r="BP299" s="100"/>
      <c r="BQ299" s="100"/>
      <c r="BR299" s="102"/>
      <c r="BS299" s="6"/>
      <c r="BT299" s="6"/>
      <c r="BU299" s="6"/>
      <c r="BV299" s="6"/>
    </row>
    <row r="300" spans="1:74" s="101" customFormat="1" x14ac:dyDescent="0.25">
      <c r="A300" s="98"/>
      <c r="B300" s="115"/>
      <c r="C300" s="116"/>
      <c r="D300" s="2"/>
      <c r="E300" s="127"/>
      <c r="F300" s="99"/>
      <c r="G300" s="87"/>
      <c r="H300" s="29"/>
      <c r="I300" s="98"/>
      <c r="J300" s="117"/>
      <c r="K300" s="117"/>
      <c r="L300" s="6"/>
      <c r="M300" s="7"/>
      <c r="N300" s="7"/>
      <c r="O300" s="7"/>
      <c r="P300" s="102"/>
      <c r="Q300" s="6"/>
      <c r="R300" s="102"/>
      <c r="S300" s="6"/>
      <c r="T300" s="102"/>
      <c r="U300" s="6"/>
      <c r="V300" s="102"/>
      <c r="W300" s="6"/>
      <c r="X300" s="6"/>
      <c r="Y300" s="6"/>
      <c r="Z300" s="6"/>
      <c r="AA300" s="6"/>
      <c r="AB300" s="6"/>
      <c r="AC300" s="102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102"/>
      <c r="AU300" s="6"/>
      <c r="AV300" s="6"/>
      <c r="AW300" s="102"/>
      <c r="AX300" s="99"/>
      <c r="AY300" s="7"/>
      <c r="AZ300" s="99"/>
      <c r="BA300" s="102"/>
      <c r="BB300" s="102"/>
      <c r="BC300" s="102"/>
      <c r="BD300" s="6"/>
      <c r="BE300" s="6"/>
      <c r="BF300" s="6"/>
      <c r="BG300" s="6"/>
      <c r="BH300" s="6"/>
      <c r="BI300" s="102"/>
      <c r="BJ300" s="6"/>
      <c r="BK300" s="6"/>
      <c r="BL300" s="6"/>
      <c r="BM300" s="102"/>
      <c r="BN300" s="99"/>
      <c r="BO300" s="100"/>
      <c r="BP300" s="100"/>
      <c r="BQ300" s="100"/>
      <c r="BR300" s="102"/>
      <c r="BS300" s="6"/>
      <c r="BT300" s="6"/>
      <c r="BU300" s="6"/>
      <c r="BV300" s="6"/>
    </row>
    <row r="301" spans="1:74" s="101" customFormat="1" x14ac:dyDescent="0.25">
      <c r="A301" s="98"/>
      <c r="B301" s="115"/>
      <c r="C301" s="116"/>
      <c r="D301" s="2"/>
      <c r="E301" s="127"/>
      <c r="F301" s="99"/>
      <c r="G301" s="87"/>
      <c r="H301" s="29"/>
      <c r="I301" s="98"/>
      <c r="J301" s="117"/>
      <c r="K301" s="117"/>
      <c r="L301" s="6"/>
      <c r="M301" s="7"/>
      <c r="N301" s="7"/>
      <c r="O301" s="7"/>
      <c r="P301" s="102"/>
      <c r="Q301" s="6"/>
      <c r="R301" s="102"/>
      <c r="S301" s="6"/>
      <c r="T301" s="102"/>
      <c r="U301" s="6"/>
      <c r="V301" s="102"/>
      <c r="W301" s="6"/>
      <c r="X301" s="6"/>
      <c r="Y301" s="6"/>
      <c r="Z301" s="6"/>
      <c r="AA301" s="6"/>
      <c r="AB301" s="6"/>
      <c r="AC301" s="102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102"/>
      <c r="AU301" s="6"/>
      <c r="AV301" s="6"/>
      <c r="AW301" s="102"/>
      <c r="AX301" s="99"/>
      <c r="AY301" s="7"/>
      <c r="AZ301" s="99"/>
      <c r="BA301" s="102"/>
      <c r="BB301" s="102"/>
      <c r="BC301" s="102"/>
      <c r="BD301" s="6"/>
      <c r="BE301" s="6"/>
      <c r="BF301" s="6"/>
      <c r="BG301" s="6"/>
      <c r="BH301" s="6"/>
      <c r="BI301" s="102"/>
      <c r="BJ301" s="6"/>
      <c r="BK301" s="6"/>
      <c r="BL301" s="6"/>
      <c r="BM301" s="102"/>
      <c r="BN301" s="99"/>
      <c r="BO301" s="100"/>
      <c r="BP301" s="100"/>
      <c r="BQ301" s="100"/>
      <c r="BR301" s="102"/>
      <c r="BS301" s="6"/>
      <c r="BT301" s="6"/>
      <c r="BU301" s="6"/>
      <c r="BV301" s="6"/>
    </row>
    <row r="302" spans="1:74" s="101" customFormat="1" x14ac:dyDescent="0.25">
      <c r="A302" s="98"/>
      <c r="B302" s="115"/>
      <c r="C302" s="116"/>
      <c r="D302" s="2"/>
      <c r="E302" s="127"/>
      <c r="F302" s="99"/>
      <c r="G302" s="87"/>
      <c r="H302" s="29"/>
      <c r="I302" s="98"/>
      <c r="J302" s="117"/>
      <c r="K302" s="117"/>
      <c r="L302" s="6"/>
      <c r="M302" s="7"/>
      <c r="N302" s="7"/>
      <c r="O302" s="7"/>
      <c r="P302" s="102"/>
      <c r="Q302" s="6"/>
      <c r="R302" s="102"/>
      <c r="S302" s="6"/>
      <c r="T302" s="102"/>
      <c r="U302" s="6"/>
      <c r="V302" s="102"/>
      <c r="W302" s="6"/>
      <c r="X302" s="6"/>
      <c r="Y302" s="6"/>
      <c r="Z302" s="6"/>
      <c r="AA302" s="6"/>
      <c r="AB302" s="6"/>
      <c r="AC302" s="102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102"/>
      <c r="AU302" s="6"/>
      <c r="AV302" s="6"/>
      <c r="AW302" s="102"/>
      <c r="AX302" s="99"/>
      <c r="AY302" s="7"/>
      <c r="AZ302" s="99"/>
      <c r="BA302" s="102"/>
      <c r="BB302" s="102"/>
      <c r="BC302" s="102"/>
      <c r="BD302" s="6"/>
      <c r="BE302" s="6"/>
      <c r="BF302" s="6"/>
      <c r="BG302" s="6"/>
      <c r="BH302" s="6"/>
      <c r="BI302" s="102"/>
      <c r="BJ302" s="6"/>
      <c r="BK302" s="6"/>
      <c r="BL302" s="6"/>
      <c r="BM302" s="102"/>
      <c r="BN302" s="99"/>
      <c r="BO302" s="100"/>
      <c r="BP302" s="100"/>
      <c r="BQ302" s="100"/>
      <c r="BR302" s="102"/>
      <c r="BS302" s="6"/>
      <c r="BT302" s="6"/>
      <c r="BU302" s="6"/>
      <c r="BV302" s="6"/>
    </row>
    <row r="303" spans="1:74" s="101" customFormat="1" x14ac:dyDescent="0.25">
      <c r="A303" s="98"/>
      <c r="B303" s="115"/>
      <c r="C303" s="116"/>
      <c r="D303" s="2"/>
      <c r="E303" s="127"/>
      <c r="F303" s="99"/>
      <c r="G303" s="87"/>
      <c r="H303" s="29"/>
      <c r="I303" s="98"/>
      <c r="J303" s="117"/>
      <c r="K303" s="117"/>
      <c r="L303" s="6"/>
      <c r="M303" s="7"/>
      <c r="N303" s="7"/>
      <c r="O303" s="7"/>
      <c r="P303" s="102"/>
      <c r="Q303" s="6"/>
      <c r="R303" s="102"/>
      <c r="S303" s="6"/>
      <c r="T303" s="102"/>
      <c r="U303" s="6"/>
      <c r="V303" s="102"/>
      <c r="W303" s="6"/>
      <c r="X303" s="6"/>
      <c r="Y303" s="6"/>
      <c r="Z303" s="6"/>
      <c r="AA303" s="6"/>
      <c r="AB303" s="6"/>
      <c r="AC303" s="102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102"/>
      <c r="AU303" s="6"/>
      <c r="AV303" s="6"/>
      <c r="AW303" s="102"/>
      <c r="AX303" s="99"/>
      <c r="AY303" s="7"/>
      <c r="AZ303" s="99"/>
      <c r="BA303" s="102"/>
      <c r="BB303" s="102"/>
      <c r="BC303" s="102"/>
      <c r="BD303" s="6"/>
      <c r="BE303" s="6"/>
      <c r="BF303" s="6"/>
      <c r="BG303" s="6"/>
      <c r="BH303" s="6"/>
      <c r="BI303" s="102"/>
      <c r="BJ303" s="6"/>
      <c r="BK303" s="6"/>
      <c r="BL303" s="6"/>
      <c r="BM303" s="102"/>
      <c r="BN303" s="99"/>
      <c r="BO303" s="100"/>
      <c r="BP303" s="100"/>
      <c r="BQ303" s="100"/>
      <c r="BR303" s="102"/>
      <c r="BS303" s="6"/>
      <c r="BT303" s="6"/>
      <c r="BU303" s="6"/>
      <c r="BV303" s="6"/>
    </row>
    <row r="304" spans="1:74" s="101" customFormat="1" x14ac:dyDescent="0.25">
      <c r="A304" s="98"/>
      <c r="B304" s="115"/>
      <c r="C304" s="116"/>
      <c r="D304" s="2"/>
      <c r="E304" s="127"/>
      <c r="F304" s="99"/>
      <c r="G304" s="87"/>
      <c r="H304" s="29"/>
      <c r="I304" s="98"/>
      <c r="J304" s="117"/>
      <c r="K304" s="117"/>
      <c r="L304" s="6"/>
      <c r="M304" s="7"/>
      <c r="N304" s="7"/>
      <c r="O304" s="7"/>
      <c r="P304" s="102"/>
      <c r="Q304" s="6"/>
      <c r="R304" s="102"/>
      <c r="S304" s="6"/>
      <c r="T304" s="102"/>
      <c r="U304" s="6"/>
      <c r="V304" s="102"/>
      <c r="W304" s="6"/>
      <c r="X304" s="6"/>
      <c r="Y304" s="6"/>
      <c r="Z304" s="6"/>
      <c r="AA304" s="6"/>
      <c r="AB304" s="6"/>
      <c r="AC304" s="102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102"/>
      <c r="AU304" s="6"/>
      <c r="AV304" s="6"/>
      <c r="AW304" s="102"/>
      <c r="AX304" s="99"/>
      <c r="AY304" s="7"/>
      <c r="AZ304" s="99"/>
      <c r="BA304" s="102"/>
      <c r="BB304" s="102"/>
      <c r="BC304" s="102"/>
      <c r="BD304" s="6"/>
      <c r="BE304" s="6"/>
      <c r="BF304" s="6"/>
      <c r="BG304" s="6"/>
      <c r="BH304" s="6"/>
      <c r="BI304" s="102"/>
      <c r="BJ304" s="6"/>
      <c r="BK304" s="6"/>
      <c r="BL304" s="6"/>
      <c r="BM304" s="102"/>
      <c r="BN304" s="99"/>
      <c r="BO304" s="100"/>
      <c r="BP304" s="100"/>
      <c r="BQ304" s="100"/>
      <c r="BR304" s="102"/>
      <c r="BS304" s="6"/>
      <c r="BT304" s="6"/>
      <c r="BU304" s="6"/>
      <c r="BV304" s="6"/>
    </row>
    <row r="305" spans="1:74" s="101" customFormat="1" x14ac:dyDescent="0.25">
      <c r="A305" s="98"/>
      <c r="B305" s="115"/>
      <c r="C305" s="116"/>
      <c r="D305" s="2"/>
      <c r="E305" s="127"/>
      <c r="F305" s="99"/>
      <c r="G305" s="87"/>
      <c r="H305" s="29"/>
      <c r="I305" s="98"/>
      <c r="J305" s="117"/>
      <c r="K305" s="117"/>
      <c r="L305" s="6"/>
      <c r="M305" s="7"/>
      <c r="N305" s="7"/>
      <c r="O305" s="7"/>
      <c r="P305" s="102"/>
      <c r="Q305" s="6"/>
      <c r="R305" s="102"/>
      <c r="S305" s="6"/>
      <c r="T305" s="102"/>
      <c r="U305" s="6"/>
      <c r="V305" s="102"/>
      <c r="W305" s="6"/>
      <c r="X305" s="6"/>
      <c r="Y305" s="6"/>
      <c r="Z305" s="6"/>
      <c r="AA305" s="6"/>
      <c r="AB305" s="6"/>
      <c r="AC305" s="102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102"/>
      <c r="AU305" s="6"/>
      <c r="AV305" s="6"/>
      <c r="AW305" s="102"/>
      <c r="AX305" s="99"/>
      <c r="AY305" s="7"/>
      <c r="AZ305" s="99"/>
      <c r="BA305" s="102"/>
      <c r="BB305" s="102"/>
      <c r="BC305" s="102"/>
      <c r="BD305" s="6"/>
      <c r="BE305" s="6"/>
      <c r="BF305" s="6"/>
      <c r="BG305" s="6"/>
      <c r="BH305" s="6"/>
      <c r="BI305" s="102"/>
      <c r="BJ305" s="6"/>
      <c r="BK305" s="6"/>
      <c r="BL305" s="6"/>
      <c r="BM305" s="102"/>
      <c r="BN305" s="99"/>
      <c r="BO305" s="100"/>
      <c r="BP305" s="100"/>
      <c r="BQ305" s="100"/>
      <c r="BR305" s="102"/>
      <c r="BS305" s="6"/>
      <c r="BT305" s="6"/>
      <c r="BU305" s="6"/>
      <c r="BV305" s="6"/>
    </row>
    <row r="306" spans="1:74" s="101" customFormat="1" x14ac:dyDescent="0.25">
      <c r="A306" s="98"/>
      <c r="B306" s="115"/>
      <c r="C306" s="116"/>
      <c r="D306" s="2"/>
      <c r="E306" s="127"/>
      <c r="F306" s="99"/>
      <c r="G306" s="87"/>
      <c r="H306" s="29"/>
      <c r="I306" s="98"/>
      <c r="J306" s="117"/>
      <c r="K306" s="117"/>
      <c r="L306" s="6"/>
      <c r="M306" s="7"/>
      <c r="N306" s="7"/>
      <c r="O306" s="7"/>
      <c r="P306" s="102"/>
      <c r="Q306" s="6"/>
      <c r="R306" s="102"/>
      <c r="S306" s="6"/>
      <c r="T306" s="102"/>
      <c r="U306" s="6"/>
      <c r="V306" s="102"/>
      <c r="W306" s="6"/>
      <c r="X306" s="6"/>
      <c r="Y306" s="6"/>
      <c r="Z306" s="6"/>
      <c r="AA306" s="6"/>
      <c r="AB306" s="6"/>
      <c r="AC306" s="102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102"/>
      <c r="AU306" s="6"/>
      <c r="AV306" s="6"/>
      <c r="AW306" s="102"/>
      <c r="AX306" s="99"/>
      <c r="AY306" s="7"/>
      <c r="AZ306" s="99"/>
      <c r="BA306" s="102"/>
      <c r="BB306" s="102"/>
      <c r="BC306" s="102"/>
      <c r="BD306" s="6"/>
      <c r="BE306" s="6"/>
      <c r="BF306" s="6"/>
      <c r="BG306" s="6"/>
      <c r="BH306" s="6"/>
      <c r="BI306" s="102"/>
      <c r="BJ306" s="6"/>
      <c r="BK306" s="6"/>
      <c r="BL306" s="6"/>
      <c r="BM306" s="102"/>
      <c r="BN306" s="99"/>
      <c r="BO306" s="100"/>
      <c r="BP306" s="100"/>
      <c r="BQ306" s="100"/>
      <c r="BR306" s="102"/>
      <c r="BS306" s="6"/>
      <c r="BT306" s="6"/>
      <c r="BU306" s="6"/>
      <c r="BV306" s="6"/>
    </row>
    <row r="307" spans="1:74" s="101" customFormat="1" x14ac:dyDescent="0.25">
      <c r="A307" s="98"/>
      <c r="B307" s="115"/>
      <c r="C307" s="116"/>
      <c r="D307" s="2"/>
      <c r="E307" s="127"/>
      <c r="F307" s="99"/>
      <c r="G307" s="87"/>
      <c r="H307" s="29"/>
      <c r="I307" s="98"/>
      <c r="J307" s="117"/>
      <c r="K307" s="117"/>
      <c r="L307" s="6"/>
      <c r="M307" s="7"/>
      <c r="N307" s="7"/>
      <c r="O307" s="7"/>
      <c r="P307" s="102"/>
      <c r="Q307" s="6"/>
      <c r="R307" s="102"/>
      <c r="S307" s="6"/>
      <c r="T307" s="102"/>
      <c r="U307" s="6"/>
      <c r="V307" s="102"/>
      <c r="W307" s="6"/>
      <c r="X307" s="6"/>
      <c r="Y307" s="6"/>
      <c r="Z307" s="6"/>
      <c r="AA307" s="6"/>
      <c r="AB307" s="6"/>
      <c r="AC307" s="102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102"/>
      <c r="AU307" s="6"/>
      <c r="AV307" s="6"/>
      <c r="AW307" s="102"/>
      <c r="AX307" s="99"/>
      <c r="AY307" s="7"/>
      <c r="AZ307" s="99"/>
      <c r="BA307" s="102"/>
      <c r="BB307" s="102"/>
      <c r="BC307" s="102"/>
      <c r="BD307" s="6"/>
      <c r="BE307" s="6"/>
      <c r="BF307" s="6"/>
      <c r="BG307" s="6"/>
      <c r="BH307" s="6"/>
      <c r="BI307" s="102"/>
      <c r="BJ307" s="6"/>
      <c r="BK307" s="6"/>
      <c r="BL307" s="6"/>
      <c r="BM307" s="102"/>
      <c r="BN307" s="99"/>
      <c r="BO307" s="100"/>
      <c r="BP307" s="100"/>
      <c r="BQ307" s="100"/>
      <c r="BR307" s="102"/>
      <c r="BS307" s="6"/>
      <c r="BT307" s="6"/>
      <c r="BU307" s="6"/>
      <c r="BV307" s="6"/>
    </row>
    <row r="308" spans="1:74" s="101" customFormat="1" x14ac:dyDescent="0.25">
      <c r="A308" s="98"/>
      <c r="B308" s="115"/>
      <c r="C308" s="116"/>
      <c r="D308" s="2"/>
      <c r="E308" s="127"/>
      <c r="F308" s="99"/>
      <c r="G308" s="87"/>
      <c r="H308" s="29"/>
      <c r="I308" s="98"/>
      <c r="J308" s="117"/>
      <c r="K308" s="117"/>
      <c r="L308" s="6"/>
      <c r="M308" s="7"/>
      <c r="N308" s="7"/>
      <c r="O308" s="7"/>
      <c r="P308" s="102"/>
      <c r="Q308" s="6"/>
      <c r="R308" s="102"/>
      <c r="S308" s="6"/>
      <c r="T308" s="102"/>
      <c r="U308" s="6"/>
      <c r="V308" s="102"/>
      <c r="W308" s="6"/>
      <c r="X308" s="6"/>
      <c r="Y308" s="6"/>
      <c r="Z308" s="6"/>
      <c r="AA308" s="6"/>
      <c r="AB308" s="6"/>
      <c r="AC308" s="102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102"/>
      <c r="AU308" s="6"/>
      <c r="AV308" s="6"/>
      <c r="AW308" s="102"/>
      <c r="AX308" s="99"/>
      <c r="AY308" s="7"/>
      <c r="AZ308" s="99"/>
      <c r="BA308" s="102"/>
      <c r="BB308" s="102"/>
      <c r="BC308" s="102"/>
      <c r="BD308" s="6"/>
      <c r="BE308" s="6"/>
      <c r="BF308" s="6"/>
      <c r="BG308" s="6"/>
      <c r="BH308" s="6"/>
      <c r="BI308" s="102"/>
      <c r="BJ308" s="6"/>
      <c r="BK308" s="6"/>
      <c r="BL308" s="6"/>
      <c r="BM308" s="102"/>
      <c r="BN308" s="99"/>
      <c r="BO308" s="100"/>
      <c r="BP308" s="100"/>
      <c r="BQ308" s="100"/>
      <c r="BR308" s="102"/>
      <c r="BS308" s="6"/>
      <c r="BT308" s="6"/>
      <c r="BU308" s="6"/>
      <c r="BV308" s="6"/>
    </row>
    <row r="309" spans="1:74" s="101" customFormat="1" x14ac:dyDescent="0.25">
      <c r="A309" s="98"/>
      <c r="B309" s="115"/>
      <c r="C309" s="116"/>
      <c r="D309" s="2"/>
      <c r="E309" s="127"/>
      <c r="F309" s="99"/>
      <c r="G309" s="87"/>
      <c r="H309" s="29"/>
      <c r="I309" s="98"/>
      <c r="J309" s="117"/>
      <c r="K309" s="117"/>
      <c r="L309" s="6"/>
      <c r="M309" s="7"/>
      <c r="N309" s="7"/>
      <c r="O309" s="7"/>
      <c r="P309" s="102"/>
      <c r="Q309" s="6"/>
      <c r="R309" s="102"/>
      <c r="S309" s="6"/>
      <c r="T309" s="102"/>
      <c r="U309" s="6"/>
      <c r="V309" s="102"/>
      <c r="W309" s="6"/>
      <c r="X309" s="6"/>
      <c r="Y309" s="6"/>
      <c r="Z309" s="6"/>
      <c r="AA309" s="6"/>
      <c r="AB309" s="6"/>
      <c r="AC309" s="102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102"/>
      <c r="AU309" s="6"/>
      <c r="AV309" s="6"/>
      <c r="AW309" s="102"/>
      <c r="AX309" s="99"/>
      <c r="AY309" s="7"/>
      <c r="AZ309" s="99"/>
      <c r="BA309" s="102"/>
      <c r="BB309" s="102"/>
      <c r="BC309" s="102"/>
      <c r="BD309" s="6"/>
      <c r="BE309" s="6"/>
      <c r="BF309" s="6"/>
      <c r="BG309" s="6"/>
      <c r="BH309" s="6"/>
      <c r="BI309" s="102"/>
      <c r="BJ309" s="6"/>
      <c r="BK309" s="6"/>
      <c r="BL309" s="6"/>
      <c r="BM309" s="102"/>
      <c r="BN309" s="99"/>
      <c r="BO309" s="100"/>
      <c r="BP309" s="100"/>
      <c r="BQ309" s="100"/>
      <c r="BR309" s="102"/>
      <c r="BS309" s="6"/>
      <c r="BT309" s="6"/>
      <c r="BU309" s="6"/>
      <c r="BV309" s="6"/>
    </row>
    <row r="310" spans="1:74" s="101" customFormat="1" x14ac:dyDescent="0.25">
      <c r="A310" s="98"/>
      <c r="B310" s="115"/>
      <c r="C310" s="116"/>
      <c r="D310" s="2"/>
      <c r="E310" s="127"/>
      <c r="F310" s="99"/>
      <c r="G310" s="87"/>
      <c r="H310" s="29"/>
      <c r="I310" s="98"/>
      <c r="J310" s="117"/>
      <c r="K310" s="117"/>
      <c r="L310" s="6"/>
      <c r="M310" s="7"/>
      <c r="N310" s="7"/>
      <c r="O310" s="7"/>
      <c r="P310" s="102"/>
      <c r="Q310" s="6"/>
      <c r="R310" s="102"/>
      <c r="S310" s="6"/>
      <c r="T310" s="102"/>
      <c r="U310" s="6"/>
      <c r="V310" s="102"/>
      <c r="W310" s="6"/>
      <c r="X310" s="6"/>
      <c r="Y310" s="6"/>
      <c r="Z310" s="6"/>
      <c r="AA310" s="6"/>
      <c r="AB310" s="6"/>
      <c r="AC310" s="102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102"/>
      <c r="AU310" s="6"/>
      <c r="AV310" s="6"/>
      <c r="AW310" s="102"/>
      <c r="AX310" s="99"/>
      <c r="AY310" s="7"/>
      <c r="AZ310" s="99"/>
      <c r="BA310" s="102"/>
      <c r="BB310" s="102"/>
      <c r="BC310" s="102"/>
      <c r="BD310" s="6"/>
      <c r="BE310" s="6"/>
      <c r="BF310" s="6"/>
      <c r="BG310" s="6"/>
      <c r="BH310" s="6"/>
      <c r="BI310" s="102"/>
      <c r="BJ310" s="6"/>
      <c r="BK310" s="6"/>
      <c r="BL310" s="6"/>
      <c r="BM310" s="102"/>
      <c r="BN310" s="99"/>
      <c r="BO310" s="100"/>
      <c r="BP310" s="100"/>
      <c r="BQ310" s="100"/>
      <c r="BR310" s="102"/>
      <c r="BS310" s="6"/>
      <c r="BT310" s="6"/>
      <c r="BU310" s="6"/>
      <c r="BV310" s="6"/>
    </row>
    <row r="311" spans="1:74" s="101" customFormat="1" x14ac:dyDescent="0.25">
      <c r="A311" s="98"/>
      <c r="B311" s="115"/>
      <c r="C311" s="116"/>
      <c r="D311" s="2"/>
      <c r="E311" s="127"/>
      <c r="F311" s="99"/>
      <c r="G311" s="87"/>
      <c r="H311" s="29"/>
      <c r="I311" s="98"/>
      <c r="J311" s="117"/>
      <c r="K311" s="117"/>
      <c r="L311" s="6"/>
      <c r="M311" s="7"/>
      <c r="N311" s="7"/>
      <c r="O311" s="7"/>
      <c r="P311" s="102"/>
      <c r="Q311" s="6"/>
      <c r="R311" s="102"/>
      <c r="S311" s="6"/>
      <c r="T311" s="102"/>
      <c r="U311" s="6"/>
      <c r="V311" s="102"/>
      <c r="W311" s="6"/>
      <c r="X311" s="6"/>
      <c r="Y311" s="6"/>
      <c r="Z311" s="6"/>
      <c r="AA311" s="6"/>
      <c r="AB311" s="6"/>
      <c r="AC311" s="102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102"/>
      <c r="AU311" s="6"/>
      <c r="AV311" s="6"/>
      <c r="AW311" s="102"/>
      <c r="AX311" s="99"/>
      <c r="AY311" s="7"/>
      <c r="AZ311" s="99"/>
      <c r="BA311" s="102"/>
      <c r="BB311" s="102"/>
      <c r="BC311" s="102"/>
      <c r="BD311" s="6"/>
      <c r="BE311" s="6"/>
      <c r="BF311" s="6"/>
      <c r="BG311" s="6"/>
      <c r="BH311" s="6"/>
      <c r="BI311" s="102"/>
      <c r="BJ311" s="6"/>
      <c r="BK311" s="6"/>
      <c r="BL311" s="6"/>
      <c r="BM311" s="102"/>
      <c r="BN311" s="99"/>
      <c r="BO311" s="100"/>
      <c r="BP311" s="100"/>
      <c r="BQ311" s="100"/>
      <c r="BR311" s="102"/>
      <c r="BS311" s="6"/>
      <c r="BT311" s="6"/>
      <c r="BU311" s="6"/>
      <c r="BV311" s="6"/>
    </row>
    <row r="312" spans="1:74" s="101" customFormat="1" x14ac:dyDescent="0.25">
      <c r="A312" s="98"/>
      <c r="B312" s="115"/>
      <c r="C312" s="116"/>
      <c r="D312" s="2"/>
      <c r="E312" s="127"/>
      <c r="F312" s="99"/>
      <c r="G312" s="87"/>
      <c r="H312" s="29"/>
      <c r="I312" s="98"/>
      <c r="J312" s="117"/>
      <c r="K312" s="117"/>
      <c r="L312" s="6"/>
      <c r="M312" s="7"/>
      <c r="N312" s="7"/>
      <c r="O312" s="7"/>
      <c r="P312" s="102"/>
      <c r="Q312" s="6"/>
      <c r="R312" s="102"/>
      <c r="S312" s="6"/>
      <c r="T312" s="102"/>
      <c r="U312" s="6"/>
      <c r="V312" s="102"/>
      <c r="W312" s="6"/>
      <c r="X312" s="6"/>
      <c r="Y312" s="6"/>
      <c r="Z312" s="6"/>
      <c r="AA312" s="6"/>
      <c r="AB312" s="6"/>
      <c r="AC312" s="102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102"/>
      <c r="AU312" s="6"/>
      <c r="AV312" s="6"/>
      <c r="AW312" s="102"/>
      <c r="AX312" s="99"/>
      <c r="AY312" s="7"/>
      <c r="AZ312" s="99"/>
      <c r="BA312" s="102"/>
      <c r="BB312" s="102"/>
      <c r="BC312" s="102"/>
      <c r="BD312" s="6"/>
      <c r="BE312" s="6"/>
      <c r="BF312" s="6"/>
      <c r="BG312" s="6"/>
      <c r="BH312" s="6"/>
      <c r="BI312" s="102"/>
      <c r="BJ312" s="6"/>
      <c r="BK312" s="6"/>
      <c r="BL312" s="6"/>
      <c r="BM312" s="102"/>
      <c r="BN312" s="99"/>
      <c r="BO312" s="100"/>
      <c r="BP312" s="100"/>
      <c r="BQ312" s="100"/>
      <c r="BR312" s="102"/>
      <c r="BS312" s="6"/>
      <c r="BT312" s="6"/>
      <c r="BU312" s="6"/>
      <c r="BV312" s="6"/>
    </row>
  </sheetData>
  <sheetProtection formatCells="0" formatColumns="0" formatRows="0" insertColumns="0" insertRows="0" insertHyperlinks="0" deleteColumns="0" deleteRows="0" pivotTables="0"/>
  <dataConsolidate/>
  <mergeCells count="84">
    <mergeCell ref="K2:K4"/>
    <mergeCell ref="S2:T2"/>
    <mergeCell ref="S3:S4"/>
    <mergeCell ref="T3:T4"/>
    <mergeCell ref="G2:J2"/>
    <mergeCell ref="L2:P2"/>
    <mergeCell ref="P3:P4"/>
    <mergeCell ref="L3:L4"/>
    <mergeCell ref="M3:M4"/>
    <mergeCell ref="J3:J4"/>
    <mergeCell ref="G3:I3"/>
    <mergeCell ref="O3:O4"/>
    <mergeCell ref="BV2:BV4"/>
    <mergeCell ref="BK3:BK4"/>
    <mergeCell ref="BS3:BS4"/>
    <mergeCell ref="BT3:BT4"/>
    <mergeCell ref="BN2:BN4"/>
    <mergeCell ref="BJ2:BM2"/>
    <mergeCell ref="BU3:BU4"/>
    <mergeCell ref="BS2:BU2"/>
    <mergeCell ref="BC2:BC4"/>
    <mergeCell ref="BO2:BR2"/>
    <mergeCell ref="BO3:BO4"/>
    <mergeCell ref="BL3:BL4"/>
    <mergeCell ref="BP3:BP4"/>
    <mergeCell ref="BQ3:BQ4"/>
    <mergeCell ref="BJ3:BJ4"/>
    <mergeCell ref="BG3:BG4"/>
    <mergeCell ref="BH3:BH4"/>
    <mergeCell ref="BE3:BE4"/>
    <mergeCell ref="BM3:BM4"/>
    <mergeCell ref="BR3:BR4"/>
    <mergeCell ref="BI3:BI4"/>
    <mergeCell ref="BD2:BD4"/>
    <mergeCell ref="A2:A4"/>
    <mergeCell ref="B2:B4"/>
    <mergeCell ref="D2:D4"/>
    <mergeCell ref="C2:C4"/>
    <mergeCell ref="F2:F4"/>
    <mergeCell ref="E2:E4"/>
    <mergeCell ref="AY2:AY4"/>
    <mergeCell ref="BA2:BA4"/>
    <mergeCell ref="AZ2:AZ4"/>
    <mergeCell ref="BE2:BI2"/>
    <mergeCell ref="X3:X4"/>
    <mergeCell ref="Y3:Y4"/>
    <mergeCell ref="Z3:Z4"/>
    <mergeCell ref="AA3:AA4"/>
    <mergeCell ref="AB3:AB4"/>
    <mergeCell ref="AV3:AV4"/>
    <mergeCell ref="AE3:AE4"/>
    <mergeCell ref="AF3:AF4"/>
    <mergeCell ref="AG3:AG4"/>
    <mergeCell ref="AH3:AH4"/>
    <mergeCell ref="AX2:AX4"/>
    <mergeCell ref="BF3:BF4"/>
    <mergeCell ref="BB2:BB4"/>
    <mergeCell ref="AQ3:AQ4"/>
    <mergeCell ref="Q3:Q4"/>
    <mergeCell ref="N3:N4"/>
    <mergeCell ref="V3:V4"/>
    <mergeCell ref="Q2:R2"/>
    <mergeCell ref="AR3:AR4"/>
    <mergeCell ref="AS3:AS4"/>
    <mergeCell ref="R3:R4"/>
    <mergeCell ref="AI3:AI4"/>
    <mergeCell ref="AJ3:AJ4"/>
    <mergeCell ref="AK3:AK4"/>
    <mergeCell ref="AL3:AL4"/>
    <mergeCell ref="AM3:AM4"/>
    <mergeCell ref="W2:AC2"/>
    <mergeCell ref="W3:W4"/>
    <mergeCell ref="AC3:AC4"/>
    <mergeCell ref="U2:V2"/>
    <mergeCell ref="U3:U4"/>
    <mergeCell ref="AU2:AW2"/>
    <mergeCell ref="AT3:AT4"/>
    <mergeCell ref="AD2:AT2"/>
    <mergeCell ref="AU3:AU4"/>
    <mergeCell ref="AD3:AD4"/>
    <mergeCell ref="AW3:AW4"/>
    <mergeCell ref="AP3:AP4"/>
    <mergeCell ref="AN3:AN4"/>
    <mergeCell ref="AO3:AO4"/>
  </mergeCells>
  <pageMargins left="0.511811024" right="0.511811024" top="0.78740157499999996" bottom="0.78740157499999996" header="0.31496062000000002" footer="0.31496062000000002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00000000-0002-0000-0200-000000000000}">
          <x14:formula1>
            <xm:f>VALIDACOES!$C$2:$C$17</xm:f>
          </x14:formula1>
          <xm:sqref>U5:U312</xm:sqref>
        </x14:dataValidation>
        <x14:dataValidation type="list" allowBlank="1" showInputMessage="1" showErrorMessage="1" xr:uid="{00000000-0002-0000-0200-000001000000}">
          <x14:formula1>
            <xm:f>VALIDACOES!$A$2:$A$9</xm:f>
          </x14:formula1>
          <xm:sqref>Q5:Q312</xm:sqref>
        </x14:dataValidation>
        <x14:dataValidation type="list" allowBlank="1" showInputMessage="1" showErrorMessage="1" xr:uid="{00000000-0002-0000-0200-000002000000}">
          <x14:formula1>
            <xm:f>VALIDACOES!$I$2:$I$5</xm:f>
          </x14:formula1>
          <xm:sqref>AU5:AV312</xm:sqref>
        </x14:dataValidation>
        <x14:dataValidation type="list" allowBlank="1" showInputMessage="1" showErrorMessage="1" xr:uid="{00000000-0002-0000-0200-000003000000}">
          <x14:formula1>
            <xm:f>VALIDACOES!$K$2:$K$16</xm:f>
          </x14:formula1>
          <xm:sqref>W5:AB312</xm:sqref>
        </x14:dataValidation>
        <x14:dataValidation type="list" allowBlank="1" showInputMessage="1" showErrorMessage="1" xr:uid="{00000000-0002-0000-0200-000004000000}">
          <x14:formula1>
            <xm:f>VALIDACOES!$O$2:$O$4</xm:f>
          </x14:formula1>
          <xm:sqref>BD5:BD312</xm:sqref>
        </x14:dataValidation>
        <x14:dataValidation type="list" allowBlank="1" showInputMessage="1" showErrorMessage="1" xr:uid="{00000000-0002-0000-0200-000005000000}">
          <x14:formula1>
            <xm:f>VALIDACOES!$AA$2:$AA$3</xm:f>
          </x14:formula1>
          <xm:sqref>F5:F312</xm:sqref>
        </x14:dataValidation>
        <x14:dataValidation type="list" allowBlank="1" showInputMessage="1" showErrorMessage="1" xr:uid="{00000000-0002-0000-0200-000006000000}">
          <x14:formula1>
            <xm:f>VALIDACOES!$M$2:$M$17</xm:f>
          </x14:formula1>
          <xm:sqref>AD5:AS312</xm:sqref>
        </x14:dataValidation>
        <x14:dataValidation type="list" allowBlank="1" showInputMessage="1" showErrorMessage="1" xr:uid="{00000000-0002-0000-0200-000007000000}">
          <x14:formula1>
            <xm:f>VALIDACOES!$U$2:$U$11</xm:f>
          </x14:formula1>
          <xm:sqref>BO5:BQ312</xm:sqref>
        </x14:dataValidation>
        <x14:dataValidation type="list" allowBlank="1" showInputMessage="1" showErrorMessage="1" xr:uid="{00000000-0002-0000-0200-000008000000}">
          <x14:formula1>
            <xm:f>VALIDACOES!$Y$2:$Y$5</xm:f>
          </x14:formula1>
          <xm:sqref>AZ5:AZ1048576</xm:sqref>
        </x14:dataValidation>
        <x14:dataValidation type="list" allowBlank="1" showInputMessage="1" showErrorMessage="1" xr:uid="{00000000-0002-0000-0200-000009000000}">
          <x14:formula1>
            <xm:f>VALIDACOES!$E$2:$E$22</xm:f>
          </x14:formula1>
          <xm:sqref>L5:O1048576</xm:sqref>
        </x14:dataValidation>
        <x14:dataValidation type="list" allowBlank="1" showInputMessage="1" showErrorMessage="1" xr:uid="{00000000-0002-0000-0200-00000B000000}">
          <x14:formula1>
            <xm:f>VALIDACOES!$Q$2:$Q$6</xm:f>
          </x14:formula1>
          <xm:sqref>BE5:BH1048576</xm:sqref>
        </x14:dataValidation>
        <x14:dataValidation type="list" allowBlank="1" showInputMessage="1" showErrorMessage="1" xr:uid="{00000000-0002-0000-0200-00000C000000}">
          <x14:formula1>
            <xm:f>VALIDACOES!$S$2:$S$11</xm:f>
          </x14:formula1>
          <xm:sqref>BJ5:BL1048576</xm:sqref>
        </x14:dataValidation>
        <x14:dataValidation type="list" allowBlank="1" showInputMessage="1" showErrorMessage="1" xr:uid="{00000000-0002-0000-0200-00000D000000}">
          <x14:formula1>
            <xm:f>VALIDACOES!$W$2:$W$7</xm:f>
          </x14:formula1>
          <xm:sqref>BS5:BT1048576</xm:sqref>
        </x14:dataValidation>
        <x14:dataValidation type="list" allowBlank="1" showInputMessage="1" showErrorMessage="1" xr:uid="{00000000-0002-0000-0200-00000A000000}">
          <x14:formula1>
            <xm:f>VALIDACOES!$AC$2:$AC$14</xm:f>
          </x14:formula1>
          <xm:sqref>S5:S1048576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FF4B4-F316-4C73-9061-1C05233A5104}">
  <sheetPr codeName="Planilha6">
    <tabColor rgb="FF00CCFF"/>
  </sheetPr>
  <dimension ref="A1:Y424"/>
  <sheetViews>
    <sheetView showGridLines="0" view="pageLayout" zoomScaleNormal="100" workbookViewId="0">
      <selection activeCell="T418" sqref="T418:U418"/>
    </sheetView>
  </sheetViews>
  <sheetFormatPr defaultColWidth="9.140625" defaultRowHeight="9.75" customHeight="1" x14ac:dyDescent="0.15"/>
  <cols>
    <col min="1" max="1" width="3.5703125" style="120" customWidth="1"/>
    <col min="2" max="2" width="5.140625" style="120" customWidth="1"/>
    <col min="3" max="3" width="8" style="120" customWidth="1"/>
    <col min="4" max="4" width="3.28515625" style="120" customWidth="1"/>
    <col min="5" max="5" width="4.7109375" style="120" customWidth="1"/>
    <col min="6" max="6" width="10.7109375" style="120" customWidth="1"/>
    <col min="7" max="7" width="3.5703125" style="120" customWidth="1"/>
    <col min="8" max="8" width="5.140625" style="120" customWidth="1"/>
    <col min="9" max="9" width="8" style="120" customWidth="1"/>
    <col min="10" max="10" width="3.28515625" style="120" customWidth="1"/>
    <col min="11" max="11" width="4.7109375" style="120" customWidth="1"/>
    <col min="12" max="12" width="10.7109375" style="120" customWidth="1"/>
    <col min="13" max="13" width="3.5703125" style="120" customWidth="1"/>
    <col min="14" max="14" width="5.140625" style="120" customWidth="1"/>
    <col min="15" max="15" width="8" style="120" customWidth="1"/>
    <col min="16" max="16" width="3.28515625" style="120" customWidth="1"/>
    <col min="17" max="17" width="4.7109375" style="120" customWidth="1"/>
    <col min="18" max="18" width="10.7109375" style="120" customWidth="1"/>
    <col min="19" max="19" width="3.5703125" style="120" customWidth="1"/>
    <col min="20" max="20" width="5.140625" style="120" customWidth="1"/>
    <col min="21" max="21" width="8" style="120" customWidth="1"/>
    <col min="22" max="22" width="3.28515625" style="120" customWidth="1"/>
    <col min="23" max="23" width="4.7109375" style="120" customWidth="1"/>
    <col min="24" max="24" width="10.7109375" style="120" customWidth="1"/>
    <col min="25" max="25" width="4.42578125" style="120" customWidth="1"/>
    <col min="26" max="26" width="9" style="120" customWidth="1"/>
    <col min="27" max="16384" width="9.140625" style="120"/>
  </cols>
  <sheetData>
    <row r="1" spans="1:25" ht="33.950000000000003" customHeight="1" x14ac:dyDescent="0.15">
      <c r="A1" s="199" t="str">
        <f>Sitio!$A$3</f>
        <v>Projeto 01</v>
      </c>
      <c r="B1" s="200"/>
      <c r="C1" s="200"/>
      <c r="D1" s="200"/>
      <c r="E1" s="200"/>
      <c r="F1" s="201"/>
      <c r="G1" s="199" t="str">
        <f>Sitio!$A$3</f>
        <v>Projeto 01</v>
      </c>
      <c r="H1" s="200"/>
      <c r="I1" s="200"/>
      <c r="J1" s="200"/>
      <c r="K1" s="200"/>
      <c r="L1" s="201"/>
      <c r="M1" s="199" t="str">
        <f>Sitio!$A$3</f>
        <v>Projeto 01</v>
      </c>
      <c r="N1" s="200"/>
      <c r="O1" s="200"/>
      <c r="P1" s="200"/>
      <c r="Q1" s="200"/>
      <c r="R1" s="201"/>
      <c r="S1" s="199" t="str">
        <f>Sitio!$A$3</f>
        <v>Projeto 01</v>
      </c>
      <c r="T1" s="200"/>
      <c r="U1" s="200"/>
      <c r="V1" s="200"/>
      <c r="W1" s="200"/>
      <c r="X1" s="201"/>
      <c r="Y1" s="119"/>
    </row>
    <row r="2" spans="1:25" ht="9.75" customHeight="1" x14ac:dyDescent="0.15">
      <c r="A2" s="121" t="s">
        <v>294</v>
      </c>
      <c r="B2" s="193">
        <f>Sitio!$E$3</f>
        <v>0</v>
      </c>
      <c r="C2" s="193"/>
      <c r="D2" s="193"/>
      <c r="E2" s="193"/>
      <c r="F2" s="194"/>
      <c r="G2" s="121" t="s">
        <v>294</v>
      </c>
      <c r="H2" s="193">
        <f>Sitio!$E$3</f>
        <v>0</v>
      </c>
      <c r="I2" s="193"/>
      <c r="J2" s="193"/>
      <c r="K2" s="193"/>
      <c r="L2" s="194"/>
      <c r="M2" s="121" t="s">
        <v>294</v>
      </c>
      <c r="N2" s="193">
        <f>Sitio!$E$3</f>
        <v>0</v>
      </c>
      <c r="O2" s="193"/>
      <c r="P2" s="193"/>
      <c r="Q2" s="193"/>
      <c r="R2" s="194"/>
      <c r="S2" s="121" t="s">
        <v>294</v>
      </c>
      <c r="T2" s="193">
        <f>Sitio!$E$3</f>
        <v>0</v>
      </c>
      <c r="U2" s="193"/>
      <c r="V2" s="193"/>
      <c r="W2" s="193"/>
      <c r="X2" s="194"/>
    </row>
    <row r="3" spans="1:25" ht="9.75" customHeight="1" x14ac:dyDescent="0.15">
      <c r="A3" s="121" t="s">
        <v>295</v>
      </c>
      <c r="C3" s="193" t="e">
        <f>VLOOKUP(B5,Preenchimento!$A:$BV,2,0)</f>
        <v>#N/A</v>
      </c>
      <c r="D3" s="193"/>
      <c r="E3" s="193"/>
      <c r="F3" s="194"/>
      <c r="G3" s="121" t="s">
        <v>295</v>
      </c>
      <c r="I3" s="193" t="e">
        <f>VLOOKUP(H5,Preenchimento!$A:$BV,2,0)</f>
        <v>#N/A</v>
      </c>
      <c r="J3" s="193"/>
      <c r="K3" s="193"/>
      <c r="L3" s="194"/>
      <c r="M3" s="121" t="s">
        <v>295</v>
      </c>
      <c r="O3" s="193" t="e">
        <f>VLOOKUP(N5,Preenchimento!$A:$BV,2,0)</f>
        <v>#N/A</v>
      </c>
      <c r="P3" s="193"/>
      <c r="Q3" s="193"/>
      <c r="R3" s="194"/>
      <c r="S3" s="121" t="s">
        <v>295</v>
      </c>
      <c r="U3" s="193" t="e">
        <f>VLOOKUP(T5,Preenchimento!$A:$BV,2,0)</f>
        <v>#N/A</v>
      </c>
      <c r="V3" s="193"/>
      <c r="W3" s="193"/>
      <c r="X3" s="194"/>
    </row>
    <row r="4" spans="1:25" ht="9.75" customHeight="1" x14ac:dyDescent="0.15">
      <c r="A4" s="121" t="s">
        <v>296</v>
      </c>
      <c r="B4" s="193" t="e">
        <f>VLOOKUP(B5,Preenchimento!$A:$BV,3,0)</f>
        <v>#N/A</v>
      </c>
      <c r="C4" s="193"/>
      <c r="D4" s="120" t="s">
        <v>297</v>
      </c>
      <c r="E4" s="197" t="e">
        <f>VLOOKUP(B5,Preenchimento!$A:$BV,5,0)</f>
        <v>#N/A</v>
      </c>
      <c r="F4" s="198"/>
      <c r="G4" s="121" t="s">
        <v>296</v>
      </c>
      <c r="H4" s="193" t="e">
        <f>VLOOKUP(H5,Preenchimento!$A:$BV,3,0)</f>
        <v>#N/A</v>
      </c>
      <c r="I4" s="193"/>
      <c r="J4" s="120" t="s">
        <v>297</v>
      </c>
      <c r="K4" s="197" t="e">
        <f>VLOOKUP(H5,Preenchimento!$A:$BV,5,0)</f>
        <v>#N/A</v>
      </c>
      <c r="L4" s="198"/>
      <c r="M4" s="121" t="s">
        <v>296</v>
      </c>
      <c r="N4" s="193" t="e">
        <f>VLOOKUP(N5,Preenchimento!$A:$BV,3,0)</f>
        <v>#N/A</v>
      </c>
      <c r="O4" s="193"/>
      <c r="P4" s="120" t="s">
        <v>297</v>
      </c>
      <c r="Q4" s="197" t="e">
        <f>VLOOKUP(N5,Preenchimento!$A:$BV,5,0)</f>
        <v>#N/A</v>
      </c>
      <c r="R4" s="198"/>
      <c r="S4" s="121" t="s">
        <v>296</v>
      </c>
      <c r="T4" s="193" t="e">
        <f>VLOOKUP(T5,Preenchimento!$A:$BV,3,0)</f>
        <v>#N/A</v>
      </c>
      <c r="U4" s="193"/>
      <c r="V4" s="120" t="s">
        <v>297</v>
      </c>
      <c r="W4" s="197" t="e">
        <f>VLOOKUP(T5,Preenchimento!$A:$BV,5,0)</f>
        <v>#N/A</v>
      </c>
      <c r="X4" s="198"/>
    </row>
    <row r="5" spans="1:25" ht="9.75" customHeight="1" x14ac:dyDescent="0.15">
      <c r="A5" s="121" t="s">
        <v>298</v>
      </c>
      <c r="B5" s="193"/>
      <c r="C5" s="193"/>
      <c r="D5" s="120" t="s">
        <v>299</v>
      </c>
      <c r="F5" s="131" t="e">
        <f>VLOOKUP(B5,Preenchimento!$A:$BV,10,0)</f>
        <v>#N/A</v>
      </c>
      <c r="G5" s="121" t="s">
        <v>298</v>
      </c>
      <c r="H5" s="193"/>
      <c r="I5" s="193"/>
      <c r="J5" s="120" t="s">
        <v>299</v>
      </c>
      <c r="L5" s="131" t="e">
        <f>VLOOKUP(H5,Preenchimento!$A:$BV,10,0)</f>
        <v>#N/A</v>
      </c>
      <c r="M5" s="121" t="s">
        <v>298</v>
      </c>
      <c r="N5" s="193"/>
      <c r="O5" s="193"/>
      <c r="P5" s="120" t="s">
        <v>299</v>
      </c>
      <c r="R5" s="131" t="e">
        <f>VLOOKUP(N5,Preenchimento!$A:$BV,10,0)</f>
        <v>#N/A</v>
      </c>
      <c r="S5" s="121" t="s">
        <v>298</v>
      </c>
      <c r="T5" s="193"/>
      <c r="U5" s="193"/>
      <c r="V5" s="120" t="s">
        <v>299</v>
      </c>
      <c r="X5" s="131" t="e">
        <f>VLOOKUP(T5,Preenchimento!$A:$BV,10,0)</f>
        <v>#N/A</v>
      </c>
    </row>
    <row r="6" spans="1:25" ht="9.75" customHeight="1" x14ac:dyDescent="0.15">
      <c r="A6" s="121" t="s">
        <v>300</v>
      </c>
      <c r="C6" s="193" t="e">
        <f>VLOOKUP(B5,Preenchimento!$A:$BV,12,0)</f>
        <v>#N/A</v>
      </c>
      <c r="D6" s="193"/>
      <c r="E6" s="193"/>
      <c r="F6" s="194"/>
      <c r="G6" s="121" t="s">
        <v>300</v>
      </c>
      <c r="I6" s="193" t="e">
        <f>VLOOKUP(H5,Preenchimento!$A:$BV,12,0)</f>
        <v>#N/A</v>
      </c>
      <c r="J6" s="193"/>
      <c r="K6" s="193"/>
      <c r="L6" s="194"/>
      <c r="M6" s="121" t="s">
        <v>300</v>
      </c>
      <c r="O6" s="193" t="e">
        <f>VLOOKUP(N5,Preenchimento!$A:$BV,12,0)</f>
        <v>#N/A</v>
      </c>
      <c r="P6" s="193"/>
      <c r="Q6" s="193"/>
      <c r="R6" s="194"/>
      <c r="S6" s="121" t="s">
        <v>300</v>
      </c>
      <c r="U6" s="193" t="e">
        <f>VLOOKUP(T5,Preenchimento!$A:$BV,12,0)</f>
        <v>#N/A</v>
      </c>
      <c r="V6" s="193"/>
      <c r="W6" s="193"/>
      <c r="X6" s="194"/>
    </row>
    <row r="7" spans="1:25" ht="9.75" customHeight="1" x14ac:dyDescent="0.15">
      <c r="A7" s="123" t="s">
        <v>301</v>
      </c>
      <c r="B7" s="195" t="e">
        <f>IF(VLOOKUP(B5,Preenchimento!$A:$BV,11,0)=0,"",VLOOKUP(B5,Preenchimento!$A:$BV,11,0))</f>
        <v>#N/A</v>
      </c>
      <c r="C7" s="195"/>
      <c r="D7" s="195"/>
      <c r="E7" s="195"/>
      <c r="F7" s="196"/>
      <c r="G7" s="123" t="s">
        <v>301</v>
      </c>
      <c r="H7" s="195" t="e">
        <f>IF(VLOOKUP(H5,Preenchimento!$A:$BV,11,0)=0,"",VLOOKUP(H5,Preenchimento!$A:$BV,11,0))</f>
        <v>#N/A</v>
      </c>
      <c r="I7" s="195"/>
      <c r="J7" s="195"/>
      <c r="K7" s="195"/>
      <c r="L7" s="196"/>
      <c r="M7" s="123" t="s">
        <v>301</v>
      </c>
      <c r="N7" s="195" t="e">
        <f>IF(VLOOKUP(N5,Preenchimento!$A:$BV,11,0)=0,"",VLOOKUP(N5,Preenchimento!$A:$BV,11,0))</f>
        <v>#N/A</v>
      </c>
      <c r="O7" s="195"/>
      <c r="P7" s="195"/>
      <c r="Q7" s="195"/>
      <c r="R7" s="196"/>
      <c r="S7" s="123" t="s">
        <v>301</v>
      </c>
      <c r="T7" s="195" t="e">
        <f>IF(VLOOKUP(T5,Preenchimento!$A:$BV,11,0)=0,"",VLOOKUP(T5,Preenchimento!$A:$BV,11,0))</f>
        <v>#N/A</v>
      </c>
      <c r="U7" s="195"/>
      <c r="V7" s="195"/>
      <c r="W7" s="195"/>
      <c r="X7" s="196"/>
      <c r="Y7" s="124"/>
    </row>
    <row r="8" spans="1:25" ht="33.950000000000003" customHeight="1" x14ac:dyDescent="0.25">
      <c r="A8" s="199" t="str">
        <f>Sitio!$A$3</f>
        <v>Projeto 01</v>
      </c>
      <c r="B8" s="200"/>
      <c r="C8" s="200"/>
      <c r="D8" s="200"/>
      <c r="E8" s="200"/>
      <c r="F8" s="201"/>
      <c r="G8" s="199" t="str">
        <f>Sitio!$A$3</f>
        <v>Projeto 01</v>
      </c>
      <c r="H8" s="200"/>
      <c r="I8" s="200"/>
      <c r="J8" s="200"/>
      <c r="K8" s="200"/>
      <c r="L8" s="201"/>
      <c r="M8" s="199" t="str">
        <f>Sitio!$A$3</f>
        <v>Projeto 01</v>
      </c>
      <c r="N8" s="200"/>
      <c r="O8" s="200"/>
      <c r="P8" s="200"/>
      <c r="Q8" s="200"/>
      <c r="R8" s="201"/>
      <c r="S8" s="199" t="str">
        <f>Sitio!$A$3</f>
        <v>Projeto 01</v>
      </c>
      <c r="T8" s="200"/>
      <c r="U8" s="200"/>
      <c r="V8" s="200"/>
      <c r="W8" s="200"/>
      <c r="X8" s="201"/>
      <c r="Y8"/>
    </row>
    <row r="9" spans="1:25" ht="9.75" customHeight="1" x14ac:dyDescent="0.25">
      <c r="A9" s="121" t="s">
        <v>294</v>
      </c>
      <c r="B9" s="193">
        <f>Sitio!$E$3</f>
        <v>0</v>
      </c>
      <c r="C9" s="193"/>
      <c r="D9" s="193"/>
      <c r="E9" s="193"/>
      <c r="F9" s="194"/>
      <c r="G9" s="121" t="s">
        <v>294</v>
      </c>
      <c r="H9" s="193">
        <f>Sitio!$E$3</f>
        <v>0</v>
      </c>
      <c r="I9" s="193"/>
      <c r="J9" s="193"/>
      <c r="K9" s="193"/>
      <c r="L9" s="194"/>
      <c r="M9" s="121" t="s">
        <v>294</v>
      </c>
      <c r="N9" s="193">
        <f>Sitio!$E$3</f>
        <v>0</v>
      </c>
      <c r="O9" s="193"/>
      <c r="P9" s="193"/>
      <c r="Q9" s="193"/>
      <c r="R9" s="194"/>
      <c r="S9" s="121" t="s">
        <v>294</v>
      </c>
      <c r="T9" s="193">
        <f>Sitio!$E$3</f>
        <v>0</v>
      </c>
      <c r="U9" s="193"/>
      <c r="V9" s="193"/>
      <c r="W9" s="193"/>
      <c r="X9" s="194"/>
      <c r="Y9"/>
    </row>
    <row r="10" spans="1:25" ht="9.75" customHeight="1" x14ac:dyDescent="0.25">
      <c r="A10" s="121" t="s">
        <v>295</v>
      </c>
      <c r="C10" s="193" t="e">
        <f>VLOOKUP(B12,Preenchimento!$A:$BV,2,0)</f>
        <v>#N/A</v>
      </c>
      <c r="D10" s="193" t="e">
        <f>VLOOKUP(C12,Preenchimento!$A:$BV,2,0)</f>
        <v>#N/A</v>
      </c>
      <c r="E10" s="193" t="e">
        <f>VLOOKUP(D12,Preenchimento!$A:$BV,2,0)</f>
        <v>#N/A</v>
      </c>
      <c r="F10" s="194" t="e">
        <f>VLOOKUP(E12,Preenchimento!$A:$BV,2,0)</f>
        <v>#N/A</v>
      </c>
      <c r="G10" s="121" t="s">
        <v>295</v>
      </c>
      <c r="I10" s="193" t="e">
        <f>VLOOKUP(H12,Preenchimento!$A:$BV,2,0)</f>
        <v>#N/A</v>
      </c>
      <c r="J10" s="193" t="e">
        <f>VLOOKUP(I12,Preenchimento!$A:$BV,2,0)</f>
        <v>#N/A</v>
      </c>
      <c r="K10" s="193" t="e">
        <f>VLOOKUP(J12,Preenchimento!$A:$BV,2,0)</f>
        <v>#N/A</v>
      </c>
      <c r="L10" s="194" t="e">
        <f>VLOOKUP(K12,Preenchimento!$A:$BV,2,0)</f>
        <v>#N/A</v>
      </c>
      <c r="M10" s="121" t="s">
        <v>295</v>
      </c>
      <c r="O10" s="193" t="e">
        <f>VLOOKUP(N12,Preenchimento!$A:$BV,2,0)</f>
        <v>#N/A</v>
      </c>
      <c r="P10" s="193" t="e">
        <f>VLOOKUP(O12,Preenchimento!$A:$BV,2,0)</f>
        <v>#N/A</v>
      </c>
      <c r="Q10" s="193" t="e">
        <f>VLOOKUP(P12,Preenchimento!$A:$BV,2,0)</f>
        <v>#N/A</v>
      </c>
      <c r="R10" s="194" t="e">
        <f>VLOOKUP(Q12,Preenchimento!$A:$BV,2,0)</f>
        <v>#N/A</v>
      </c>
      <c r="S10" s="121" t="s">
        <v>295</v>
      </c>
      <c r="U10" s="193" t="e">
        <f>VLOOKUP(T12,Preenchimento!$A:$BV,2,0)</f>
        <v>#N/A</v>
      </c>
      <c r="V10" s="193" t="e">
        <f>VLOOKUP(U12,Preenchimento!$A:$BV,2,0)</f>
        <v>#N/A</v>
      </c>
      <c r="W10" s="193" t="e">
        <f>VLOOKUP(V12,Preenchimento!$A:$BV,2,0)</f>
        <v>#N/A</v>
      </c>
      <c r="X10" s="194" t="e">
        <f>VLOOKUP(W12,Preenchimento!$A:$BV,2,0)</f>
        <v>#N/A</v>
      </c>
      <c r="Y10"/>
    </row>
    <row r="11" spans="1:25" ht="9.75" customHeight="1" x14ac:dyDescent="0.25">
      <c r="A11" s="121" t="s">
        <v>296</v>
      </c>
      <c r="B11" s="193" t="e">
        <f>VLOOKUP(B12,Preenchimento!$A:$BV,3,0)</f>
        <v>#N/A</v>
      </c>
      <c r="C11" s="193" t="e">
        <f>VLOOKUP(C12,Preenchimento!$A:$BV,3,0)</f>
        <v>#N/A</v>
      </c>
      <c r="D11" s="120" t="s">
        <v>297</v>
      </c>
      <c r="E11" s="197" t="e">
        <f>VLOOKUP(B12,Preenchimento!$A:$BV,5,0)</f>
        <v>#N/A</v>
      </c>
      <c r="F11" s="198" t="e">
        <f>VLOOKUP(C12,Preenchimento!$A:$BV,5,0)</f>
        <v>#N/A</v>
      </c>
      <c r="G11" s="121" t="s">
        <v>296</v>
      </c>
      <c r="H11" s="193" t="e">
        <f>VLOOKUP(H12,Preenchimento!$A:$BV,3,0)</f>
        <v>#N/A</v>
      </c>
      <c r="I11" s="193" t="e">
        <f>VLOOKUP(I12,Preenchimento!$A:$BV,3,0)</f>
        <v>#N/A</v>
      </c>
      <c r="J11" s="120" t="s">
        <v>297</v>
      </c>
      <c r="K11" s="197" t="e">
        <f>VLOOKUP(H12,Preenchimento!$A:$BV,5,0)</f>
        <v>#N/A</v>
      </c>
      <c r="L11" s="198" t="e">
        <f>VLOOKUP(I12,Preenchimento!$A:$BV,5,0)</f>
        <v>#N/A</v>
      </c>
      <c r="M11" s="121" t="s">
        <v>296</v>
      </c>
      <c r="N11" s="193" t="e">
        <f>VLOOKUP(N12,Preenchimento!$A:$BV,3,0)</f>
        <v>#N/A</v>
      </c>
      <c r="O11" s="193" t="e">
        <f>VLOOKUP(O12,Preenchimento!$A:$BV,3,0)</f>
        <v>#N/A</v>
      </c>
      <c r="P11" s="120" t="s">
        <v>297</v>
      </c>
      <c r="Q11" s="197" t="e">
        <f>VLOOKUP(N12,Preenchimento!$A:$BV,5,0)</f>
        <v>#N/A</v>
      </c>
      <c r="R11" s="198" t="e">
        <f>VLOOKUP(O12,Preenchimento!$A:$BV,5,0)</f>
        <v>#N/A</v>
      </c>
      <c r="S11" s="121" t="s">
        <v>296</v>
      </c>
      <c r="T11" s="193" t="e">
        <f>VLOOKUP(T12,Preenchimento!$A:$BV,3,0)</f>
        <v>#N/A</v>
      </c>
      <c r="U11" s="193" t="e">
        <f>VLOOKUP(U12,Preenchimento!$A:$BV,3,0)</f>
        <v>#N/A</v>
      </c>
      <c r="V11" s="120" t="s">
        <v>297</v>
      </c>
      <c r="W11" s="197" t="e">
        <f>VLOOKUP(T12,Preenchimento!$A:$BV,5,0)</f>
        <v>#N/A</v>
      </c>
      <c r="X11" s="198" t="e">
        <f>VLOOKUP(U12,Preenchimento!$A:$BV,5,0)</f>
        <v>#N/A</v>
      </c>
      <c r="Y11"/>
    </row>
    <row r="12" spans="1:25" ht="9.75" customHeight="1" x14ac:dyDescent="0.25">
      <c r="A12" s="121" t="s">
        <v>298</v>
      </c>
      <c r="B12" s="193"/>
      <c r="C12" s="193"/>
      <c r="D12" s="120" t="s">
        <v>299</v>
      </c>
      <c r="F12" s="131" t="e">
        <f>VLOOKUP(B12,Preenchimento!$A:$BV,10,0)</f>
        <v>#N/A</v>
      </c>
      <c r="G12" s="121" t="s">
        <v>298</v>
      </c>
      <c r="H12" s="193"/>
      <c r="I12" s="193"/>
      <c r="J12" s="120" t="s">
        <v>299</v>
      </c>
      <c r="L12" s="131" t="e">
        <f>VLOOKUP(H12,Preenchimento!$A:$BV,10,0)</f>
        <v>#N/A</v>
      </c>
      <c r="M12" s="121" t="s">
        <v>298</v>
      </c>
      <c r="N12" s="193"/>
      <c r="O12" s="193"/>
      <c r="P12" s="120" t="s">
        <v>299</v>
      </c>
      <c r="R12" s="131" t="e">
        <f>VLOOKUP(N12,Preenchimento!$A:$BV,10,0)</f>
        <v>#N/A</v>
      </c>
      <c r="S12" s="121" t="s">
        <v>298</v>
      </c>
      <c r="T12" s="193"/>
      <c r="U12" s="193"/>
      <c r="V12" s="120" t="s">
        <v>299</v>
      </c>
      <c r="X12" s="131" t="e">
        <f>VLOOKUP(T12,Preenchimento!$A:$BV,10,0)</f>
        <v>#N/A</v>
      </c>
      <c r="Y12"/>
    </row>
    <row r="13" spans="1:25" ht="9.75" customHeight="1" x14ac:dyDescent="0.25">
      <c r="A13" s="121" t="s">
        <v>300</v>
      </c>
      <c r="C13" s="193" t="e">
        <f>VLOOKUP(B12,Preenchimento!$A:$BV,12,0)</f>
        <v>#N/A</v>
      </c>
      <c r="D13" s="193" t="e">
        <f>VLOOKUP(C12,Preenchimento!$A:$BV,12,0)</f>
        <v>#N/A</v>
      </c>
      <c r="E13" s="193" t="e">
        <f>VLOOKUP(D12,Preenchimento!$A:$BV,12,0)</f>
        <v>#N/A</v>
      </c>
      <c r="F13" s="194" t="e">
        <f>VLOOKUP(E12,Preenchimento!$A:$BV,12,0)</f>
        <v>#N/A</v>
      </c>
      <c r="G13" s="121" t="s">
        <v>300</v>
      </c>
      <c r="I13" s="193" t="e">
        <f>VLOOKUP(H12,Preenchimento!$A:$BV,12,0)</f>
        <v>#N/A</v>
      </c>
      <c r="J13" s="193" t="e">
        <f>VLOOKUP(I12,Preenchimento!$A:$BV,12,0)</f>
        <v>#N/A</v>
      </c>
      <c r="K13" s="193" t="e">
        <f>VLOOKUP(J12,Preenchimento!$A:$BV,12,0)</f>
        <v>#N/A</v>
      </c>
      <c r="L13" s="194" t="e">
        <f>VLOOKUP(K12,Preenchimento!$A:$BV,12,0)</f>
        <v>#N/A</v>
      </c>
      <c r="M13" s="121" t="s">
        <v>300</v>
      </c>
      <c r="O13" s="193" t="e">
        <f>VLOOKUP(N12,Preenchimento!$A:$BV,12,0)</f>
        <v>#N/A</v>
      </c>
      <c r="P13" s="193" t="e">
        <f>VLOOKUP(O12,Preenchimento!$A:$BV,12,0)</f>
        <v>#N/A</v>
      </c>
      <c r="Q13" s="193" t="e">
        <f>VLOOKUP(P12,Preenchimento!$A:$BV,12,0)</f>
        <v>#N/A</v>
      </c>
      <c r="R13" s="194" t="e">
        <f>VLOOKUP(Q12,Preenchimento!$A:$BV,12,0)</f>
        <v>#N/A</v>
      </c>
      <c r="S13" s="121" t="s">
        <v>300</v>
      </c>
      <c r="U13" s="193" t="e">
        <f>VLOOKUP(T12,Preenchimento!$A:$BV,12,0)</f>
        <v>#N/A</v>
      </c>
      <c r="V13" s="193" t="e">
        <f>VLOOKUP(U12,Preenchimento!$A:$BV,12,0)</f>
        <v>#N/A</v>
      </c>
      <c r="W13" s="193" t="e">
        <f>VLOOKUP(V12,Preenchimento!$A:$BV,12,0)</f>
        <v>#N/A</v>
      </c>
      <c r="X13" s="194" t="e">
        <f>VLOOKUP(W12,Preenchimento!$A:$BV,12,0)</f>
        <v>#N/A</v>
      </c>
      <c r="Y13"/>
    </row>
    <row r="14" spans="1:25" ht="9.75" customHeight="1" x14ac:dyDescent="0.25">
      <c r="A14" s="123" t="s">
        <v>301</v>
      </c>
      <c r="B14" s="195" t="e">
        <f>IF(VLOOKUP(B12,Preenchimento!$A:$BV,11,0)=0,"",VLOOKUP(B12,Preenchimento!$A:$BV,11,0))</f>
        <v>#N/A</v>
      </c>
      <c r="C14" s="195"/>
      <c r="D14" s="195"/>
      <c r="E14" s="195"/>
      <c r="F14" s="196"/>
      <c r="G14" s="123" t="s">
        <v>301</v>
      </c>
      <c r="H14" s="195" t="e">
        <f>IF(VLOOKUP(H12,Preenchimento!$A:$BV,11,0)=0,"",VLOOKUP(H12,Preenchimento!$A:$BV,11,0))</f>
        <v>#N/A</v>
      </c>
      <c r="I14" s="195"/>
      <c r="J14" s="195"/>
      <c r="K14" s="195"/>
      <c r="L14" s="196"/>
      <c r="M14" s="123" t="s">
        <v>301</v>
      </c>
      <c r="N14" s="195" t="e">
        <f>IF(VLOOKUP(N12,Preenchimento!$A:$BV,11,0)=0,"",VLOOKUP(N12,Preenchimento!$A:$BV,11,0))</f>
        <v>#N/A</v>
      </c>
      <c r="O14" s="195"/>
      <c r="P14" s="195"/>
      <c r="Q14" s="195"/>
      <c r="R14" s="196"/>
      <c r="S14" s="123" t="s">
        <v>301</v>
      </c>
      <c r="T14" s="195" t="e">
        <f>IF(VLOOKUP(T12,Preenchimento!$A:$BV,11,0)=0,"",VLOOKUP(T12,Preenchimento!$A:$BV,11,0))</f>
        <v>#N/A</v>
      </c>
      <c r="U14" s="195"/>
      <c r="V14" s="195"/>
      <c r="W14" s="195"/>
      <c r="X14" s="196"/>
      <c r="Y14"/>
    </row>
    <row r="15" spans="1:25" s="130" customFormat="1" ht="33.950000000000003" customHeight="1" x14ac:dyDescent="0.25">
      <c r="A15" s="199" t="str">
        <f>Sitio!$A$3</f>
        <v>Projeto 01</v>
      </c>
      <c r="B15" s="200"/>
      <c r="C15" s="200"/>
      <c r="D15" s="200"/>
      <c r="E15" s="200"/>
      <c r="F15" s="201"/>
      <c r="G15" s="199" t="str">
        <f>Sitio!$A$3</f>
        <v>Projeto 01</v>
      </c>
      <c r="H15" s="200"/>
      <c r="I15" s="200"/>
      <c r="J15" s="200"/>
      <c r="K15" s="200"/>
      <c r="L15" s="201"/>
      <c r="M15" s="199" t="str">
        <f>Sitio!$A$3</f>
        <v>Projeto 01</v>
      </c>
      <c r="N15" s="200"/>
      <c r="O15" s="200"/>
      <c r="P15" s="200"/>
      <c r="Q15" s="200"/>
      <c r="R15" s="201"/>
      <c r="S15" s="199" t="str">
        <f>Sitio!$A$3</f>
        <v>Projeto 01</v>
      </c>
      <c r="T15" s="200"/>
      <c r="U15" s="200"/>
      <c r="V15" s="200"/>
      <c r="W15" s="200"/>
      <c r="X15" s="201"/>
      <c r="Y15" s="129"/>
    </row>
    <row r="16" spans="1:25" ht="9.75" customHeight="1" x14ac:dyDescent="0.25">
      <c r="A16" s="121" t="s">
        <v>294</v>
      </c>
      <c r="B16" s="193">
        <f>Sitio!$E$3</f>
        <v>0</v>
      </c>
      <c r="C16" s="193"/>
      <c r="D16" s="193"/>
      <c r="E16" s="193"/>
      <c r="F16" s="194"/>
      <c r="G16" s="121" t="s">
        <v>294</v>
      </c>
      <c r="H16" s="193">
        <f>Sitio!$E$3</f>
        <v>0</v>
      </c>
      <c r="I16" s="193"/>
      <c r="J16" s="193"/>
      <c r="K16" s="193"/>
      <c r="L16" s="194"/>
      <c r="M16" s="121" t="s">
        <v>294</v>
      </c>
      <c r="N16" s="193">
        <f>Sitio!$E$3</f>
        <v>0</v>
      </c>
      <c r="O16" s="193"/>
      <c r="P16" s="193"/>
      <c r="Q16" s="193"/>
      <c r="R16" s="194"/>
      <c r="S16" s="121" t="s">
        <v>294</v>
      </c>
      <c r="T16" s="193">
        <f>Sitio!$E$3</f>
        <v>0</v>
      </c>
      <c r="U16" s="193"/>
      <c r="V16" s="193"/>
      <c r="W16" s="193"/>
      <c r="X16" s="194"/>
      <c r="Y16"/>
    </row>
    <row r="17" spans="1:25" ht="9.75" customHeight="1" x14ac:dyDescent="0.25">
      <c r="A17" s="121" t="s">
        <v>295</v>
      </c>
      <c r="C17" s="193" t="e">
        <f>VLOOKUP(B19,Preenchimento!$A:$BV,2,0)</f>
        <v>#N/A</v>
      </c>
      <c r="D17" s="193" t="e">
        <f>VLOOKUP(C19,Preenchimento!$A:$BV,2,0)</f>
        <v>#N/A</v>
      </c>
      <c r="E17" s="193" t="e">
        <f>VLOOKUP(D19,Preenchimento!$A:$BV,2,0)</f>
        <v>#N/A</v>
      </c>
      <c r="F17" s="194" t="e">
        <f>VLOOKUP(E19,Preenchimento!$A:$BV,2,0)</f>
        <v>#N/A</v>
      </c>
      <c r="G17" s="121" t="s">
        <v>295</v>
      </c>
      <c r="I17" s="193" t="e">
        <f>VLOOKUP(H19,Preenchimento!$A:$BV,2,0)</f>
        <v>#N/A</v>
      </c>
      <c r="J17" s="193" t="e">
        <f>VLOOKUP(I19,Preenchimento!$A:$BV,2,0)</f>
        <v>#N/A</v>
      </c>
      <c r="K17" s="193" t="e">
        <f>VLOOKUP(J19,Preenchimento!$A:$BV,2,0)</f>
        <v>#N/A</v>
      </c>
      <c r="L17" s="194" t="e">
        <f>VLOOKUP(K19,Preenchimento!$A:$BV,2,0)</f>
        <v>#N/A</v>
      </c>
      <c r="M17" s="121" t="s">
        <v>295</v>
      </c>
      <c r="O17" s="193" t="e">
        <f>VLOOKUP(N19,Preenchimento!$A:$BV,2,0)</f>
        <v>#N/A</v>
      </c>
      <c r="P17" s="193" t="e">
        <f>VLOOKUP(O19,Preenchimento!$A:$BV,2,0)</f>
        <v>#N/A</v>
      </c>
      <c r="Q17" s="193" t="e">
        <f>VLOOKUP(P19,Preenchimento!$A:$BV,2,0)</f>
        <v>#N/A</v>
      </c>
      <c r="R17" s="194" t="e">
        <f>VLOOKUP(Q19,Preenchimento!$A:$BV,2,0)</f>
        <v>#N/A</v>
      </c>
      <c r="S17" s="121" t="s">
        <v>295</v>
      </c>
      <c r="U17" s="193" t="e">
        <f>VLOOKUP(T19,Preenchimento!$A:$BV,2,0)</f>
        <v>#N/A</v>
      </c>
      <c r="V17" s="193" t="e">
        <f>VLOOKUP(U19,Preenchimento!$A:$BV,2,0)</f>
        <v>#N/A</v>
      </c>
      <c r="W17" s="193" t="e">
        <f>VLOOKUP(V19,Preenchimento!$A:$BV,2,0)</f>
        <v>#N/A</v>
      </c>
      <c r="X17" s="194" t="e">
        <f>VLOOKUP(W19,Preenchimento!$A:$BV,2,0)</f>
        <v>#N/A</v>
      </c>
      <c r="Y17"/>
    </row>
    <row r="18" spans="1:25" ht="9.75" customHeight="1" x14ac:dyDescent="0.25">
      <c r="A18" s="121" t="s">
        <v>296</v>
      </c>
      <c r="B18" s="193" t="e">
        <f>VLOOKUP(B19,Preenchimento!$A:$BV,3,0)</f>
        <v>#N/A</v>
      </c>
      <c r="C18" s="193" t="e">
        <f>VLOOKUP(C19,Preenchimento!$A:$BV,3,0)</f>
        <v>#N/A</v>
      </c>
      <c r="D18" s="120" t="s">
        <v>297</v>
      </c>
      <c r="E18" s="197" t="e">
        <f>VLOOKUP(B19,Preenchimento!$A:$BV,5,0)</f>
        <v>#N/A</v>
      </c>
      <c r="F18" s="198" t="e">
        <f>VLOOKUP(C19,Preenchimento!$A:$BV,5,0)</f>
        <v>#N/A</v>
      </c>
      <c r="G18" s="121" t="s">
        <v>296</v>
      </c>
      <c r="H18" s="193" t="e">
        <f>VLOOKUP(H19,Preenchimento!$A:$BV,3,0)</f>
        <v>#N/A</v>
      </c>
      <c r="I18" s="193" t="e">
        <f>VLOOKUP(I19,Preenchimento!$A:$BV,3,0)</f>
        <v>#N/A</v>
      </c>
      <c r="J18" s="120" t="s">
        <v>297</v>
      </c>
      <c r="K18" s="197" t="e">
        <f>VLOOKUP(H19,Preenchimento!$A:$BV,5,0)</f>
        <v>#N/A</v>
      </c>
      <c r="L18" s="198" t="e">
        <f>VLOOKUP(I19,Preenchimento!$A:$BV,5,0)</f>
        <v>#N/A</v>
      </c>
      <c r="M18" s="121" t="s">
        <v>296</v>
      </c>
      <c r="N18" s="193" t="e">
        <f>VLOOKUP(N19,Preenchimento!$A:$BV,3,0)</f>
        <v>#N/A</v>
      </c>
      <c r="O18" s="193" t="e">
        <f>VLOOKUP(O19,Preenchimento!$A:$BV,3,0)</f>
        <v>#N/A</v>
      </c>
      <c r="P18" s="120" t="s">
        <v>297</v>
      </c>
      <c r="Q18" s="197" t="e">
        <f>VLOOKUP(N19,Preenchimento!$A:$BV,5,0)</f>
        <v>#N/A</v>
      </c>
      <c r="R18" s="198" t="e">
        <f>VLOOKUP(O19,Preenchimento!$A:$BV,5,0)</f>
        <v>#N/A</v>
      </c>
      <c r="S18" s="121" t="s">
        <v>296</v>
      </c>
      <c r="T18" s="193" t="e">
        <f>VLOOKUP(T19,Preenchimento!$A:$BV,3,0)</f>
        <v>#N/A</v>
      </c>
      <c r="U18" s="193" t="e">
        <f>VLOOKUP(U19,Preenchimento!$A:$BV,3,0)</f>
        <v>#N/A</v>
      </c>
      <c r="V18" s="120" t="s">
        <v>297</v>
      </c>
      <c r="W18" s="197" t="e">
        <f>VLOOKUP(T19,Preenchimento!$A:$BV,5,0)</f>
        <v>#N/A</v>
      </c>
      <c r="X18" s="198" t="e">
        <f>VLOOKUP(U19,Preenchimento!$A:$BV,5,0)</f>
        <v>#N/A</v>
      </c>
      <c r="Y18"/>
    </row>
    <row r="19" spans="1:25" ht="9.75" customHeight="1" x14ac:dyDescent="0.25">
      <c r="A19" s="121" t="s">
        <v>298</v>
      </c>
      <c r="B19" s="193"/>
      <c r="C19" s="193"/>
      <c r="D19" s="120" t="s">
        <v>299</v>
      </c>
      <c r="F19" s="131" t="e">
        <f>VLOOKUP(B19,Preenchimento!$A:$BV,10,0)</f>
        <v>#N/A</v>
      </c>
      <c r="G19" s="121" t="s">
        <v>298</v>
      </c>
      <c r="H19" s="193"/>
      <c r="I19" s="193"/>
      <c r="J19" s="120" t="s">
        <v>299</v>
      </c>
      <c r="L19" s="131" t="e">
        <f>VLOOKUP(H19,Preenchimento!$A:$BV,10,0)</f>
        <v>#N/A</v>
      </c>
      <c r="M19" s="121" t="s">
        <v>298</v>
      </c>
      <c r="N19" s="193"/>
      <c r="O19" s="193"/>
      <c r="P19" s="120" t="s">
        <v>299</v>
      </c>
      <c r="R19" s="131" t="e">
        <f>VLOOKUP(N19,Preenchimento!$A:$BV,10,0)</f>
        <v>#N/A</v>
      </c>
      <c r="S19" s="121" t="s">
        <v>298</v>
      </c>
      <c r="T19" s="193"/>
      <c r="U19" s="193"/>
      <c r="V19" s="120" t="s">
        <v>299</v>
      </c>
      <c r="X19" s="131" t="e">
        <f>VLOOKUP(T19,Preenchimento!$A:$BV,10,0)</f>
        <v>#N/A</v>
      </c>
      <c r="Y19"/>
    </row>
    <row r="20" spans="1:25" ht="9.75" customHeight="1" x14ac:dyDescent="0.25">
      <c r="A20" s="121" t="s">
        <v>300</v>
      </c>
      <c r="C20" s="193" t="e">
        <f>VLOOKUP(B19,Preenchimento!$A:$BV,12,0)</f>
        <v>#N/A</v>
      </c>
      <c r="D20" s="193" t="e">
        <f>VLOOKUP(C19,Preenchimento!$A:$BV,12,0)</f>
        <v>#N/A</v>
      </c>
      <c r="E20" s="193" t="e">
        <f>VLOOKUP(D19,Preenchimento!$A:$BV,12,0)</f>
        <v>#N/A</v>
      </c>
      <c r="F20" s="194" t="e">
        <f>VLOOKUP(E19,Preenchimento!$A:$BV,12,0)</f>
        <v>#N/A</v>
      </c>
      <c r="G20" s="121" t="s">
        <v>300</v>
      </c>
      <c r="I20" s="193" t="e">
        <f>VLOOKUP(H19,Preenchimento!$A:$BV,12,0)</f>
        <v>#N/A</v>
      </c>
      <c r="J20" s="193" t="e">
        <f>VLOOKUP(I19,Preenchimento!$A:$BV,12,0)</f>
        <v>#N/A</v>
      </c>
      <c r="K20" s="193" t="e">
        <f>VLOOKUP(J19,Preenchimento!$A:$BV,12,0)</f>
        <v>#N/A</v>
      </c>
      <c r="L20" s="194" t="e">
        <f>VLOOKUP(K19,Preenchimento!$A:$BV,12,0)</f>
        <v>#N/A</v>
      </c>
      <c r="M20" s="121" t="s">
        <v>300</v>
      </c>
      <c r="O20" s="193" t="e">
        <f>VLOOKUP(N19,Preenchimento!$A:$BV,12,0)</f>
        <v>#N/A</v>
      </c>
      <c r="P20" s="193" t="e">
        <f>VLOOKUP(O19,Preenchimento!$A:$BV,12,0)</f>
        <v>#N/A</v>
      </c>
      <c r="Q20" s="193" t="e">
        <f>VLOOKUP(P19,Preenchimento!$A:$BV,12,0)</f>
        <v>#N/A</v>
      </c>
      <c r="R20" s="194" t="e">
        <f>VLOOKUP(Q19,Preenchimento!$A:$BV,12,0)</f>
        <v>#N/A</v>
      </c>
      <c r="S20" s="121" t="s">
        <v>300</v>
      </c>
      <c r="U20" s="193" t="e">
        <f>VLOOKUP(T19,Preenchimento!$A:$BV,12,0)</f>
        <v>#N/A</v>
      </c>
      <c r="V20" s="193" t="e">
        <f>VLOOKUP(U19,Preenchimento!$A:$BV,12,0)</f>
        <v>#N/A</v>
      </c>
      <c r="W20" s="193" t="e">
        <f>VLOOKUP(V19,Preenchimento!$A:$BV,12,0)</f>
        <v>#N/A</v>
      </c>
      <c r="X20" s="194" t="e">
        <f>VLOOKUP(W19,Preenchimento!$A:$BV,12,0)</f>
        <v>#N/A</v>
      </c>
      <c r="Y20"/>
    </row>
    <row r="21" spans="1:25" ht="9.75" customHeight="1" x14ac:dyDescent="0.25">
      <c r="A21" s="123" t="s">
        <v>301</v>
      </c>
      <c r="B21" s="195" t="e">
        <f>IF(VLOOKUP(B19,Preenchimento!$A:$BV,11,0)=0,"",VLOOKUP(B19,Preenchimento!$A:$BV,11,0))</f>
        <v>#N/A</v>
      </c>
      <c r="C21" s="195"/>
      <c r="D21" s="195"/>
      <c r="E21" s="195"/>
      <c r="F21" s="196"/>
      <c r="G21" s="123" t="s">
        <v>301</v>
      </c>
      <c r="H21" s="195" t="e">
        <f>IF(VLOOKUP(H19,Preenchimento!$A:$BV,11,0)=0,"",VLOOKUP(H19,Preenchimento!$A:$BV,11,0))</f>
        <v>#N/A</v>
      </c>
      <c r="I21" s="195"/>
      <c r="J21" s="195"/>
      <c r="K21" s="195"/>
      <c r="L21" s="196"/>
      <c r="M21" s="123" t="s">
        <v>301</v>
      </c>
      <c r="N21" s="195" t="e">
        <f>IF(VLOOKUP(N19,Preenchimento!$A:$BV,11,0)=0,"",VLOOKUP(N19,Preenchimento!$A:$BV,11,0))</f>
        <v>#N/A</v>
      </c>
      <c r="O21" s="195"/>
      <c r="P21" s="195"/>
      <c r="Q21" s="195"/>
      <c r="R21" s="196"/>
      <c r="S21" s="123" t="s">
        <v>301</v>
      </c>
      <c r="T21" s="195" t="e">
        <f>IF(VLOOKUP(T19,Preenchimento!$A:$BV,11,0)=0,"",VLOOKUP(T19,Preenchimento!$A:$BV,11,0))</f>
        <v>#N/A</v>
      </c>
      <c r="U21" s="195"/>
      <c r="V21" s="195"/>
      <c r="W21" s="195"/>
      <c r="X21" s="196"/>
      <c r="Y21"/>
    </row>
    <row r="22" spans="1:25" s="130" customFormat="1" ht="33.950000000000003" customHeight="1" x14ac:dyDescent="0.25">
      <c r="A22" s="199" t="str">
        <f>Sitio!$A$3</f>
        <v>Projeto 01</v>
      </c>
      <c r="B22" s="200"/>
      <c r="C22" s="200"/>
      <c r="D22" s="200"/>
      <c r="E22" s="200"/>
      <c r="F22" s="201"/>
      <c r="G22" s="199" t="str">
        <f>Sitio!$A$3</f>
        <v>Projeto 01</v>
      </c>
      <c r="H22" s="200"/>
      <c r="I22" s="200"/>
      <c r="J22" s="200"/>
      <c r="K22" s="200"/>
      <c r="L22" s="201"/>
      <c r="M22" s="199" t="str">
        <f>Sitio!$A$3</f>
        <v>Projeto 01</v>
      </c>
      <c r="N22" s="200"/>
      <c r="O22" s="200"/>
      <c r="P22" s="200"/>
      <c r="Q22" s="200"/>
      <c r="R22" s="201"/>
      <c r="S22" s="199" t="str">
        <f>Sitio!$A$3</f>
        <v>Projeto 01</v>
      </c>
      <c r="T22" s="200"/>
      <c r="U22" s="200"/>
      <c r="V22" s="200"/>
      <c r="W22" s="200"/>
      <c r="X22" s="201"/>
      <c r="Y22" s="129"/>
    </row>
    <row r="23" spans="1:25" ht="9.75" customHeight="1" x14ac:dyDescent="0.25">
      <c r="A23" s="121" t="s">
        <v>294</v>
      </c>
      <c r="B23" s="193">
        <f>Sitio!$E$3</f>
        <v>0</v>
      </c>
      <c r="C23" s="193"/>
      <c r="D23" s="193"/>
      <c r="E23" s="193"/>
      <c r="F23" s="194"/>
      <c r="G23" s="121" t="s">
        <v>294</v>
      </c>
      <c r="H23" s="193">
        <f>Sitio!$E$3</f>
        <v>0</v>
      </c>
      <c r="I23" s="193"/>
      <c r="J23" s="193"/>
      <c r="K23" s="193"/>
      <c r="L23" s="194"/>
      <c r="M23" s="121" t="s">
        <v>294</v>
      </c>
      <c r="N23" s="193">
        <f>Sitio!$E$3</f>
        <v>0</v>
      </c>
      <c r="O23" s="193"/>
      <c r="P23" s="193"/>
      <c r="Q23" s="193"/>
      <c r="R23" s="194"/>
      <c r="S23" s="121" t="s">
        <v>294</v>
      </c>
      <c r="T23" s="193">
        <f>Sitio!$E$3</f>
        <v>0</v>
      </c>
      <c r="U23" s="193"/>
      <c r="V23" s="193"/>
      <c r="W23" s="193"/>
      <c r="X23" s="194"/>
      <c r="Y23"/>
    </row>
    <row r="24" spans="1:25" ht="9.75" customHeight="1" x14ac:dyDescent="0.25">
      <c r="A24" s="121" t="s">
        <v>295</v>
      </c>
      <c r="C24" s="193" t="e">
        <f>VLOOKUP(B26,Preenchimento!$A:$BV,2,0)</f>
        <v>#N/A</v>
      </c>
      <c r="D24" s="193" t="e">
        <f>VLOOKUP(C26,Preenchimento!$A:$BV,2,0)</f>
        <v>#N/A</v>
      </c>
      <c r="E24" s="193" t="e">
        <f>VLOOKUP(D26,Preenchimento!$A:$BV,2,0)</f>
        <v>#N/A</v>
      </c>
      <c r="F24" s="194" t="e">
        <f>VLOOKUP(E26,Preenchimento!$A:$BV,2,0)</f>
        <v>#N/A</v>
      </c>
      <c r="G24" s="121" t="s">
        <v>295</v>
      </c>
      <c r="I24" s="193" t="e">
        <f>VLOOKUP(H26,Preenchimento!$A:$BV,2,0)</f>
        <v>#N/A</v>
      </c>
      <c r="J24" s="193" t="e">
        <f>VLOOKUP(I26,Preenchimento!$A:$BV,2,0)</f>
        <v>#N/A</v>
      </c>
      <c r="K24" s="193" t="e">
        <f>VLOOKUP(J26,Preenchimento!$A:$BV,2,0)</f>
        <v>#N/A</v>
      </c>
      <c r="L24" s="194" t="e">
        <f>VLOOKUP(K26,Preenchimento!$A:$BV,2,0)</f>
        <v>#N/A</v>
      </c>
      <c r="M24" s="121" t="s">
        <v>295</v>
      </c>
      <c r="O24" s="193" t="e">
        <f>VLOOKUP(N26,Preenchimento!$A:$BV,2,0)</f>
        <v>#N/A</v>
      </c>
      <c r="P24" s="193" t="e">
        <f>VLOOKUP(O26,Preenchimento!$A:$BV,2,0)</f>
        <v>#N/A</v>
      </c>
      <c r="Q24" s="193" t="e">
        <f>VLOOKUP(P26,Preenchimento!$A:$BV,2,0)</f>
        <v>#N/A</v>
      </c>
      <c r="R24" s="194" t="e">
        <f>VLOOKUP(Q26,Preenchimento!$A:$BV,2,0)</f>
        <v>#N/A</v>
      </c>
      <c r="S24" s="121" t="s">
        <v>295</v>
      </c>
      <c r="U24" s="193" t="e">
        <f>VLOOKUP(T26,Preenchimento!$A:$BV,2,0)</f>
        <v>#N/A</v>
      </c>
      <c r="V24" s="193" t="e">
        <f>VLOOKUP(U26,Preenchimento!$A:$BV,2,0)</f>
        <v>#N/A</v>
      </c>
      <c r="W24" s="193" t="e">
        <f>VLOOKUP(V26,Preenchimento!$A:$BV,2,0)</f>
        <v>#N/A</v>
      </c>
      <c r="X24" s="194" t="e">
        <f>VLOOKUP(W26,Preenchimento!$A:$BV,2,0)</f>
        <v>#N/A</v>
      </c>
      <c r="Y24"/>
    </row>
    <row r="25" spans="1:25" ht="9.75" customHeight="1" x14ac:dyDescent="0.25">
      <c r="A25" s="121" t="s">
        <v>296</v>
      </c>
      <c r="B25" s="193" t="e">
        <f>VLOOKUP(B26,Preenchimento!$A:$BV,3,0)</f>
        <v>#N/A</v>
      </c>
      <c r="C25" s="193" t="e">
        <f>VLOOKUP(C26,Preenchimento!$A:$BV,3,0)</f>
        <v>#N/A</v>
      </c>
      <c r="D25" s="120" t="s">
        <v>297</v>
      </c>
      <c r="E25" s="197" t="e">
        <f>VLOOKUP(B26,Preenchimento!$A:$BV,5,0)</f>
        <v>#N/A</v>
      </c>
      <c r="F25" s="198" t="e">
        <f>VLOOKUP(C26,Preenchimento!$A:$BV,5,0)</f>
        <v>#N/A</v>
      </c>
      <c r="G25" s="121" t="s">
        <v>296</v>
      </c>
      <c r="H25" s="193" t="e">
        <f>VLOOKUP(H26,Preenchimento!$A:$BV,3,0)</f>
        <v>#N/A</v>
      </c>
      <c r="I25" s="193" t="e">
        <f>VLOOKUP(I26,Preenchimento!$A:$BV,3,0)</f>
        <v>#N/A</v>
      </c>
      <c r="J25" s="120" t="s">
        <v>297</v>
      </c>
      <c r="K25" s="197" t="e">
        <f>VLOOKUP(H26,Preenchimento!$A:$BV,5,0)</f>
        <v>#N/A</v>
      </c>
      <c r="L25" s="198" t="e">
        <f>VLOOKUP(I26,Preenchimento!$A:$BV,5,0)</f>
        <v>#N/A</v>
      </c>
      <c r="M25" s="121" t="s">
        <v>296</v>
      </c>
      <c r="N25" s="193" t="e">
        <f>VLOOKUP(N26,Preenchimento!$A:$BV,3,0)</f>
        <v>#N/A</v>
      </c>
      <c r="O25" s="193" t="e">
        <f>VLOOKUP(O26,Preenchimento!$A:$BV,3,0)</f>
        <v>#N/A</v>
      </c>
      <c r="P25" s="120" t="s">
        <v>297</v>
      </c>
      <c r="Q25" s="197" t="e">
        <f>VLOOKUP(N26,Preenchimento!$A:$BV,5,0)</f>
        <v>#N/A</v>
      </c>
      <c r="R25" s="198" t="e">
        <f>VLOOKUP(O26,Preenchimento!$A:$BV,5,0)</f>
        <v>#N/A</v>
      </c>
      <c r="S25" s="121" t="s">
        <v>296</v>
      </c>
      <c r="T25" s="193" t="e">
        <f>VLOOKUP(T26,Preenchimento!$A:$BV,3,0)</f>
        <v>#N/A</v>
      </c>
      <c r="U25" s="193" t="e">
        <f>VLOOKUP(U26,Preenchimento!$A:$BV,3,0)</f>
        <v>#N/A</v>
      </c>
      <c r="V25" s="120" t="s">
        <v>297</v>
      </c>
      <c r="W25" s="197" t="e">
        <f>VLOOKUP(T26,Preenchimento!$A:$BV,5,0)</f>
        <v>#N/A</v>
      </c>
      <c r="X25" s="198" t="e">
        <f>VLOOKUP(U26,Preenchimento!$A:$BV,5,0)</f>
        <v>#N/A</v>
      </c>
      <c r="Y25"/>
    </row>
    <row r="26" spans="1:25" ht="9.75" customHeight="1" x14ac:dyDescent="0.25">
      <c r="A26" s="121" t="s">
        <v>298</v>
      </c>
      <c r="B26" s="193"/>
      <c r="C26" s="193"/>
      <c r="D26" s="120" t="s">
        <v>299</v>
      </c>
      <c r="F26" s="131" t="e">
        <f>VLOOKUP(B26,Preenchimento!$A:$BV,10,0)</f>
        <v>#N/A</v>
      </c>
      <c r="G26" s="121" t="s">
        <v>298</v>
      </c>
      <c r="H26" s="193"/>
      <c r="I26" s="193"/>
      <c r="J26" s="120" t="s">
        <v>299</v>
      </c>
      <c r="L26" s="131" t="e">
        <f>VLOOKUP(H26,Preenchimento!$A:$BV,10,0)</f>
        <v>#N/A</v>
      </c>
      <c r="M26" s="121" t="s">
        <v>298</v>
      </c>
      <c r="N26" s="193"/>
      <c r="O26" s="193"/>
      <c r="P26" s="120" t="s">
        <v>299</v>
      </c>
      <c r="R26" s="131" t="e">
        <f>VLOOKUP(N26,Preenchimento!$A:$BV,10,0)</f>
        <v>#N/A</v>
      </c>
      <c r="S26" s="121" t="s">
        <v>298</v>
      </c>
      <c r="T26" s="193"/>
      <c r="U26" s="193"/>
      <c r="V26" s="120" t="s">
        <v>299</v>
      </c>
      <c r="X26" s="131" t="e">
        <f>VLOOKUP(T26,Preenchimento!$A:$BV,10,0)</f>
        <v>#N/A</v>
      </c>
      <c r="Y26"/>
    </row>
    <row r="27" spans="1:25" ht="9.75" customHeight="1" x14ac:dyDescent="0.25">
      <c r="A27" s="121" t="s">
        <v>300</v>
      </c>
      <c r="C27" s="193" t="e">
        <f>VLOOKUP(B26,Preenchimento!$A:$BV,12,0)</f>
        <v>#N/A</v>
      </c>
      <c r="D27" s="193" t="e">
        <f>VLOOKUP(C26,Preenchimento!$A:$BV,12,0)</f>
        <v>#N/A</v>
      </c>
      <c r="E27" s="193" t="e">
        <f>VLOOKUP(D26,Preenchimento!$A:$BV,12,0)</f>
        <v>#N/A</v>
      </c>
      <c r="F27" s="194" t="e">
        <f>VLOOKUP(E26,Preenchimento!$A:$BV,12,0)</f>
        <v>#N/A</v>
      </c>
      <c r="G27" s="121" t="s">
        <v>300</v>
      </c>
      <c r="I27" s="193" t="e">
        <f>VLOOKUP(H26,Preenchimento!$A:$BV,12,0)</f>
        <v>#N/A</v>
      </c>
      <c r="J27" s="193" t="e">
        <f>VLOOKUP(I26,Preenchimento!$A:$BV,12,0)</f>
        <v>#N/A</v>
      </c>
      <c r="K27" s="193" t="e">
        <f>VLOOKUP(J26,Preenchimento!$A:$BV,12,0)</f>
        <v>#N/A</v>
      </c>
      <c r="L27" s="194" t="e">
        <f>VLOOKUP(K26,Preenchimento!$A:$BV,12,0)</f>
        <v>#N/A</v>
      </c>
      <c r="M27" s="121" t="s">
        <v>300</v>
      </c>
      <c r="O27" s="193" t="e">
        <f>VLOOKUP(N26,Preenchimento!$A:$BV,12,0)</f>
        <v>#N/A</v>
      </c>
      <c r="P27" s="193" t="e">
        <f>VLOOKUP(O26,Preenchimento!$A:$BV,12,0)</f>
        <v>#N/A</v>
      </c>
      <c r="Q27" s="193" t="e">
        <f>VLOOKUP(P26,Preenchimento!$A:$BV,12,0)</f>
        <v>#N/A</v>
      </c>
      <c r="R27" s="194" t="e">
        <f>VLOOKUP(Q26,Preenchimento!$A:$BV,12,0)</f>
        <v>#N/A</v>
      </c>
      <c r="S27" s="121" t="s">
        <v>300</v>
      </c>
      <c r="U27" s="193" t="e">
        <f>VLOOKUP(T26,Preenchimento!$A:$BV,12,0)</f>
        <v>#N/A</v>
      </c>
      <c r="V27" s="193" t="e">
        <f>VLOOKUP(U26,Preenchimento!$A:$BV,12,0)</f>
        <v>#N/A</v>
      </c>
      <c r="W27" s="193" t="e">
        <f>VLOOKUP(V26,Preenchimento!$A:$BV,12,0)</f>
        <v>#N/A</v>
      </c>
      <c r="X27" s="194" t="e">
        <f>VLOOKUP(W26,Preenchimento!$A:$BV,12,0)</f>
        <v>#N/A</v>
      </c>
      <c r="Y27"/>
    </row>
    <row r="28" spans="1:25" ht="9.75" customHeight="1" x14ac:dyDescent="0.25">
      <c r="A28" s="123" t="s">
        <v>301</v>
      </c>
      <c r="B28" s="195" t="e">
        <f>IF(VLOOKUP(B26,Preenchimento!$A:$BV,11,0)=0,"",VLOOKUP(B26,Preenchimento!$A:$BV,11,0))</f>
        <v>#N/A</v>
      </c>
      <c r="C28" s="195"/>
      <c r="D28" s="195"/>
      <c r="E28" s="195"/>
      <c r="F28" s="196"/>
      <c r="G28" s="123" t="s">
        <v>301</v>
      </c>
      <c r="H28" s="195" t="e">
        <f>IF(VLOOKUP(H26,Preenchimento!$A:$BV,11,0)=0,"",VLOOKUP(H26,Preenchimento!$A:$BV,11,0))</f>
        <v>#N/A</v>
      </c>
      <c r="I28" s="195"/>
      <c r="J28" s="195"/>
      <c r="K28" s="195"/>
      <c r="L28" s="196"/>
      <c r="M28" s="123" t="s">
        <v>301</v>
      </c>
      <c r="N28" s="195" t="e">
        <f>IF(VLOOKUP(N26,Preenchimento!$A:$BV,11,0)=0,"",VLOOKUP(N26,Preenchimento!$A:$BV,11,0))</f>
        <v>#N/A</v>
      </c>
      <c r="O28" s="195"/>
      <c r="P28" s="195"/>
      <c r="Q28" s="195"/>
      <c r="R28" s="196"/>
      <c r="S28" s="123" t="s">
        <v>301</v>
      </c>
      <c r="T28" s="195" t="e">
        <f>IF(VLOOKUP(T26,Preenchimento!$A:$BV,11,0)=0,"",VLOOKUP(T26,Preenchimento!$A:$BV,11,0))</f>
        <v>#N/A</v>
      </c>
      <c r="U28" s="195"/>
      <c r="V28" s="195"/>
      <c r="W28" s="195"/>
      <c r="X28" s="196"/>
      <c r="Y28"/>
    </row>
    <row r="29" spans="1:25" s="130" customFormat="1" ht="33.950000000000003" customHeight="1" x14ac:dyDescent="0.25">
      <c r="A29" s="199" t="str">
        <f>Sitio!$A$3</f>
        <v>Projeto 01</v>
      </c>
      <c r="B29" s="200"/>
      <c r="C29" s="200"/>
      <c r="D29" s="200"/>
      <c r="E29" s="200"/>
      <c r="F29" s="201"/>
      <c r="G29" s="199" t="str">
        <f>Sitio!$A$3</f>
        <v>Projeto 01</v>
      </c>
      <c r="H29" s="200"/>
      <c r="I29" s="200"/>
      <c r="J29" s="200"/>
      <c r="K29" s="200"/>
      <c r="L29" s="201"/>
      <c r="M29" s="199" t="str">
        <f>Sitio!$A$3</f>
        <v>Projeto 01</v>
      </c>
      <c r="N29" s="200"/>
      <c r="O29" s="200"/>
      <c r="P29" s="200"/>
      <c r="Q29" s="200"/>
      <c r="R29" s="201"/>
      <c r="S29" s="199" t="str">
        <f>Sitio!$A$3</f>
        <v>Projeto 01</v>
      </c>
      <c r="T29" s="200"/>
      <c r="U29" s="200"/>
      <c r="V29" s="200"/>
      <c r="W29" s="200"/>
      <c r="X29" s="201"/>
      <c r="Y29" s="129"/>
    </row>
    <row r="30" spans="1:25" ht="9.75" customHeight="1" x14ac:dyDescent="0.25">
      <c r="A30" s="121" t="s">
        <v>294</v>
      </c>
      <c r="B30" s="193">
        <f>Sitio!$E$3</f>
        <v>0</v>
      </c>
      <c r="C30" s="193"/>
      <c r="D30" s="193"/>
      <c r="E30" s="193"/>
      <c r="F30" s="194"/>
      <c r="G30" s="121" t="s">
        <v>294</v>
      </c>
      <c r="H30" s="193">
        <f>Sitio!$E$3</f>
        <v>0</v>
      </c>
      <c r="I30" s="193"/>
      <c r="J30" s="193"/>
      <c r="K30" s="193"/>
      <c r="L30" s="194"/>
      <c r="M30" s="121" t="s">
        <v>294</v>
      </c>
      <c r="N30" s="193">
        <f>Sitio!$E$3</f>
        <v>0</v>
      </c>
      <c r="O30" s="193"/>
      <c r="P30" s="193"/>
      <c r="Q30" s="193"/>
      <c r="R30" s="194"/>
      <c r="S30" s="121" t="s">
        <v>294</v>
      </c>
      <c r="T30" s="193">
        <f>Sitio!$E$3</f>
        <v>0</v>
      </c>
      <c r="U30" s="193"/>
      <c r="V30" s="193"/>
      <c r="W30" s="193"/>
      <c r="X30" s="194"/>
      <c r="Y30"/>
    </row>
    <row r="31" spans="1:25" ht="9.75" customHeight="1" x14ac:dyDescent="0.25">
      <c r="A31" s="121" t="s">
        <v>295</v>
      </c>
      <c r="C31" s="193" t="e">
        <f>VLOOKUP(B33,Preenchimento!$A:$BV,2,0)</f>
        <v>#N/A</v>
      </c>
      <c r="D31" s="193" t="e">
        <f>VLOOKUP(C33,Preenchimento!$A:$BV,2,0)</f>
        <v>#N/A</v>
      </c>
      <c r="E31" s="193" t="e">
        <f>VLOOKUP(D33,Preenchimento!$A:$BV,2,0)</f>
        <v>#N/A</v>
      </c>
      <c r="F31" s="194" t="e">
        <f>VLOOKUP(E33,Preenchimento!$A:$BV,2,0)</f>
        <v>#N/A</v>
      </c>
      <c r="G31" s="121" t="s">
        <v>295</v>
      </c>
      <c r="I31" s="193" t="e">
        <f>VLOOKUP(H33,Preenchimento!$A:$BV,2,0)</f>
        <v>#N/A</v>
      </c>
      <c r="J31" s="193" t="e">
        <f>VLOOKUP(I33,Preenchimento!$A:$BV,2,0)</f>
        <v>#N/A</v>
      </c>
      <c r="K31" s="193" t="e">
        <f>VLOOKUP(J33,Preenchimento!$A:$BV,2,0)</f>
        <v>#N/A</v>
      </c>
      <c r="L31" s="194" t="e">
        <f>VLOOKUP(K33,Preenchimento!$A:$BV,2,0)</f>
        <v>#N/A</v>
      </c>
      <c r="M31" s="121" t="s">
        <v>295</v>
      </c>
      <c r="O31" s="193" t="e">
        <f>VLOOKUP(N33,Preenchimento!$A:$BV,2,0)</f>
        <v>#N/A</v>
      </c>
      <c r="P31" s="193" t="e">
        <f>VLOOKUP(O33,Preenchimento!$A:$BV,2,0)</f>
        <v>#N/A</v>
      </c>
      <c r="Q31" s="193" t="e">
        <f>VLOOKUP(P33,Preenchimento!$A:$BV,2,0)</f>
        <v>#N/A</v>
      </c>
      <c r="R31" s="194" t="e">
        <f>VLOOKUP(Q33,Preenchimento!$A:$BV,2,0)</f>
        <v>#N/A</v>
      </c>
      <c r="S31" s="121" t="s">
        <v>295</v>
      </c>
      <c r="U31" s="193" t="e">
        <f>VLOOKUP(T33,Preenchimento!$A:$BV,2,0)</f>
        <v>#N/A</v>
      </c>
      <c r="V31" s="193" t="e">
        <f>VLOOKUP(U33,Preenchimento!$A:$BV,2,0)</f>
        <v>#N/A</v>
      </c>
      <c r="W31" s="193" t="e">
        <f>VLOOKUP(V33,Preenchimento!$A:$BV,2,0)</f>
        <v>#N/A</v>
      </c>
      <c r="X31" s="194" t="e">
        <f>VLOOKUP(W33,Preenchimento!$A:$BV,2,0)</f>
        <v>#N/A</v>
      </c>
      <c r="Y31"/>
    </row>
    <row r="32" spans="1:25" ht="9.75" customHeight="1" x14ac:dyDescent="0.25">
      <c r="A32" s="121" t="s">
        <v>296</v>
      </c>
      <c r="B32" s="193" t="e">
        <f>VLOOKUP(B33,Preenchimento!$A:$BV,3,0)</f>
        <v>#N/A</v>
      </c>
      <c r="C32" s="193" t="e">
        <f>VLOOKUP(C33,Preenchimento!$A:$BV,3,0)</f>
        <v>#N/A</v>
      </c>
      <c r="D32" s="120" t="s">
        <v>297</v>
      </c>
      <c r="E32" s="197" t="e">
        <f>VLOOKUP(B33,Preenchimento!$A:$BV,5,0)</f>
        <v>#N/A</v>
      </c>
      <c r="F32" s="198" t="e">
        <f>VLOOKUP(C33,Preenchimento!$A:$BV,5,0)</f>
        <v>#N/A</v>
      </c>
      <c r="G32" s="121" t="s">
        <v>296</v>
      </c>
      <c r="H32" s="193" t="e">
        <f>VLOOKUP(H33,Preenchimento!$A:$BV,3,0)</f>
        <v>#N/A</v>
      </c>
      <c r="I32" s="193" t="e">
        <f>VLOOKUP(I33,Preenchimento!$A:$BV,3,0)</f>
        <v>#N/A</v>
      </c>
      <c r="J32" s="120" t="s">
        <v>297</v>
      </c>
      <c r="K32" s="197" t="e">
        <f>VLOOKUP(H33,Preenchimento!$A:$BV,5,0)</f>
        <v>#N/A</v>
      </c>
      <c r="L32" s="198" t="e">
        <f>VLOOKUP(I33,Preenchimento!$A:$BV,5,0)</f>
        <v>#N/A</v>
      </c>
      <c r="M32" s="121" t="s">
        <v>296</v>
      </c>
      <c r="N32" s="193" t="e">
        <f>VLOOKUP(N33,Preenchimento!$A:$BV,3,0)</f>
        <v>#N/A</v>
      </c>
      <c r="O32" s="193" t="e">
        <f>VLOOKUP(O33,Preenchimento!$A:$BV,3,0)</f>
        <v>#N/A</v>
      </c>
      <c r="P32" s="120" t="s">
        <v>297</v>
      </c>
      <c r="Q32" s="197" t="e">
        <f>VLOOKUP(N33,Preenchimento!$A:$BV,5,0)</f>
        <v>#N/A</v>
      </c>
      <c r="R32" s="198" t="e">
        <f>VLOOKUP(O33,Preenchimento!$A:$BV,5,0)</f>
        <v>#N/A</v>
      </c>
      <c r="S32" s="121" t="s">
        <v>296</v>
      </c>
      <c r="T32" s="193" t="e">
        <f>VLOOKUP(T33,Preenchimento!$A:$BV,3,0)</f>
        <v>#N/A</v>
      </c>
      <c r="U32" s="193" t="e">
        <f>VLOOKUP(U33,Preenchimento!$A:$BV,3,0)</f>
        <v>#N/A</v>
      </c>
      <c r="V32" s="120" t="s">
        <v>297</v>
      </c>
      <c r="W32" s="197" t="e">
        <f>VLOOKUP(T33,Preenchimento!$A:$BV,5,0)</f>
        <v>#N/A</v>
      </c>
      <c r="X32" s="198" t="e">
        <f>VLOOKUP(U33,Preenchimento!$A:$BV,5,0)</f>
        <v>#N/A</v>
      </c>
      <c r="Y32"/>
    </row>
    <row r="33" spans="1:25" ht="9.75" customHeight="1" x14ac:dyDescent="0.25">
      <c r="A33" s="121" t="s">
        <v>298</v>
      </c>
      <c r="B33" s="193"/>
      <c r="C33" s="193"/>
      <c r="D33" s="120" t="s">
        <v>299</v>
      </c>
      <c r="F33" s="131" t="e">
        <f>VLOOKUP(B33,Preenchimento!$A:$BV,10,0)</f>
        <v>#N/A</v>
      </c>
      <c r="G33" s="121" t="s">
        <v>298</v>
      </c>
      <c r="H33" s="193"/>
      <c r="I33" s="193"/>
      <c r="J33" s="120" t="s">
        <v>299</v>
      </c>
      <c r="L33" s="131" t="e">
        <f>VLOOKUP(H33,Preenchimento!$A:$BV,10,0)</f>
        <v>#N/A</v>
      </c>
      <c r="M33" s="121" t="s">
        <v>298</v>
      </c>
      <c r="N33" s="193"/>
      <c r="O33" s="193"/>
      <c r="P33" s="120" t="s">
        <v>299</v>
      </c>
      <c r="R33" s="131" t="e">
        <f>VLOOKUP(N33,Preenchimento!$A:$BV,10,0)</f>
        <v>#N/A</v>
      </c>
      <c r="S33" s="121" t="s">
        <v>298</v>
      </c>
      <c r="T33" s="193"/>
      <c r="U33" s="193"/>
      <c r="V33" s="120" t="s">
        <v>299</v>
      </c>
      <c r="X33" s="131" t="e">
        <f>VLOOKUP(T33,Preenchimento!$A:$BV,10,0)</f>
        <v>#N/A</v>
      </c>
      <c r="Y33"/>
    </row>
    <row r="34" spans="1:25" ht="9.75" customHeight="1" x14ac:dyDescent="0.25">
      <c r="A34" s="121" t="s">
        <v>300</v>
      </c>
      <c r="C34" s="193" t="e">
        <f>VLOOKUP(B33,Preenchimento!$A:$BV,12,0)</f>
        <v>#N/A</v>
      </c>
      <c r="D34" s="193" t="e">
        <f>VLOOKUP(C33,Preenchimento!$A:$BV,12,0)</f>
        <v>#N/A</v>
      </c>
      <c r="E34" s="193" t="e">
        <f>VLOOKUP(D33,Preenchimento!$A:$BV,12,0)</f>
        <v>#N/A</v>
      </c>
      <c r="F34" s="194" t="e">
        <f>VLOOKUP(E33,Preenchimento!$A:$BV,12,0)</f>
        <v>#N/A</v>
      </c>
      <c r="G34" s="121" t="s">
        <v>300</v>
      </c>
      <c r="I34" s="193" t="e">
        <f>VLOOKUP(H33,Preenchimento!$A:$BV,12,0)</f>
        <v>#N/A</v>
      </c>
      <c r="J34" s="193" t="e">
        <f>VLOOKUP(I33,Preenchimento!$A:$BV,12,0)</f>
        <v>#N/A</v>
      </c>
      <c r="K34" s="193" t="e">
        <f>VLOOKUP(J33,Preenchimento!$A:$BV,12,0)</f>
        <v>#N/A</v>
      </c>
      <c r="L34" s="194" t="e">
        <f>VLOOKUP(K33,Preenchimento!$A:$BV,12,0)</f>
        <v>#N/A</v>
      </c>
      <c r="M34" s="121" t="s">
        <v>300</v>
      </c>
      <c r="O34" s="193" t="e">
        <f>VLOOKUP(N33,Preenchimento!$A:$BV,12,0)</f>
        <v>#N/A</v>
      </c>
      <c r="P34" s="193" t="e">
        <f>VLOOKUP(O33,Preenchimento!$A:$BV,12,0)</f>
        <v>#N/A</v>
      </c>
      <c r="Q34" s="193" t="e">
        <f>VLOOKUP(P33,Preenchimento!$A:$BV,12,0)</f>
        <v>#N/A</v>
      </c>
      <c r="R34" s="194" t="e">
        <f>VLOOKUP(Q33,Preenchimento!$A:$BV,12,0)</f>
        <v>#N/A</v>
      </c>
      <c r="S34" s="121" t="s">
        <v>300</v>
      </c>
      <c r="U34" s="193" t="e">
        <f>VLOOKUP(T33,Preenchimento!$A:$BV,12,0)</f>
        <v>#N/A</v>
      </c>
      <c r="V34" s="193" t="e">
        <f>VLOOKUP(U33,Preenchimento!$A:$BV,12,0)</f>
        <v>#N/A</v>
      </c>
      <c r="W34" s="193" t="e">
        <f>VLOOKUP(V33,Preenchimento!$A:$BV,12,0)</f>
        <v>#N/A</v>
      </c>
      <c r="X34" s="194" t="e">
        <f>VLOOKUP(W33,Preenchimento!$A:$BV,12,0)</f>
        <v>#N/A</v>
      </c>
      <c r="Y34"/>
    </row>
    <row r="35" spans="1:25" ht="9.75" customHeight="1" x14ac:dyDescent="0.25">
      <c r="A35" s="123" t="s">
        <v>301</v>
      </c>
      <c r="B35" s="195" t="e">
        <f>IF(VLOOKUP(B33,Preenchimento!$A:$BV,11,0)=0,"",VLOOKUP(B33,Preenchimento!$A:$BV,11,0))</f>
        <v>#N/A</v>
      </c>
      <c r="C35" s="195"/>
      <c r="D35" s="195"/>
      <c r="E35" s="195"/>
      <c r="F35" s="196"/>
      <c r="G35" s="123" t="s">
        <v>301</v>
      </c>
      <c r="H35" s="195" t="e">
        <f>IF(VLOOKUP(H33,Preenchimento!$A:$BV,11,0)=0,"",VLOOKUP(H33,Preenchimento!$A:$BV,11,0))</f>
        <v>#N/A</v>
      </c>
      <c r="I35" s="195"/>
      <c r="J35" s="195"/>
      <c r="K35" s="195"/>
      <c r="L35" s="196"/>
      <c r="M35" s="123" t="s">
        <v>301</v>
      </c>
      <c r="N35" s="195" t="e">
        <f>IF(VLOOKUP(N33,Preenchimento!$A:$BV,11,0)=0,"",VLOOKUP(N33,Preenchimento!$A:$BV,11,0))</f>
        <v>#N/A</v>
      </c>
      <c r="O35" s="195"/>
      <c r="P35" s="195"/>
      <c r="Q35" s="195"/>
      <c r="R35" s="196"/>
      <c r="S35" s="123" t="s">
        <v>301</v>
      </c>
      <c r="T35" s="195" t="e">
        <f>IF(VLOOKUP(T33,Preenchimento!$A:$BV,11,0)=0,"",VLOOKUP(T33,Preenchimento!$A:$BV,11,0))</f>
        <v>#N/A</v>
      </c>
      <c r="U35" s="195"/>
      <c r="V35" s="195"/>
      <c r="W35" s="195"/>
      <c r="X35" s="196"/>
      <c r="Y35"/>
    </row>
    <row r="36" spans="1:25" s="130" customFormat="1" ht="33.950000000000003" customHeight="1" x14ac:dyDescent="0.25">
      <c r="A36" s="199" t="str">
        <f>Sitio!$A$3</f>
        <v>Projeto 01</v>
      </c>
      <c r="B36" s="200"/>
      <c r="C36" s="200"/>
      <c r="D36" s="200"/>
      <c r="E36" s="200"/>
      <c r="F36" s="201"/>
      <c r="G36" s="199" t="str">
        <f>Sitio!$A$3</f>
        <v>Projeto 01</v>
      </c>
      <c r="H36" s="200"/>
      <c r="I36" s="200"/>
      <c r="J36" s="200"/>
      <c r="K36" s="200"/>
      <c r="L36" s="201"/>
      <c r="M36" s="199" t="str">
        <f>Sitio!$A$3</f>
        <v>Projeto 01</v>
      </c>
      <c r="N36" s="200"/>
      <c r="O36" s="200"/>
      <c r="P36" s="200"/>
      <c r="Q36" s="200"/>
      <c r="R36" s="201"/>
      <c r="S36" s="199" t="str">
        <f>Sitio!$A$3</f>
        <v>Projeto 01</v>
      </c>
      <c r="T36" s="200"/>
      <c r="U36" s="200"/>
      <c r="V36" s="200"/>
      <c r="W36" s="200"/>
      <c r="X36" s="201"/>
      <c r="Y36" s="129"/>
    </row>
    <row r="37" spans="1:25" ht="9.75" customHeight="1" x14ac:dyDescent="0.25">
      <c r="A37" s="121" t="s">
        <v>294</v>
      </c>
      <c r="B37" s="193">
        <f>Sitio!$E$3</f>
        <v>0</v>
      </c>
      <c r="C37" s="193"/>
      <c r="D37" s="193"/>
      <c r="E37" s="193"/>
      <c r="F37" s="194"/>
      <c r="G37" s="121" t="s">
        <v>294</v>
      </c>
      <c r="H37" s="193">
        <f>Sitio!$E$3</f>
        <v>0</v>
      </c>
      <c r="I37" s="193"/>
      <c r="J37" s="193"/>
      <c r="K37" s="193"/>
      <c r="L37" s="194"/>
      <c r="M37" s="121" t="s">
        <v>294</v>
      </c>
      <c r="N37" s="193">
        <f>Sitio!$E$3</f>
        <v>0</v>
      </c>
      <c r="O37" s="193"/>
      <c r="P37" s="193"/>
      <c r="Q37" s="193"/>
      <c r="R37" s="194"/>
      <c r="S37" s="121" t="s">
        <v>294</v>
      </c>
      <c r="T37" s="193">
        <f>Sitio!$E$3</f>
        <v>0</v>
      </c>
      <c r="U37" s="193"/>
      <c r="V37" s="193"/>
      <c r="W37" s="193"/>
      <c r="X37" s="194"/>
      <c r="Y37"/>
    </row>
    <row r="38" spans="1:25" ht="9.75" customHeight="1" x14ac:dyDescent="0.25">
      <c r="A38" s="121" t="s">
        <v>295</v>
      </c>
      <c r="C38" s="193" t="e">
        <f>VLOOKUP(B40,Preenchimento!$A:$BV,2,0)</f>
        <v>#N/A</v>
      </c>
      <c r="D38" s="193" t="e">
        <f>VLOOKUP(C40,Preenchimento!$A:$BV,2,0)</f>
        <v>#N/A</v>
      </c>
      <c r="E38" s="193" t="e">
        <f>VLOOKUP(D40,Preenchimento!$A:$BV,2,0)</f>
        <v>#N/A</v>
      </c>
      <c r="F38" s="194" t="e">
        <f>VLOOKUP(E40,Preenchimento!$A:$BV,2,0)</f>
        <v>#N/A</v>
      </c>
      <c r="G38" s="121" t="s">
        <v>295</v>
      </c>
      <c r="I38" s="193" t="e">
        <f>VLOOKUP(H40,Preenchimento!$A:$BV,2,0)</f>
        <v>#N/A</v>
      </c>
      <c r="J38" s="193" t="e">
        <f>VLOOKUP(I40,Preenchimento!$A:$BV,2,0)</f>
        <v>#N/A</v>
      </c>
      <c r="K38" s="193" t="e">
        <f>VLOOKUP(J40,Preenchimento!$A:$BV,2,0)</f>
        <v>#N/A</v>
      </c>
      <c r="L38" s="194" t="e">
        <f>VLOOKUP(K40,Preenchimento!$A:$BV,2,0)</f>
        <v>#N/A</v>
      </c>
      <c r="M38" s="121" t="s">
        <v>295</v>
      </c>
      <c r="O38" s="193" t="e">
        <f>VLOOKUP(N40,Preenchimento!$A:$BV,2,0)</f>
        <v>#N/A</v>
      </c>
      <c r="P38" s="193" t="e">
        <f>VLOOKUP(O40,Preenchimento!$A:$BV,2,0)</f>
        <v>#N/A</v>
      </c>
      <c r="Q38" s="193" t="e">
        <f>VLOOKUP(P40,Preenchimento!$A:$BV,2,0)</f>
        <v>#N/A</v>
      </c>
      <c r="R38" s="194" t="e">
        <f>VLOOKUP(Q40,Preenchimento!$A:$BV,2,0)</f>
        <v>#N/A</v>
      </c>
      <c r="S38" s="121" t="s">
        <v>295</v>
      </c>
      <c r="U38" s="193" t="e">
        <f>VLOOKUP(T40,Preenchimento!$A:$BV,2,0)</f>
        <v>#N/A</v>
      </c>
      <c r="V38" s="193" t="e">
        <f>VLOOKUP(U40,Preenchimento!$A:$BV,2,0)</f>
        <v>#N/A</v>
      </c>
      <c r="W38" s="193" t="e">
        <f>VLOOKUP(V40,Preenchimento!$A:$BV,2,0)</f>
        <v>#N/A</v>
      </c>
      <c r="X38" s="194" t="e">
        <f>VLOOKUP(W40,Preenchimento!$A:$BV,2,0)</f>
        <v>#N/A</v>
      </c>
      <c r="Y38"/>
    </row>
    <row r="39" spans="1:25" ht="9.75" customHeight="1" x14ac:dyDescent="0.25">
      <c r="A39" s="121" t="s">
        <v>296</v>
      </c>
      <c r="B39" s="193" t="e">
        <f>VLOOKUP(B40,Preenchimento!$A:$BV,3,0)</f>
        <v>#N/A</v>
      </c>
      <c r="C39" s="193" t="e">
        <f>VLOOKUP(C40,Preenchimento!$A:$BV,3,0)</f>
        <v>#N/A</v>
      </c>
      <c r="D39" s="120" t="s">
        <v>297</v>
      </c>
      <c r="E39" s="197" t="e">
        <f>VLOOKUP(B40,Preenchimento!$A:$BV,5,0)</f>
        <v>#N/A</v>
      </c>
      <c r="F39" s="198" t="e">
        <f>VLOOKUP(C40,Preenchimento!$A:$BV,5,0)</f>
        <v>#N/A</v>
      </c>
      <c r="G39" s="121" t="s">
        <v>296</v>
      </c>
      <c r="H39" s="193" t="e">
        <f>VLOOKUP(H40,Preenchimento!$A:$BV,3,0)</f>
        <v>#N/A</v>
      </c>
      <c r="I39" s="193" t="e">
        <f>VLOOKUP(I40,Preenchimento!$A:$BV,3,0)</f>
        <v>#N/A</v>
      </c>
      <c r="J39" s="120" t="s">
        <v>297</v>
      </c>
      <c r="K39" s="197" t="e">
        <f>VLOOKUP(H40,Preenchimento!$A:$BV,5,0)</f>
        <v>#N/A</v>
      </c>
      <c r="L39" s="198" t="e">
        <f>VLOOKUP(I40,Preenchimento!$A:$BV,5,0)</f>
        <v>#N/A</v>
      </c>
      <c r="M39" s="121" t="s">
        <v>296</v>
      </c>
      <c r="N39" s="193" t="e">
        <f>VLOOKUP(N40,Preenchimento!$A:$BV,3,0)</f>
        <v>#N/A</v>
      </c>
      <c r="O39" s="193" t="e">
        <f>VLOOKUP(O40,Preenchimento!$A:$BV,3,0)</f>
        <v>#N/A</v>
      </c>
      <c r="P39" s="120" t="s">
        <v>297</v>
      </c>
      <c r="Q39" s="197" t="e">
        <f>VLOOKUP(N40,Preenchimento!$A:$BV,5,0)</f>
        <v>#N/A</v>
      </c>
      <c r="R39" s="198" t="e">
        <f>VLOOKUP(O40,Preenchimento!$A:$BV,5,0)</f>
        <v>#N/A</v>
      </c>
      <c r="S39" s="121" t="s">
        <v>296</v>
      </c>
      <c r="T39" s="193" t="e">
        <f>VLOOKUP(T40,Preenchimento!$A:$BV,3,0)</f>
        <v>#N/A</v>
      </c>
      <c r="U39" s="193" t="e">
        <f>VLOOKUP(U40,Preenchimento!$A:$BV,3,0)</f>
        <v>#N/A</v>
      </c>
      <c r="V39" s="120" t="s">
        <v>297</v>
      </c>
      <c r="W39" s="197" t="e">
        <f>VLOOKUP(T40,Preenchimento!$A:$BV,5,0)</f>
        <v>#N/A</v>
      </c>
      <c r="X39" s="198" t="e">
        <f>VLOOKUP(U40,Preenchimento!$A:$BV,5,0)</f>
        <v>#N/A</v>
      </c>
      <c r="Y39"/>
    </row>
    <row r="40" spans="1:25" ht="9.75" customHeight="1" x14ac:dyDescent="0.25">
      <c r="A40" s="121" t="s">
        <v>298</v>
      </c>
      <c r="B40" s="193"/>
      <c r="C40" s="193"/>
      <c r="D40" s="120" t="s">
        <v>299</v>
      </c>
      <c r="F40" s="131" t="e">
        <f>VLOOKUP(B40,Preenchimento!$A:$BV,10,0)</f>
        <v>#N/A</v>
      </c>
      <c r="G40" s="121" t="s">
        <v>298</v>
      </c>
      <c r="H40" s="193"/>
      <c r="I40" s="193"/>
      <c r="J40" s="120" t="s">
        <v>299</v>
      </c>
      <c r="L40" s="131" t="e">
        <f>VLOOKUP(H40,Preenchimento!$A:$BV,10,0)</f>
        <v>#N/A</v>
      </c>
      <c r="M40" s="121" t="s">
        <v>298</v>
      </c>
      <c r="N40" s="193"/>
      <c r="O40" s="193"/>
      <c r="P40" s="120" t="s">
        <v>299</v>
      </c>
      <c r="R40" s="131" t="e">
        <f>VLOOKUP(N40,Preenchimento!$A:$BV,10,0)</f>
        <v>#N/A</v>
      </c>
      <c r="S40" s="121" t="s">
        <v>298</v>
      </c>
      <c r="T40" s="193"/>
      <c r="U40" s="193"/>
      <c r="V40" s="120" t="s">
        <v>299</v>
      </c>
      <c r="X40" s="131" t="e">
        <f>VLOOKUP(T40,Preenchimento!$A:$BV,10,0)</f>
        <v>#N/A</v>
      </c>
      <c r="Y40"/>
    </row>
    <row r="41" spans="1:25" ht="9.75" customHeight="1" x14ac:dyDescent="0.25">
      <c r="A41" s="121" t="s">
        <v>300</v>
      </c>
      <c r="C41" s="193" t="e">
        <f>VLOOKUP(B40,Preenchimento!$A:$BV,12,0)</f>
        <v>#N/A</v>
      </c>
      <c r="D41" s="193" t="e">
        <f>VLOOKUP(C40,Preenchimento!$A:$BV,12,0)</f>
        <v>#N/A</v>
      </c>
      <c r="E41" s="193" t="e">
        <f>VLOOKUP(D40,Preenchimento!$A:$BV,12,0)</f>
        <v>#N/A</v>
      </c>
      <c r="F41" s="194" t="e">
        <f>VLOOKUP(E40,Preenchimento!$A:$BV,12,0)</f>
        <v>#N/A</v>
      </c>
      <c r="G41" s="121" t="s">
        <v>300</v>
      </c>
      <c r="I41" s="193" t="e">
        <f>VLOOKUP(H40,Preenchimento!$A:$BV,12,0)</f>
        <v>#N/A</v>
      </c>
      <c r="J41" s="193" t="e">
        <f>VLOOKUP(I40,Preenchimento!$A:$BV,12,0)</f>
        <v>#N/A</v>
      </c>
      <c r="K41" s="193" t="e">
        <f>VLOOKUP(J40,Preenchimento!$A:$BV,12,0)</f>
        <v>#N/A</v>
      </c>
      <c r="L41" s="194" t="e">
        <f>VLOOKUP(K40,Preenchimento!$A:$BV,12,0)</f>
        <v>#N/A</v>
      </c>
      <c r="M41" s="121" t="s">
        <v>300</v>
      </c>
      <c r="O41" s="193" t="e">
        <f>VLOOKUP(N40,Preenchimento!$A:$BV,12,0)</f>
        <v>#N/A</v>
      </c>
      <c r="P41" s="193" t="e">
        <f>VLOOKUP(O40,Preenchimento!$A:$BV,12,0)</f>
        <v>#N/A</v>
      </c>
      <c r="Q41" s="193" t="e">
        <f>VLOOKUP(P40,Preenchimento!$A:$BV,12,0)</f>
        <v>#N/A</v>
      </c>
      <c r="R41" s="194" t="e">
        <f>VLOOKUP(Q40,Preenchimento!$A:$BV,12,0)</f>
        <v>#N/A</v>
      </c>
      <c r="S41" s="121" t="s">
        <v>300</v>
      </c>
      <c r="U41" s="193" t="e">
        <f>VLOOKUP(T40,Preenchimento!$A:$BV,12,0)</f>
        <v>#N/A</v>
      </c>
      <c r="V41" s="193" t="e">
        <f>VLOOKUP(U40,Preenchimento!$A:$BV,12,0)</f>
        <v>#N/A</v>
      </c>
      <c r="W41" s="193" t="e">
        <f>VLOOKUP(V40,Preenchimento!$A:$BV,12,0)</f>
        <v>#N/A</v>
      </c>
      <c r="X41" s="194" t="e">
        <f>VLOOKUP(W40,Preenchimento!$A:$BV,12,0)</f>
        <v>#N/A</v>
      </c>
      <c r="Y41"/>
    </row>
    <row r="42" spans="1:25" ht="9.75" customHeight="1" x14ac:dyDescent="0.25">
      <c r="A42" s="123" t="s">
        <v>301</v>
      </c>
      <c r="B42" s="195" t="e">
        <f>IF(VLOOKUP(B40,Preenchimento!$A:$BV,11,0)=0,"",VLOOKUP(B40,Preenchimento!$A:$BV,11,0))</f>
        <v>#N/A</v>
      </c>
      <c r="C42" s="195"/>
      <c r="D42" s="195"/>
      <c r="E42" s="195"/>
      <c r="F42" s="196"/>
      <c r="G42" s="123" t="s">
        <v>301</v>
      </c>
      <c r="H42" s="195" t="e">
        <f>IF(VLOOKUP(H40,Preenchimento!$A:$BV,11,0)=0,"",VLOOKUP(H40,Preenchimento!$A:$BV,11,0))</f>
        <v>#N/A</v>
      </c>
      <c r="I42" s="195"/>
      <c r="J42" s="195"/>
      <c r="K42" s="195"/>
      <c r="L42" s="196"/>
      <c r="M42" s="123" t="s">
        <v>301</v>
      </c>
      <c r="N42" s="195" t="e">
        <f>IF(VLOOKUP(N40,Preenchimento!$A:$BV,11,0)=0,"",VLOOKUP(N40,Preenchimento!$A:$BV,11,0))</f>
        <v>#N/A</v>
      </c>
      <c r="O42" s="195"/>
      <c r="P42" s="195"/>
      <c r="Q42" s="195"/>
      <c r="R42" s="196"/>
      <c r="S42" s="123" t="s">
        <v>301</v>
      </c>
      <c r="T42" s="195" t="e">
        <f>IF(VLOOKUP(T40,Preenchimento!$A:$BV,11,0)=0,"",VLOOKUP(T40,Preenchimento!$A:$BV,11,0))</f>
        <v>#N/A</v>
      </c>
      <c r="U42" s="195"/>
      <c r="V42" s="195"/>
      <c r="W42" s="195"/>
      <c r="X42" s="196"/>
      <c r="Y42"/>
    </row>
    <row r="43" spans="1:25" s="130" customFormat="1" ht="33.950000000000003" customHeight="1" x14ac:dyDescent="0.25">
      <c r="A43" s="199" t="str">
        <f>Sitio!$A$3</f>
        <v>Projeto 01</v>
      </c>
      <c r="B43" s="200"/>
      <c r="C43" s="200"/>
      <c r="D43" s="200"/>
      <c r="E43" s="200"/>
      <c r="F43" s="201"/>
      <c r="G43" s="199" t="str">
        <f>Sitio!$A$3</f>
        <v>Projeto 01</v>
      </c>
      <c r="H43" s="200"/>
      <c r="I43" s="200"/>
      <c r="J43" s="200"/>
      <c r="K43" s="200"/>
      <c r="L43" s="201"/>
      <c r="M43" s="199" t="str">
        <f>Sitio!$A$3</f>
        <v>Projeto 01</v>
      </c>
      <c r="N43" s="200"/>
      <c r="O43" s="200"/>
      <c r="P43" s="200"/>
      <c r="Q43" s="200"/>
      <c r="R43" s="201"/>
      <c r="S43" s="199" t="str">
        <f>Sitio!$A$3</f>
        <v>Projeto 01</v>
      </c>
      <c r="T43" s="200"/>
      <c r="U43" s="200"/>
      <c r="V43" s="200"/>
      <c r="W43" s="200"/>
      <c r="X43" s="201"/>
    </row>
    <row r="44" spans="1:25" ht="9.75" customHeight="1" x14ac:dyDescent="0.15">
      <c r="A44" s="121" t="s">
        <v>294</v>
      </c>
      <c r="B44" s="193">
        <f>Sitio!$E$3</f>
        <v>0</v>
      </c>
      <c r="C44" s="193"/>
      <c r="D44" s="193"/>
      <c r="E44" s="193"/>
      <c r="F44" s="194"/>
      <c r="G44" s="121" t="s">
        <v>294</v>
      </c>
      <c r="H44" s="193">
        <f>Sitio!$E$3</f>
        <v>0</v>
      </c>
      <c r="I44" s="193"/>
      <c r="J44" s="193"/>
      <c r="K44" s="193"/>
      <c r="L44" s="194"/>
      <c r="M44" s="121" t="s">
        <v>294</v>
      </c>
      <c r="N44" s="193">
        <f>Sitio!$E$3</f>
        <v>0</v>
      </c>
      <c r="O44" s="193"/>
      <c r="P44" s="193"/>
      <c r="Q44" s="193"/>
      <c r="R44" s="194"/>
      <c r="S44" s="121" t="s">
        <v>294</v>
      </c>
      <c r="T44" s="193">
        <f>Sitio!$E$3</f>
        <v>0</v>
      </c>
      <c r="U44" s="193"/>
      <c r="V44" s="193"/>
      <c r="W44" s="193"/>
      <c r="X44" s="194"/>
    </row>
    <row r="45" spans="1:25" ht="9.75" customHeight="1" x14ac:dyDescent="0.15">
      <c r="A45" s="121" t="s">
        <v>295</v>
      </c>
      <c r="C45" s="193" t="e">
        <f>VLOOKUP(B47,Preenchimento!$A:$BV,2,0)</f>
        <v>#N/A</v>
      </c>
      <c r="D45" s="193" t="e">
        <f>VLOOKUP(C47,Preenchimento!$A:$BV,2,0)</f>
        <v>#N/A</v>
      </c>
      <c r="E45" s="193" t="e">
        <f>VLOOKUP(D47,Preenchimento!$A:$BV,2,0)</f>
        <v>#N/A</v>
      </c>
      <c r="F45" s="194" t="e">
        <f>VLOOKUP(E47,Preenchimento!$A:$BV,2,0)</f>
        <v>#N/A</v>
      </c>
      <c r="G45" s="121" t="s">
        <v>295</v>
      </c>
      <c r="I45" s="193" t="e">
        <f>VLOOKUP(H47,Preenchimento!$A:$BV,2,0)</f>
        <v>#N/A</v>
      </c>
      <c r="J45" s="193" t="e">
        <f>VLOOKUP(I47,Preenchimento!$A:$BV,2,0)</f>
        <v>#N/A</v>
      </c>
      <c r="K45" s="193" t="e">
        <f>VLOOKUP(J47,Preenchimento!$A:$BV,2,0)</f>
        <v>#N/A</v>
      </c>
      <c r="L45" s="194" t="e">
        <f>VLOOKUP(K47,Preenchimento!$A:$BV,2,0)</f>
        <v>#N/A</v>
      </c>
      <c r="M45" s="121" t="s">
        <v>295</v>
      </c>
      <c r="O45" s="193" t="e">
        <f>VLOOKUP(N47,Preenchimento!$A:$BV,2,0)</f>
        <v>#N/A</v>
      </c>
      <c r="P45" s="193" t="e">
        <f>VLOOKUP(O47,Preenchimento!$A:$BV,2,0)</f>
        <v>#N/A</v>
      </c>
      <c r="Q45" s="193" t="e">
        <f>VLOOKUP(P47,Preenchimento!$A:$BV,2,0)</f>
        <v>#N/A</v>
      </c>
      <c r="R45" s="194" t="e">
        <f>VLOOKUP(Q47,Preenchimento!$A:$BV,2,0)</f>
        <v>#N/A</v>
      </c>
      <c r="S45" s="121" t="s">
        <v>295</v>
      </c>
      <c r="U45" s="193" t="e">
        <f>VLOOKUP(T47,Preenchimento!$A:$BV,2,0)</f>
        <v>#N/A</v>
      </c>
      <c r="V45" s="193" t="e">
        <f>VLOOKUP(U47,Preenchimento!$A:$BV,2,0)</f>
        <v>#N/A</v>
      </c>
      <c r="W45" s="193" t="e">
        <f>VLOOKUP(V47,Preenchimento!$A:$BV,2,0)</f>
        <v>#N/A</v>
      </c>
      <c r="X45" s="194" t="e">
        <f>VLOOKUP(W47,Preenchimento!$A:$BV,2,0)</f>
        <v>#N/A</v>
      </c>
    </row>
    <row r="46" spans="1:25" ht="9.75" customHeight="1" x14ac:dyDescent="0.15">
      <c r="A46" s="121" t="s">
        <v>296</v>
      </c>
      <c r="B46" s="193" t="e">
        <f>VLOOKUP(B47,Preenchimento!$A:$BV,3,0)</f>
        <v>#N/A</v>
      </c>
      <c r="C46" s="193" t="e">
        <f>VLOOKUP(C47,Preenchimento!$A:$BV,3,0)</f>
        <v>#N/A</v>
      </c>
      <c r="D46" s="120" t="s">
        <v>297</v>
      </c>
      <c r="E46" s="197" t="e">
        <f>VLOOKUP(B47,Preenchimento!$A:$BV,5,0)</f>
        <v>#N/A</v>
      </c>
      <c r="F46" s="198" t="e">
        <f>VLOOKUP(C47,Preenchimento!$A:$BV,5,0)</f>
        <v>#N/A</v>
      </c>
      <c r="G46" s="121" t="s">
        <v>296</v>
      </c>
      <c r="H46" s="193" t="e">
        <f>VLOOKUP(H47,Preenchimento!$A:$BV,3,0)</f>
        <v>#N/A</v>
      </c>
      <c r="I46" s="193" t="e">
        <f>VLOOKUP(I47,Preenchimento!$A:$BV,3,0)</f>
        <v>#N/A</v>
      </c>
      <c r="J46" s="120" t="s">
        <v>297</v>
      </c>
      <c r="K46" s="197" t="e">
        <f>VLOOKUP(H47,Preenchimento!$A:$BV,5,0)</f>
        <v>#N/A</v>
      </c>
      <c r="L46" s="198" t="e">
        <f>VLOOKUP(I47,Preenchimento!$A:$BV,5,0)</f>
        <v>#N/A</v>
      </c>
      <c r="M46" s="121" t="s">
        <v>296</v>
      </c>
      <c r="N46" s="193" t="e">
        <f>VLOOKUP(N47,Preenchimento!$A:$BV,3,0)</f>
        <v>#N/A</v>
      </c>
      <c r="O46" s="193" t="e">
        <f>VLOOKUP(O47,Preenchimento!$A:$BV,3,0)</f>
        <v>#N/A</v>
      </c>
      <c r="P46" s="120" t="s">
        <v>297</v>
      </c>
      <c r="Q46" s="197" t="e">
        <f>VLOOKUP(N47,Preenchimento!$A:$BV,5,0)</f>
        <v>#N/A</v>
      </c>
      <c r="R46" s="198" t="e">
        <f>VLOOKUP(O47,Preenchimento!$A:$BV,5,0)</f>
        <v>#N/A</v>
      </c>
      <c r="S46" s="121" t="s">
        <v>296</v>
      </c>
      <c r="T46" s="193" t="e">
        <f>VLOOKUP(T47,Preenchimento!$A:$BV,3,0)</f>
        <v>#N/A</v>
      </c>
      <c r="U46" s="193" t="e">
        <f>VLOOKUP(U47,Preenchimento!$A:$BV,3,0)</f>
        <v>#N/A</v>
      </c>
      <c r="V46" s="120" t="s">
        <v>297</v>
      </c>
      <c r="W46" s="197" t="e">
        <f>VLOOKUP(T47,Preenchimento!$A:$BV,5,0)</f>
        <v>#N/A</v>
      </c>
      <c r="X46" s="198" t="e">
        <f>VLOOKUP(U47,Preenchimento!$A:$BV,5,0)</f>
        <v>#N/A</v>
      </c>
    </row>
    <row r="47" spans="1:25" ht="9.75" customHeight="1" x14ac:dyDescent="0.15">
      <c r="A47" s="121" t="s">
        <v>298</v>
      </c>
      <c r="B47" s="193"/>
      <c r="C47" s="193"/>
      <c r="D47" s="120" t="s">
        <v>299</v>
      </c>
      <c r="F47" s="131" t="e">
        <f>VLOOKUP(B47,Preenchimento!$A:$BV,10,0)</f>
        <v>#N/A</v>
      </c>
      <c r="G47" s="121" t="s">
        <v>298</v>
      </c>
      <c r="H47" s="193"/>
      <c r="I47" s="193"/>
      <c r="J47" s="120" t="s">
        <v>299</v>
      </c>
      <c r="L47" s="131" t="e">
        <f>VLOOKUP(H47,Preenchimento!$A:$BV,10,0)</f>
        <v>#N/A</v>
      </c>
      <c r="M47" s="121" t="s">
        <v>298</v>
      </c>
      <c r="N47" s="193"/>
      <c r="O47" s="193"/>
      <c r="P47" s="120" t="s">
        <v>299</v>
      </c>
      <c r="R47" s="131" t="e">
        <f>VLOOKUP(N47,Preenchimento!$A:$BV,10,0)</f>
        <v>#N/A</v>
      </c>
      <c r="S47" s="121" t="s">
        <v>298</v>
      </c>
      <c r="T47" s="193"/>
      <c r="U47" s="193"/>
      <c r="V47" s="120" t="s">
        <v>299</v>
      </c>
      <c r="X47" s="131" t="e">
        <f>VLOOKUP(T47,Preenchimento!$A:$BV,10,0)</f>
        <v>#N/A</v>
      </c>
    </row>
    <row r="48" spans="1:25" ht="9.75" customHeight="1" x14ac:dyDescent="0.15">
      <c r="A48" s="121" t="s">
        <v>300</v>
      </c>
      <c r="C48" s="193" t="e">
        <f>VLOOKUP(B47,Preenchimento!$A:$BV,12,0)</f>
        <v>#N/A</v>
      </c>
      <c r="D48" s="193" t="e">
        <f>VLOOKUP(C47,Preenchimento!$A:$BV,12,0)</f>
        <v>#N/A</v>
      </c>
      <c r="E48" s="193" t="e">
        <f>VLOOKUP(D47,Preenchimento!$A:$BV,12,0)</f>
        <v>#N/A</v>
      </c>
      <c r="F48" s="194" t="e">
        <f>VLOOKUP(E47,Preenchimento!$A:$BV,12,0)</f>
        <v>#N/A</v>
      </c>
      <c r="G48" s="121" t="s">
        <v>300</v>
      </c>
      <c r="I48" s="193" t="e">
        <f>VLOOKUP(H47,Preenchimento!$A:$BV,12,0)</f>
        <v>#N/A</v>
      </c>
      <c r="J48" s="193" t="e">
        <f>VLOOKUP(I47,Preenchimento!$A:$BV,12,0)</f>
        <v>#N/A</v>
      </c>
      <c r="K48" s="193" t="e">
        <f>VLOOKUP(J47,Preenchimento!$A:$BV,12,0)</f>
        <v>#N/A</v>
      </c>
      <c r="L48" s="194" t="e">
        <f>VLOOKUP(K47,Preenchimento!$A:$BV,12,0)</f>
        <v>#N/A</v>
      </c>
      <c r="M48" s="121" t="s">
        <v>300</v>
      </c>
      <c r="O48" s="193" t="e">
        <f>VLOOKUP(N47,Preenchimento!$A:$BV,12,0)</f>
        <v>#N/A</v>
      </c>
      <c r="P48" s="193" t="e">
        <f>VLOOKUP(O47,Preenchimento!$A:$BV,12,0)</f>
        <v>#N/A</v>
      </c>
      <c r="Q48" s="193" t="e">
        <f>VLOOKUP(P47,Preenchimento!$A:$BV,12,0)</f>
        <v>#N/A</v>
      </c>
      <c r="R48" s="194" t="e">
        <f>VLOOKUP(Q47,Preenchimento!$A:$BV,12,0)</f>
        <v>#N/A</v>
      </c>
      <c r="S48" s="121" t="s">
        <v>300</v>
      </c>
      <c r="U48" s="193" t="e">
        <f>VLOOKUP(T47,Preenchimento!$A:$BV,12,0)</f>
        <v>#N/A</v>
      </c>
      <c r="V48" s="193" t="e">
        <f>VLOOKUP(U47,Preenchimento!$A:$BV,12,0)</f>
        <v>#N/A</v>
      </c>
      <c r="W48" s="193" t="e">
        <f>VLOOKUP(V47,Preenchimento!$A:$BV,12,0)</f>
        <v>#N/A</v>
      </c>
      <c r="X48" s="194" t="e">
        <f>VLOOKUP(W47,Preenchimento!$A:$BV,12,0)</f>
        <v>#N/A</v>
      </c>
    </row>
    <row r="49" spans="1:24" ht="9.75" customHeight="1" x14ac:dyDescent="0.15">
      <c r="A49" s="123" t="s">
        <v>301</v>
      </c>
      <c r="B49" s="195" t="e">
        <f>IF(VLOOKUP(B47,Preenchimento!$A:$BV,11,0)=0,"",VLOOKUP(B47,Preenchimento!$A:$BV,11,0))</f>
        <v>#N/A</v>
      </c>
      <c r="C49" s="195"/>
      <c r="D49" s="195"/>
      <c r="E49" s="195"/>
      <c r="F49" s="196"/>
      <c r="G49" s="123" t="s">
        <v>301</v>
      </c>
      <c r="H49" s="195" t="e">
        <f>IF(VLOOKUP(H47,Preenchimento!$A:$BV,11,0)=0,"",VLOOKUP(H47,Preenchimento!$A:$BV,11,0))</f>
        <v>#N/A</v>
      </c>
      <c r="I49" s="195"/>
      <c r="J49" s="195"/>
      <c r="K49" s="195"/>
      <c r="L49" s="196"/>
      <c r="M49" s="123" t="s">
        <v>301</v>
      </c>
      <c r="N49" s="195" t="e">
        <f>IF(VLOOKUP(N47,Preenchimento!$A:$BV,11,0)=0,"",VLOOKUP(N47,Preenchimento!$A:$BV,11,0))</f>
        <v>#N/A</v>
      </c>
      <c r="O49" s="195"/>
      <c r="P49" s="195"/>
      <c r="Q49" s="195"/>
      <c r="R49" s="196"/>
      <c r="S49" s="123" t="s">
        <v>301</v>
      </c>
      <c r="T49" s="195" t="e">
        <f>IF(VLOOKUP(T47,Preenchimento!$A:$BV,11,0)=0,"",VLOOKUP(T47,Preenchimento!$A:$BV,11,0))</f>
        <v>#N/A</v>
      </c>
      <c r="U49" s="195"/>
      <c r="V49" s="195"/>
      <c r="W49" s="195"/>
      <c r="X49" s="196"/>
    </row>
    <row r="50" spans="1:24" s="130" customFormat="1" ht="33.950000000000003" customHeight="1" x14ac:dyDescent="0.25">
      <c r="A50" s="199" t="str">
        <f>Sitio!$A$3</f>
        <v>Projeto 01</v>
      </c>
      <c r="B50" s="200"/>
      <c r="C50" s="200"/>
      <c r="D50" s="200"/>
      <c r="E50" s="200"/>
      <c r="F50" s="201"/>
      <c r="G50" s="199" t="str">
        <f>Sitio!$A$3</f>
        <v>Projeto 01</v>
      </c>
      <c r="H50" s="200"/>
      <c r="I50" s="200"/>
      <c r="J50" s="200"/>
      <c r="K50" s="200"/>
      <c r="L50" s="201"/>
      <c r="M50" s="199" t="str">
        <f>Sitio!$A$3</f>
        <v>Projeto 01</v>
      </c>
      <c r="N50" s="200"/>
      <c r="O50" s="200"/>
      <c r="P50" s="200"/>
      <c r="Q50" s="200"/>
      <c r="R50" s="201"/>
      <c r="S50" s="199" t="str">
        <f>Sitio!$A$3</f>
        <v>Projeto 01</v>
      </c>
      <c r="T50" s="200"/>
      <c r="U50" s="200"/>
      <c r="V50" s="200"/>
      <c r="W50" s="200"/>
      <c r="X50" s="201"/>
    </row>
    <row r="51" spans="1:24" ht="9.75" customHeight="1" x14ac:dyDescent="0.15">
      <c r="A51" s="121" t="s">
        <v>294</v>
      </c>
      <c r="B51" s="193">
        <f>Sitio!$E$3</f>
        <v>0</v>
      </c>
      <c r="C51" s="193"/>
      <c r="D51" s="193"/>
      <c r="E51" s="193"/>
      <c r="F51" s="194"/>
      <c r="G51" s="121" t="s">
        <v>294</v>
      </c>
      <c r="H51" s="193">
        <f>Sitio!$E$3</f>
        <v>0</v>
      </c>
      <c r="I51" s="193"/>
      <c r="J51" s="193"/>
      <c r="K51" s="193"/>
      <c r="L51" s="194"/>
      <c r="M51" s="121" t="s">
        <v>294</v>
      </c>
      <c r="N51" s="193">
        <f>Sitio!$E$3</f>
        <v>0</v>
      </c>
      <c r="O51" s="193"/>
      <c r="P51" s="193"/>
      <c r="Q51" s="193"/>
      <c r="R51" s="194"/>
      <c r="S51" s="121" t="s">
        <v>294</v>
      </c>
      <c r="T51" s="193">
        <f>Sitio!$E$3</f>
        <v>0</v>
      </c>
      <c r="U51" s="193"/>
      <c r="V51" s="193"/>
      <c r="W51" s="193"/>
      <c r="X51" s="194"/>
    </row>
    <row r="52" spans="1:24" ht="9.75" customHeight="1" x14ac:dyDescent="0.15">
      <c r="A52" s="121" t="s">
        <v>295</v>
      </c>
      <c r="C52" s="193" t="e">
        <f>VLOOKUP(B54,Preenchimento!$A:$BV,2,0)</f>
        <v>#N/A</v>
      </c>
      <c r="D52" s="193" t="e">
        <f>VLOOKUP(C54,Preenchimento!$A:$BV,2,0)</f>
        <v>#N/A</v>
      </c>
      <c r="E52" s="193" t="e">
        <f>VLOOKUP(D54,Preenchimento!$A:$BV,2,0)</f>
        <v>#N/A</v>
      </c>
      <c r="F52" s="194" t="e">
        <f>VLOOKUP(E54,Preenchimento!$A:$BV,2,0)</f>
        <v>#N/A</v>
      </c>
      <c r="G52" s="121" t="s">
        <v>295</v>
      </c>
      <c r="I52" s="193" t="e">
        <f>VLOOKUP(H54,Preenchimento!$A:$BV,2,0)</f>
        <v>#N/A</v>
      </c>
      <c r="J52" s="193" t="e">
        <f>VLOOKUP(I54,Preenchimento!$A:$BV,2,0)</f>
        <v>#N/A</v>
      </c>
      <c r="K52" s="193" t="e">
        <f>VLOOKUP(J54,Preenchimento!$A:$BV,2,0)</f>
        <v>#N/A</v>
      </c>
      <c r="L52" s="194" t="e">
        <f>VLOOKUP(K54,Preenchimento!$A:$BV,2,0)</f>
        <v>#N/A</v>
      </c>
      <c r="M52" s="121" t="s">
        <v>295</v>
      </c>
      <c r="O52" s="193" t="e">
        <f>VLOOKUP(N54,Preenchimento!$A:$BV,2,0)</f>
        <v>#N/A</v>
      </c>
      <c r="P52" s="193" t="e">
        <f>VLOOKUP(O54,Preenchimento!$A:$BV,2,0)</f>
        <v>#N/A</v>
      </c>
      <c r="Q52" s="193" t="e">
        <f>VLOOKUP(P54,Preenchimento!$A:$BV,2,0)</f>
        <v>#N/A</v>
      </c>
      <c r="R52" s="194" t="e">
        <f>VLOOKUP(Q54,Preenchimento!$A:$BV,2,0)</f>
        <v>#N/A</v>
      </c>
      <c r="S52" s="121" t="s">
        <v>295</v>
      </c>
      <c r="U52" s="193" t="e">
        <f>VLOOKUP(T54,Preenchimento!$A:$BV,2,0)</f>
        <v>#N/A</v>
      </c>
      <c r="V52" s="193" t="e">
        <f>VLOOKUP(U54,Preenchimento!$A:$BV,2,0)</f>
        <v>#N/A</v>
      </c>
      <c r="W52" s="193" t="e">
        <f>VLOOKUP(V54,Preenchimento!$A:$BV,2,0)</f>
        <v>#N/A</v>
      </c>
      <c r="X52" s="194" t="e">
        <f>VLOOKUP(W54,Preenchimento!$A:$BV,2,0)</f>
        <v>#N/A</v>
      </c>
    </row>
    <row r="53" spans="1:24" ht="9.75" customHeight="1" x14ac:dyDescent="0.15">
      <c r="A53" s="121" t="s">
        <v>296</v>
      </c>
      <c r="B53" s="193" t="e">
        <f>VLOOKUP(B54,Preenchimento!$A:$BV,3,0)</f>
        <v>#N/A</v>
      </c>
      <c r="C53" s="193" t="e">
        <f>VLOOKUP(C54,Preenchimento!$A:$BV,3,0)</f>
        <v>#N/A</v>
      </c>
      <c r="D53" s="120" t="s">
        <v>297</v>
      </c>
      <c r="E53" s="197" t="e">
        <f>VLOOKUP(B54,Preenchimento!$A:$BV,5,0)</f>
        <v>#N/A</v>
      </c>
      <c r="F53" s="198" t="e">
        <f>VLOOKUP(C54,Preenchimento!$A:$BV,5,0)</f>
        <v>#N/A</v>
      </c>
      <c r="G53" s="121" t="s">
        <v>296</v>
      </c>
      <c r="H53" s="193" t="e">
        <f>VLOOKUP(H54,Preenchimento!$A:$BV,3,0)</f>
        <v>#N/A</v>
      </c>
      <c r="I53" s="193" t="e">
        <f>VLOOKUP(I54,Preenchimento!$A:$BV,3,0)</f>
        <v>#N/A</v>
      </c>
      <c r="J53" s="120" t="s">
        <v>297</v>
      </c>
      <c r="K53" s="197" t="e">
        <f>VLOOKUP(H54,Preenchimento!$A:$BV,5,0)</f>
        <v>#N/A</v>
      </c>
      <c r="L53" s="198" t="e">
        <f>VLOOKUP(I54,Preenchimento!$A:$BV,5,0)</f>
        <v>#N/A</v>
      </c>
      <c r="M53" s="121" t="s">
        <v>296</v>
      </c>
      <c r="N53" s="193" t="e">
        <f>VLOOKUP(N54,Preenchimento!$A:$BV,3,0)</f>
        <v>#N/A</v>
      </c>
      <c r="O53" s="193" t="e">
        <f>VLOOKUP(O54,Preenchimento!$A:$BV,3,0)</f>
        <v>#N/A</v>
      </c>
      <c r="P53" s="120" t="s">
        <v>297</v>
      </c>
      <c r="Q53" s="197" t="e">
        <f>VLOOKUP(N54,Preenchimento!$A:$BV,5,0)</f>
        <v>#N/A</v>
      </c>
      <c r="R53" s="198" t="e">
        <f>VLOOKUP(O54,Preenchimento!$A:$BV,5,0)</f>
        <v>#N/A</v>
      </c>
      <c r="S53" s="121" t="s">
        <v>296</v>
      </c>
      <c r="T53" s="193" t="e">
        <f>VLOOKUP(T54,Preenchimento!$A:$BV,3,0)</f>
        <v>#N/A</v>
      </c>
      <c r="U53" s="193" t="e">
        <f>VLOOKUP(U54,Preenchimento!$A:$BV,3,0)</f>
        <v>#N/A</v>
      </c>
      <c r="V53" s="120" t="s">
        <v>297</v>
      </c>
      <c r="W53" s="197" t="e">
        <f>VLOOKUP(T54,Preenchimento!$A:$BV,5,0)</f>
        <v>#N/A</v>
      </c>
      <c r="X53" s="198" t="e">
        <f>VLOOKUP(U54,Preenchimento!$A:$BV,5,0)</f>
        <v>#N/A</v>
      </c>
    </row>
    <row r="54" spans="1:24" ht="9.75" customHeight="1" x14ac:dyDescent="0.15">
      <c r="A54" s="121" t="s">
        <v>298</v>
      </c>
      <c r="B54" s="193"/>
      <c r="C54" s="193"/>
      <c r="D54" s="120" t="s">
        <v>299</v>
      </c>
      <c r="F54" s="131" t="e">
        <f>VLOOKUP(B54,Preenchimento!$A:$BV,10,0)</f>
        <v>#N/A</v>
      </c>
      <c r="G54" s="121" t="s">
        <v>298</v>
      </c>
      <c r="H54" s="193"/>
      <c r="I54" s="193"/>
      <c r="J54" s="120" t="s">
        <v>299</v>
      </c>
      <c r="L54" s="131" t="e">
        <f>VLOOKUP(H54,Preenchimento!$A:$BV,10,0)</f>
        <v>#N/A</v>
      </c>
      <c r="M54" s="121" t="s">
        <v>298</v>
      </c>
      <c r="N54" s="193"/>
      <c r="O54" s="193"/>
      <c r="P54" s="120" t="s">
        <v>299</v>
      </c>
      <c r="R54" s="131" t="e">
        <f>VLOOKUP(N54,Preenchimento!$A:$BV,10,0)</f>
        <v>#N/A</v>
      </c>
      <c r="S54" s="121" t="s">
        <v>298</v>
      </c>
      <c r="T54" s="193"/>
      <c r="U54" s="193"/>
      <c r="V54" s="120" t="s">
        <v>299</v>
      </c>
      <c r="X54" s="131" t="e">
        <f>VLOOKUP(T54,Preenchimento!$A:$BV,10,0)</f>
        <v>#N/A</v>
      </c>
    </row>
    <row r="55" spans="1:24" ht="9.75" customHeight="1" x14ac:dyDescent="0.15">
      <c r="A55" s="121" t="s">
        <v>300</v>
      </c>
      <c r="C55" s="193" t="e">
        <f>VLOOKUP(B54,Preenchimento!$A:$BV,12,0)</f>
        <v>#N/A</v>
      </c>
      <c r="D55" s="193" t="e">
        <f>VLOOKUP(C54,Preenchimento!$A:$BV,12,0)</f>
        <v>#N/A</v>
      </c>
      <c r="E55" s="193" t="e">
        <f>VLOOKUP(D54,Preenchimento!$A:$BV,12,0)</f>
        <v>#N/A</v>
      </c>
      <c r="F55" s="194" t="e">
        <f>VLOOKUP(E54,Preenchimento!$A:$BV,12,0)</f>
        <v>#N/A</v>
      </c>
      <c r="G55" s="121" t="s">
        <v>300</v>
      </c>
      <c r="I55" s="193" t="e">
        <f>VLOOKUP(H54,Preenchimento!$A:$BV,12,0)</f>
        <v>#N/A</v>
      </c>
      <c r="J55" s="193" t="e">
        <f>VLOOKUP(I54,Preenchimento!$A:$BV,12,0)</f>
        <v>#N/A</v>
      </c>
      <c r="K55" s="193" t="e">
        <f>VLOOKUP(J54,Preenchimento!$A:$BV,12,0)</f>
        <v>#N/A</v>
      </c>
      <c r="L55" s="194" t="e">
        <f>VLOOKUP(K54,Preenchimento!$A:$BV,12,0)</f>
        <v>#N/A</v>
      </c>
      <c r="M55" s="121" t="s">
        <v>300</v>
      </c>
      <c r="O55" s="193" t="e">
        <f>VLOOKUP(N54,Preenchimento!$A:$BV,12,0)</f>
        <v>#N/A</v>
      </c>
      <c r="P55" s="193" t="e">
        <f>VLOOKUP(O54,Preenchimento!$A:$BV,12,0)</f>
        <v>#N/A</v>
      </c>
      <c r="Q55" s="193" t="e">
        <f>VLOOKUP(P54,Preenchimento!$A:$BV,12,0)</f>
        <v>#N/A</v>
      </c>
      <c r="R55" s="194" t="e">
        <f>VLOOKUP(Q54,Preenchimento!$A:$BV,12,0)</f>
        <v>#N/A</v>
      </c>
      <c r="S55" s="121" t="s">
        <v>300</v>
      </c>
      <c r="U55" s="193" t="e">
        <f>VLOOKUP(T54,Preenchimento!$A:$BV,12,0)</f>
        <v>#N/A</v>
      </c>
      <c r="V55" s="193" t="e">
        <f>VLOOKUP(U54,Preenchimento!$A:$BV,12,0)</f>
        <v>#N/A</v>
      </c>
      <c r="W55" s="193" t="e">
        <f>VLOOKUP(V54,Preenchimento!$A:$BV,12,0)</f>
        <v>#N/A</v>
      </c>
      <c r="X55" s="194" t="e">
        <f>VLOOKUP(W54,Preenchimento!$A:$BV,12,0)</f>
        <v>#N/A</v>
      </c>
    </row>
    <row r="56" spans="1:24" ht="9.75" customHeight="1" x14ac:dyDescent="0.15">
      <c r="A56" s="123" t="s">
        <v>301</v>
      </c>
      <c r="B56" s="195" t="e">
        <f>IF(VLOOKUP(B54,Preenchimento!$A:$BV,11,0)=0,"",VLOOKUP(B54,Preenchimento!$A:$BV,11,0))</f>
        <v>#N/A</v>
      </c>
      <c r="C56" s="195"/>
      <c r="D56" s="195"/>
      <c r="E56" s="195"/>
      <c r="F56" s="196"/>
      <c r="G56" s="123" t="s">
        <v>301</v>
      </c>
      <c r="H56" s="195" t="e">
        <f>IF(VLOOKUP(H54,Preenchimento!$A:$BV,11,0)=0,"",VLOOKUP(H54,Preenchimento!$A:$BV,11,0))</f>
        <v>#N/A</v>
      </c>
      <c r="I56" s="195"/>
      <c r="J56" s="195"/>
      <c r="K56" s="195"/>
      <c r="L56" s="196"/>
      <c r="M56" s="123" t="s">
        <v>301</v>
      </c>
      <c r="N56" s="195" t="e">
        <f>IF(VLOOKUP(N54,Preenchimento!$A:$BV,11,0)=0,"",VLOOKUP(N54,Preenchimento!$A:$BV,11,0))</f>
        <v>#N/A</v>
      </c>
      <c r="O56" s="195"/>
      <c r="P56" s="195"/>
      <c r="Q56" s="195"/>
      <c r="R56" s="196"/>
      <c r="S56" s="123" t="s">
        <v>301</v>
      </c>
      <c r="T56" s="195" t="e">
        <f>IF(VLOOKUP(T54,Preenchimento!$A:$BV,11,0)=0,"",VLOOKUP(T54,Preenchimento!$A:$BV,11,0))</f>
        <v>#N/A</v>
      </c>
      <c r="U56" s="195"/>
      <c r="V56" s="195"/>
      <c r="W56" s="195"/>
      <c r="X56" s="196"/>
    </row>
    <row r="57" spans="1:24" s="130" customFormat="1" ht="33.950000000000003" customHeight="1" x14ac:dyDescent="0.25">
      <c r="A57" s="199" t="str">
        <f>Sitio!$A$3</f>
        <v>Projeto 01</v>
      </c>
      <c r="B57" s="200"/>
      <c r="C57" s="200"/>
      <c r="D57" s="200"/>
      <c r="E57" s="200"/>
      <c r="F57" s="201"/>
      <c r="G57" s="199" t="str">
        <f>Sitio!$A$3</f>
        <v>Projeto 01</v>
      </c>
      <c r="H57" s="200"/>
      <c r="I57" s="200"/>
      <c r="J57" s="200"/>
      <c r="K57" s="200"/>
      <c r="L57" s="201"/>
      <c r="M57" s="199" t="str">
        <f>Sitio!$A$3</f>
        <v>Projeto 01</v>
      </c>
      <c r="N57" s="200"/>
      <c r="O57" s="200"/>
      <c r="P57" s="200"/>
      <c r="Q57" s="200"/>
      <c r="R57" s="201"/>
      <c r="S57" s="199" t="str">
        <f>Sitio!$A$3</f>
        <v>Projeto 01</v>
      </c>
      <c r="T57" s="200"/>
      <c r="U57" s="200"/>
      <c r="V57" s="200"/>
      <c r="W57" s="200"/>
      <c r="X57" s="201"/>
    </row>
    <row r="58" spans="1:24" ht="9.75" customHeight="1" x14ac:dyDescent="0.15">
      <c r="A58" s="121" t="s">
        <v>294</v>
      </c>
      <c r="B58" s="193">
        <f>Sitio!$E$3</f>
        <v>0</v>
      </c>
      <c r="C58" s="193"/>
      <c r="D58" s="193"/>
      <c r="E58" s="193"/>
      <c r="F58" s="194"/>
      <c r="G58" s="121" t="s">
        <v>294</v>
      </c>
      <c r="H58" s="193">
        <f>Sitio!$E$3</f>
        <v>0</v>
      </c>
      <c r="I58" s="193"/>
      <c r="J58" s="193"/>
      <c r="K58" s="193"/>
      <c r="L58" s="194"/>
      <c r="M58" s="121" t="s">
        <v>294</v>
      </c>
      <c r="N58" s="193">
        <f>Sitio!$E$3</f>
        <v>0</v>
      </c>
      <c r="O58" s="193"/>
      <c r="P58" s="193"/>
      <c r="Q58" s="193"/>
      <c r="R58" s="194"/>
      <c r="S58" s="121" t="s">
        <v>294</v>
      </c>
      <c r="T58" s="193">
        <f>Sitio!$E$3</f>
        <v>0</v>
      </c>
      <c r="U58" s="193"/>
      <c r="V58" s="193"/>
      <c r="W58" s="193"/>
      <c r="X58" s="194"/>
    </row>
    <row r="59" spans="1:24" ht="9.75" customHeight="1" x14ac:dyDescent="0.15">
      <c r="A59" s="121" t="s">
        <v>295</v>
      </c>
      <c r="C59" s="193" t="e">
        <f>VLOOKUP(B61,Preenchimento!$A:$BV,2,0)</f>
        <v>#N/A</v>
      </c>
      <c r="D59" s="193" t="e">
        <f>VLOOKUP(C61,Preenchimento!$A:$BV,2,0)</f>
        <v>#N/A</v>
      </c>
      <c r="E59" s="193" t="e">
        <f>VLOOKUP(D61,Preenchimento!$A:$BV,2,0)</f>
        <v>#N/A</v>
      </c>
      <c r="F59" s="194" t="e">
        <f>VLOOKUP(E61,Preenchimento!$A:$BV,2,0)</f>
        <v>#N/A</v>
      </c>
      <c r="G59" s="121" t="s">
        <v>295</v>
      </c>
      <c r="I59" s="193" t="e">
        <f>VLOOKUP(H61,Preenchimento!$A:$BV,2,0)</f>
        <v>#N/A</v>
      </c>
      <c r="J59" s="193" t="e">
        <f>VLOOKUP(I61,Preenchimento!$A:$BV,2,0)</f>
        <v>#N/A</v>
      </c>
      <c r="K59" s="193" t="e">
        <f>VLOOKUP(J61,Preenchimento!$A:$BV,2,0)</f>
        <v>#N/A</v>
      </c>
      <c r="L59" s="194" t="e">
        <f>VLOOKUP(K61,Preenchimento!$A:$BV,2,0)</f>
        <v>#N/A</v>
      </c>
      <c r="M59" s="121" t="s">
        <v>295</v>
      </c>
      <c r="O59" s="193" t="e">
        <f>VLOOKUP(N61,Preenchimento!$A:$BV,2,0)</f>
        <v>#N/A</v>
      </c>
      <c r="P59" s="193" t="e">
        <f>VLOOKUP(O61,Preenchimento!$A:$BV,2,0)</f>
        <v>#N/A</v>
      </c>
      <c r="Q59" s="193" t="e">
        <f>VLOOKUP(P61,Preenchimento!$A:$BV,2,0)</f>
        <v>#N/A</v>
      </c>
      <c r="R59" s="194" t="e">
        <f>VLOOKUP(Q61,Preenchimento!$A:$BV,2,0)</f>
        <v>#N/A</v>
      </c>
      <c r="S59" s="121" t="s">
        <v>295</v>
      </c>
      <c r="U59" s="193" t="e">
        <f>VLOOKUP(T61,Preenchimento!$A:$BV,2,0)</f>
        <v>#N/A</v>
      </c>
      <c r="V59" s="193" t="e">
        <f>VLOOKUP(U61,Preenchimento!$A:$BV,2,0)</f>
        <v>#N/A</v>
      </c>
      <c r="W59" s="193" t="e">
        <f>VLOOKUP(V61,Preenchimento!$A:$BV,2,0)</f>
        <v>#N/A</v>
      </c>
      <c r="X59" s="194" t="e">
        <f>VLOOKUP(W61,Preenchimento!$A:$BV,2,0)</f>
        <v>#N/A</v>
      </c>
    </row>
    <row r="60" spans="1:24" ht="9.75" customHeight="1" x14ac:dyDescent="0.15">
      <c r="A60" s="121" t="s">
        <v>296</v>
      </c>
      <c r="B60" s="193" t="e">
        <f>VLOOKUP(B61,Preenchimento!$A:$BV,3,0)</f>
        <v>#N/A</v>
      </c>
      <c r="C60" s="193" t="e">
        <f>VLOOKUP(C61,Preenchimento!$A:$BV,3,0)</f>
        <v>#N/A</v>
      </c>
      <c r="D60" s="120" t="s">
        <v>297</v>
      </c>
      <c r="E60" s="197" t="e">
        <f>VLOOKUP(B61,Preenchimento!$A:$BV,5,0)</f>
        <v>#N/A</v>
      </c>
      <c r="F60" s="198" t="e">
        <f>VLOOKUP(C61,Preenchimento!$A:$BV,5,0)</f>
        <v>#N/A</v>
      </c>
      <c r="G60" s="121" t="s">
        <v>296</v>
      </c>
      <c r="H60" s="193" t="e">
        <f>VLOOKUP(H61,Preenchimento!$A:$BV,3,0)</f>
        <v>#N/A</v>
      </c>
      <c r="I60" s="193" t="e">
        <f>VLOOKUP(I61,Preenchimento!$A:$BV,3,0)</f>
        <v>#N/A</v>
      </c>
      <c r="J60" s="120" t="s">
        <v>297</v>
      </c>
      <c r="K60" s="197" t="e">
        <f>VLOOKUP(H61,Preenchimento!$A:$BV,5,0)</f>
        <v>#N/A</v>
      </c>
      <c r="L60" s="198" t="e">
        <f>VLOOKUP(I61,Preenchimento!$A:$BV,5,0)</f>
        <v>#N/A</v>
      </c>
      <c r="M60" s="121" t="s">
        <v>296</v>
      </c>
      <c r="N60" s="193" t="e">
        <f>VLOOKUP(N61,Preenchimento!$A:$BV,3,0)</f>
        <v>#N/A</v>
      </c>
      <c r="O60" s="193" t="e">
        <f>VLOOKUP(O61,Preenchimento!$A:$BV,3,0)</f>
        <v>#N/A</v>
      </c>
      <c r="P60" s="120" t="s">
        <v>297</v>
      </c>
      <c r="Q60" s="197" t="e">
        <f>VLOOKUP(N61,Preenchimento!$A:$BV,5,0)</f>
        <v>#N/A</v>
      </c>
      <c r="R60" s="198" t="e">
        <f>VLOOKUP(O61,Preenchimento!$A:$BV,5,0)</f>
        <v>#N/A</v>
      </c>
      <c r="S60" s="121" t="s">
        <v>296</v>
      </c>
      <c r="T60" s="193" t="e">
        <f>VLOOKUP(T61,Preenchimento!$A:$BV,3,0)</f>
        <v>#N/A</v>
      </c>
      <c r="U60" s="193" t="e">
        <f>VLOOKUP(U61,Preenchimento!$A:$BV,3,0)</f>
        <v>#N/A</v>
      </c>
      <c r="V60" s="120" t="s">
        <v>297</v>
      </c>
      <c r="W60" s="197" t="e">
        <f>VLOOKUP(T61,Preenchimento!$A:$BV,5,0)</f>
        <v>#N/A</v>
      </c>
      <c r="X60" s="198" t="e">
        <f>VLOOKUP(U61,Preenchimento!$A:$BV,5,0)</f>
        <v>#N/A</v>
      </c>
    </row>
    <row r="61" spans="1:24" ht="9.75" customHeight="1" x14ac:dyDescent="0.15">
      <c r="A61" s="121" t="s">
        <v>298</v>
      </c>
      <c r="B61" s="193"/>
      <c r="C61" s="193"/>
      <c r="D61" s="120" t="s">
        <v>299</v>
      </c>
      <c r="F61" s="131" t="e">
        <f>VLOOKUP(B61,Preenchimento!$A:$BV,10,0)</f>
        <v>#N/A</v>
      </c>
      <c r="G61" s="121" t="s">
        <v>298</v>
      </c>
      <c r="H61" s="193"/>
      <c r="I61" s="193"/>
      <c r="J61" s="120" t="s">
        <v>299</v>
      </c>
      <c r="L61" s="131" t="e">
        <f>VLOOKUP(H61,Preenchimento!$A:$BV,10,0)</f>
        <v>#N/A</v>
      </c>
      <c r="M61" s="121" t="s">
        <v>298</v>
      </c>
      <c r="N61" s="193"/>
      <c r="O61" s="193"/>
      <c r="P61" s="120" t="s">
        <v>299</v>
      </c>
      <c r="R61" s="131" t="e">
        <f>VLOOKUP(N61,Preenchimento!$A:$BV,10,0)</f>
        <v>#N/A</v>
      </c>
      <c r="S61" s="121" t="s">
        <v>298</v>
      </c>
      <c r="T61" s="193"/>
      <c r="U61" s="193"/>
      <c r="V61" s="120" t="s">
        <v>299</v>
      </c>
      <c r="X61" s="131" t="e">
        <f>VLOOKUP(T61,Preenchimento!$A:$BV,10,0)</f>
        <v>#N/A</v>
      </c>
    </row>
    <row r="62" spans="1:24" ht="9.75" customHeight="1" x14ac:dyDescent="0.15">
      <c r="A62" s="121" t="s">
        <v>300</v>
      </c>
      <c r="C62" s="193" t="e">
        <f>VLOOKUP(B61,Preenchimento!$A:$BV,12,0)</f>
        <v>#N/A</v>
      </c>
      <c r="D62" s="193" t="e">
        <f>VLOOKUP(C61,Preenchimento!$A:$BV,12,0)</f>
        <v>#N/A</v>
      </c>
      <c r="E62" s="193" t="e">
        <f>VLOOKUP(D61,Preenchimento!$A:$BV,12,0)</f>
        <v>#N/A</v>
      </c>
      <c r="F62" s="194" t="e">
        <f>VLOOKUP(E61,Preenchimento!$A:$BV,12,0)</f>
        <v>#N/A</v>
      </c>
      <c r="G62" s="121" t="s">
        <v>300</v>
      </c>
      <c r="I62" s="193" t="e">
        <f>VLOOKUP(H61,Preenchimento!$A:$BV,12,0)</f>
        <v>#N/A</v>
      </c>
      <c r="J62" s="193" t="e">
        <f>VLOOKUP(I61,Preenchimento!$A:$BV,12,0)</f>
        <v>#N/A</v>
      </c>
      <c r="K62" s="193" t="e">
        <f>VLOOKUP(J61,Preenchimento!$A:$BV,12,0)</f>
        <v>#N/A</v>
      </c>
      <c r="L62" s="194" t="e">
        <f>VLOOKUP(K61,Preenchimento!$A:$BV,12,0)</f>
        <v>#N/A</v>
      </c>
      <c r="M62" s="121" t="s">
        <v>300</v>
      </c>
      <c r="O62" s="193" t="e">
        <f>VLOOKUP(N61,Preenchimento!$A:$BV,12,0)</f>
        <v>#N/A</v>
      </c>
      <c r="P62" s="193" t="e">
        <f>VLOOKUP(O61,Preenchimento!$A:$BV,12,0)</f>
        <v>#N/A</v>
      </c>
      <c r="Q62" s="193" t="e">
        <f>VLOOKUP(P61,Preenchimento!$A:$BV,12,0)</f>
        <v>#N/A</v>
      </c>
      <c r="R62" s="194" t="e">
        <f>VLOOKUP(Q61,Preenchimento!$A:$BV,12,0)</f>
        <v>#N/A</v>
      </c>
      <c r="S62" s="121" t="s">
        <v>300</v>
      </c>
      <c r="U62" s="193" t="e">
        <f>VLOOKUP(T61,Preenchimento!$A:$BV,12,0)</f>
        <v>#N/A</v>
      </c>
      <c r="V62" s="193" t="e">
        <f>VLOOKUP(U61,Preenchimento!$A:$BV,12,0)</f>
        <v>#N/A</v>
      </c>
      <c r="W62" s="193" t="e">
        <f>VLOOKUP(V61,Preenchimento!$A:$BV,12,0)</f>
        <v>#N/A</v>
      </c>
      <c r="X62" s="194" t="e">
        <f>VLOOKUP(W61,Preenchimento!$A:$BV,12,0)</f>
        <v>#N/A</v>
      </c>
    </row>
    <row r="63" spans="1:24" ht="9.75" customHeight="1" x14ac:dyDescent="0.15">
      <c r="A63" s="123" t="s">
        <v>301</v>
      </c>
      <c r="B63" s="195" t="e">
        <f>IF(VLOOKUP(B61,Preenchimento!$A:$BV,11,0)=0,"",VLOOKUP(B61,Preenchimento!$A:$BV,11,0))</f>
        <v>#N/A</v>
      </c>
      <c r="C63" s="195"/>
      <c r="D63" s="195"/>
      <c r="E63" s="195"/>
      <c r="F63" s="196"/>
      <c r="G63" s="123" t="s">
        <v>301</v>
      </c>
      <c r="H63" s="195" t="e">
        <f>IF(VLOOKUP(H61,Preenchimento!$A:$BV,11,0)=0,"",VLOOKUP(H61,Preenchimento!$A:$BV,11,0))</f>
        <v>#N/A</v>
      </c>
      <c r="I63" s="195"/>
      <c r="J63" s="195"/>
      <c r="K63" s="195"/>
      <c r="L63" s="196"/>
      <c r="M63" s="123" t="s">
        <v>301</v>
      </c>
      <c r="N63" s="195" t="e">
        <f>IF(VLOOKUP(N61,Preenchimento!$A:$BV,11,0)=0,"",VLOOKUP(N61,Preenchimento!$A:$BV,11,0))</f>
        <v>#N/A</v>
      </c>
      <c r="O63" s="195"/>
      <c r="P63" s="195"/>
      <c r="Q63" s="195"/>
      <c r="R63" s="196"/>
      <c r="S63" s="123" t="s">
        <v>301</v>
      </c>
      <c r="T63" s="195" t="e">
        <f>IF(VLOOKUP(T61,Preenchimento!$A:$BV,11,0)=0,"",VLOOKUP(T61,Preenchimento!$A:$BV,11,0))</f>
        <v>#N/A</v>
      </c>
      <c r="U63" s="195"/>
      <c r="V63" s="195"/>
      <c r="W63" s="195"/>
      <c r="X63" s="196"/>
    </row>
    <row r="64" spans="1:24" s="130" customFormat="1" ht="33.950000000000003" customHeight="1" x14ac:dyDescent="0.25">
      <c r="A64" s="199" t="str">
        <f>Sitio!$A$3</f>
        <v>Projeto 01</v>
      </c>
      <c r="B64" s="200"/>
      <c r="C64" s="200"/>
      <c r="D64" s="200"/>
      <c r="E64" s="200"/>
      <c r="F64" s="201"/>
      <c r="G64" s="199" t="str">
        <f>Sitio!$A$3</f>
        <v>Projeto 01</v>
      </c>
      <c r="H64" s="200"/>
      <c r="I64" s="200"/>
      <c r="J64" s="200"/>
      <c r="K64" s="200"/>
      <c r="L64" s="201"/>
      <c r="M64" s="199" t="str">
        <f>Sitio!$A$3</f>
        <v>Projeto 01</v>
      </c>
      <c r="N64" s="200"/>
      <c r="O64" s="200"/>
      <c r="P64" s="200"/>
      <c r="Q64" s="200"/>
      <c r="R64" s="201"/>
      <c r="S64" s="199" t="str">
        <f>Sitio!$A$3</f>
        <v>Projeto 01</v>
      </c>
      <c r="T64" s="200"/>
      <c r="U64" s="200"/>
      <c r="V64" s="200"/>
      <c r="W64" s="200"/>
      <c r="X64" s="201"/>
    </row>
    <row r="65" spans="1:24" ht="9.75" customHeight="1" x14ac:dyDescent="0.15">
      <c r="A65" s="121" t="s">
        <v>294</v>
      </c>
      <c r="B65" s="193">
        <f>Sitio!$E$3</f>
        <v>0</v>
      </c>
      <c r="C65" s="193"/>
      <c r="D65" s="193"/>
      <c r="E65" s="193"/>
      <c r="F65" s="194"/>
      <c r="G65" s="121" t="s">
        <v>294</v>
      </c>
      <c r="H65" s="193">
        <f>Sitio!$E$3</f>
        <v>0</v>
      </c>
      <c r="I65" s="193"/>
      <c r="J65" s="193"/>
      <c r="K65" s="193"/>
      <c r="L65" s="194"/>
      <c r="M65" s="121" t="s">
        <v>294</v>
      </c>
      <c r="N65" s="193">
        <f>Sitio!$E$3</f>
        <v>0</v>
      </c>
      <c r="O65" s="193"/>
      <c r="P65" s="193"/>
      <c r="Q65" s="193"/>
      <c r="R65" s="194"/>
      <c r="S65" s="121" t="s">
        <v>294</v>
      </c>
      <c r="T65" s="193">
        <f>Sitio!$E$3</f>
        <v>0</v>
      </c>
      <c r="U65" s="193"/>
      <c r="V65" s="193"/>
      <c r="W65" s="193"/>
      <c r="X65" s="194"/>
    </row>
    <row r="66" spans="1:24" ht="9.75" customHeight="1" x14ac:dyDescent="0.15">
      <c r="A66" s="121" t="s">
        <v>295</v>
      </c>
      <c r="C66" s="193" t="e">
        <f>VLOOKUP(B68,Preenchimento!$A:$BV,2,0)</f>
        <v>#N/A</v>
      </c>
      <c r="D66" s="193" t="e">
        <f>VLOOKUP(C68,Preenchimento!$A:$BV,2,0)</f>
        <v>#N/A</v>
      </c>
      <c r="E66" s="193" t="e">
        <f>VLOOKUP(D68,Preenchimento!$A:$BV,2,0)</f>
        <v>#N/A</v>
      </c>
      <c r="F66" s="194" t="e">
        <f>VLOOKUP(E68,Preenchimento!$A:$BV,2,0)</f>
        <v>#N/A</v>
      </c>
      <c r="G66" s="121" t="s">
        <v>295</v>
      </c>
      <c r="I66" s="193" t="e">
        <f>VLOOKUP(H68,Preenchimento!$A:$BV,2,0)</f>
        <v>#N/A</v>
      </c>
      <c r="J66" s="193" t="e">
        <f>VLOOKUP(I68,Preenchimento!$A:$BV,2,0)</f>
        <v>#N/A</v>
      </c>
      <c r="K66" s="193" t="e">
        <f>VLOOKUP(J68,Preenchimento!$A:$BV,2,0)</f>
        <v>#N/A</v>
      </c>
      <c r="L66" s="194" t="e">
        <f>VLOOKUP(K68,Preenchimento!$A:$BV,2,0)</f>
        <v>#N/A</v>
      </c>
      <c r="M66" s="121" t="s">
        <v>295</v>
      </c>
      <c r="O66" s="193" t="e">
        <f>VLOOKUP(N68,Preenchimento!$A:$BV,2,0)</f>
        <v>#N/A</v>
      </c>
      <c r="P66" s="193" t="e">
        <f>VLOOKUP(O68,Preenchimento!$A:$BV,2,0)</f>
        <v>#N/A</v>
      </c>
      <c r="Q66" s="193" t="e">
        <f>VLOOKUP(P68,Preenchimento!$A:$BV,2,0)</f>
        <v>#N/A</v>
      </c>
      <c r="R66" s="194" t="e">
        <f>VLOOKUP(Q68,Preenchimento!$A:$BV,2,0)</f>
        <v>#N/A</v>
      </c>
      <c r="S66" s="121" t="s">
        <v>295</v>
      </c>
      <c r="U66" s="193" t="e">
        <f>VLOOKUP(T68,Preenchimento!$A:$BV,2,0)</f>
        <v>#N/A</v>
      </c>
      <c r="V66" s="193" t="e">
        <f>VLOOKUP(U68,Preenchimento!$A:$BV,2,0)</f>
        <v>#N/A</v>
      </c>
      <c r="W66" s="193" t="e">
        <f>VLOOKUP(V68,Preenchimento!$A:$BV,2,0)</f>
        <v>#N/A</v>
      </c>
      <c r="X66" s="194" t="e">
        <f>VLOOKUP(W68,Preenchimento!$A:$BV,2,0)</f>
        <v>#N/A</v>
      </c>
    </row>
    <row r="67" spans="1:24" ht="9.75" customHeight="1" x14ac:dyDescent="0.15">
      <c r="A67" s="121" t="s">
        <v>296</v>
      </c>
      <c r="B67" s="193" t="e">
        <f>VLOOKUP(B68,Preenchimento!$A:$BV,3,0)</f>
        <v>#N/A</v>
      </c>
      <c r="C67" s="193" t="e">
        <f>VLOOKUP(C68,Preenchimento!$A:$BV,3,0)</f>
        <v>#N/A</v>
      </c>
      <c r="D67" s="120" t="s">
        <v>297</v>
      </c>
      <c r="E67" s="197" t="e">
        <f>VLOOKUP(B68,Preenchimento!$A:$BV,5,0)</f>
        <v>#N/A</v>
      </c>
      <c r="F67" s="198" t="e">
        <f>VLOOKUP(C68,Preenchimento!$A:$BV,5,0)</f>
        <v>#N/A</v>
      </c>
      <c r="G67" s="121" t="s">
        <v>296</v>
      </c>
      <c r="H67" s="193" t="e">
        <f>VLOOKUP(H68,Preenchimento!$A:$BV,3,0)</f>
        <v>#N/A</v>
      </c>
      <c r="I67" s="193" t="e">
        <f>VLOOKUP(I68,Preenchimento!$A:$BV,3,0)</f>
        <v>#N/A</v>
      </c>
      <c r="J67" s="120" t="s">
        <v>297</v>
      </c>
      <c r="K67" s="197" t="e">
        <f>VLOOKUP(H68,Preenchimento!$A:$BV,5,0)</f>
        <v>#N/A</v>
      </c>
      <c r="L67" s="198" t="e">
        <f>VLOOKUP(I68,Preenchimento!$A:$BV,5,0)</f>
        <v>#N/A</v>
      </c>
      <c r="M67" s="121" t="s">
        <v>296</v>
      </c>
      <c r="N67" s="193" t="e">
        <f>VLOOKUP(N68,Preenchimento!$A:$BV,3,0)</f>
        <v>#N/A</v>
      </c>
      <c r="O67" s="193" t="e">
        <f>VLOOKUP(O68,Preenchimento!$A:$BV,3,0)</f>
        <v>#N/A</v>
      </c>
      <c r="P67" s="120" t="s">
        <v>297</v>
      </c>
      <c r="Q67" s="197" t="e">
        <f>VLOOKUP(N68,Preenchimento!$A:$BV,5,0)</f>
        <v>#N/A</v>
      </c>
      <c r="R67" s="198" t="e">
        <f>VLOOKUP(O68,Preenchimento!$A:$BV,5,0)</f>
        <v>#N/A</v>
      </c>
      <c r="S67" s="121" t="s">
        <v>296</v>
      </c>
      <c r="T67" s="193" t="e">
        <f>VLOOKUP(T68,Preenchimento!$A:$BV,3,0)</f>
        <v>#N/A</v>
      </c>
      <c r="U67" s="193" t="e">
        <f>VLOOKUP(U68,Preenchimento!$A:$BV,3,0)</f>
        <v>#N/A</v>
      </c>
      <c r="V67" s="120" t="s">
        <v>297</v>
      </c>
      <c r="W67" s="197" t="e">
        <f>VLOOKUP(T68,Preenchimento!$A:$BV,5,0)</f>
        <v>#N/A</v>
      </c>
      <c r="X67" s="198" t="e">
        <f>VLOOKUP(U68,Preenchimento!$A:$BV,5,0)</f>
        <v>#N/A</v>
      </c>
    </row>
    <row r="68" spans="1:24" ht="9.75" customHeight="1" x14ac:dyDescent="0.15">
      <c r="A68" s="121" t="s">
        <v>298</v>
      </c>
      <c r="B68" s="193"/>
      <c r="C68" s="193"/>
      <c r="D68" s="120" t="s">
        <v>299</v>
      </c>
      <c r="F68" s="131" t="e">
        <f>VLOOKUP(B68,Preenchimento!$A:$BV,10,0)</f>
        <v>#N/A</v>
      </c>
      <c r="G68" s="121" t="s">
        <v>298</v>
      </c>
      <c r="H68" s="193"/>
      <c r="I68" s="193"/>
      <c r="J68" s="120" t="s">
        <v>299</v>
      </c>
      <c r="L68" s="131" t="e">
        <f>VLOOKUP(H68,Preenchimento!$A:$BV,10,0)</f>
        <v>#N/A</v>
      </c>
      <c r="M68" s="121" t="s">
        <v>298</v>
      </c>
      <c r="N68" s="193"/>
      <c r="O68" s="193"/>
      <c r="P68" s="120" t="s">
        <v>299</v>
      </c>
      <c r="R68" s="131" t="e">
        <f>VLOOKUP(N68,Preenchimento!$A:$BV,10,0)</f>
        <v>#N/A</v>
      </c>
      <c r="S68" s="121" t="s">
        <v>298</v>
      </c>
      <c r="T68" s="193"/>
      <c r="U68" s="193"/>
      <c r="V68" s="120" t="s">
        <v>299</v>
      </c>
      <c r="X68" s="131" t="e">
        <f>VLOOKUP(T68,Preenchimento!$A:$BV,10,0)</f>
        <v>#N/A</v>
      </c>
    </row>
    <row r="69" spans="1:24" ht="9.75" customHeight="1" x14ac:dyDescent="0.15">
      <c r="A69" s="121" t="s">
        <v>300</v>
      </c>
      <c r="C69" s="193" t="e">
        <f>VLOOKUP(B68,Preenchimento!$A:$BV,12,0)</f>
        <v>#N/A</v>
      </c>
      <c r="D69" s="193" t="e">
        <f>VLOOKUP(C68,Preenchimento!$A:$BV,12,0)</f>
        <v>#N/A</v>
      </c>
      <c r="E69" s="193" t="e">
        <f>VLOOKUP(D68,Preenchimento!$A:$BV,12,0)</f>
        <v>#N/A</v>
      </c>
      <c r="F69" s="194" t="e">
        <f>VLOOKUP(E68,Preenchimento!$A:$BV,12,0)</f>
        <v>#N/A</v>
      </c>
      <c r="G69" s="121" t="s">
        <v>300</v>
      </c>
      <c r="I69" s="193" t="e">
        <f>VLOOKUP(H68,Preenchimento!$A:$BV,12,0)</f>
        <v>#N/A</v>
      </c>
      <c r="J69" s="193" t="e">
        <f>VLOOKUP(I68,Preenchimento!$A:$BV,12,0)</f>
        <v>#N/A</v>
      </c>
      <c r="K69" s="193" t="e">
        <f>VLOOKUP(J68,Preenchimento!$A:$BV,12,0)</f>
        <v>#N/A</v>
      </c>
      <c r="L69" s="194" t="e">
        <f>VLOOKUP(K68,Preenchimento!$A:$BV,12,0)</f>
        <v>#N/A</v>
      </c>
      <c r="M69" s="121" t="s">
        <v>300</v>
      </c>
      <c r="O69" s="193" t="e">
        <f>VLOOKUP(N68,Preenchimento!$A:$BV,12,0)</f>
        <v>#N/A</v>
      </c>
      <c r="P69" s="193" t="e">
        <f>VLOOKUP(O68,Preenchimento!$A:$BV,12,0)</f>
        <v>#N/A</v>
      </c>
      <c r="Q69" s="193" t="e">
        <f>VLOOKUP(P68,Preenchimento!$A:$BV,12,0)</f>
        <v>#N/A</v>
      </c>
      <c r="R69" s="194" t="e">
        <f>VLOOKUP(Q68,Preenchimento!$A:$BV,12,0)</f>
        <v>#N/A</v>
      </c>
      <c r="S69" s="121" t="s">
        <v>300</v>
      </c>
      <c r="U69" s="193" t="e">
        <f>VLOOKUP(T68,Preenchimento!$A:$BV,12,0)</f>
        <v>#N/A</v>
      </c>
      <c r="V69" s="193" t="e">
        <f>VLOOKUP(U68,Preenchimento!$A:$BV,12,0)</f>
        <v>#N/A</v>
      </c>
      <c r="W69" s="193" t="e">
        <f>VLOOKUP(V68,Preenchimento!$A:$BV,12,0)</f>
        <v>#N/A</v>
      </c>
      <c r="X69" s="194" t="e">
        <f>VLOOKUP(W68,Preenchimento!$A:$BV,12,0)</f>
        <v>#N/A</v>
      </c>
    </row>
    <row r="70" spans="1:24" ht="9.75" customHeight="1" x14ac:dyDescent="0.15">
      <c r="A70" s="123" t="s">
        <v>301</v>
      </c>
      <c r="B70" s="195" t="e">
        <f>IF(VLOOKUP(B68,Preenchimento!$A:$BV,11,0)=0,"",VLOOKUP(B68,Preenchimento!$A:$BV,11,0))</f>
        <v>#N/A</v>
      </c>
      <c r="C70" s="195"/>
      <c r="D70" s="195"/>
      <c r="E70" s="195"/>
      <c r="F70" s="196"/>
      <c r="G70" s="123" t="s">
        <v>301</v>
      </c>
      <c r="H70" s="195" t="e">
        <f>IF(VLOOKUP(H68,Preenchimento!$A:$BV,11,0)=0,"",VLOOKUP(H68,Preenchimento!$A:$BV,11,0))</f>
        <v>#N/A</v>
      </c>
      <c r="I70" s="195"/>
      <c r="J70" s="195"/>
      <c r="K70" s="195"/>
      <c r="L70" s="196"/>
      <c r="M70" s="123" t="s">
        <v>301</v>
      </c>
      <c r="N70" s="195" t="e">
        <f>IF(VLOOKUP(N68,Preenchimento!$A:$BV,11,0)=0,"",VLOOKUP(N68,Preenchimento!$A:$BV,11,0))</f>
        <v>#N/A</v>
      </c>
      <c r="O70" s="195"/>
      <c r="P70" s="195"/>
      <c r="Q70" s="195"/>
      <c r="R70" s="196"/>
      <c r="S70" s="123" t="s">
        <v>301</v>
      </c>
      <c r="T70" s="195" t="e">
        <f>IF(VLOOKUP(T68,Preenchimento!$A:$BV,11,0)=0,"",VLOOKUP(T68,Preenchimento!$A:$BV,11,0))</f>
        <v>#N/A</v>
      </c>
      <c r="U70" s="195"/>
      <c r="V70" s="195"/>
      <c r="W70" s="195"/>
      <c r="X70" s="196"/>
    </row>
    <row r="71" spans="1:24" s="130" customFormat="1" ht="33.950000000000003" customHeight="1" x14ac:dyDescent="0.25">
      <c r="A71" s="199" t="str">
        <f>Sitio!$A$3</f>
        <v>Projeto 01</v>
      </c>
      <c r="B71" s="200"/>
      <c r="C71" s="200"/>
      <c r="D71" s="200"/>
      <c r="E71" s="200"/>
      <c r="F71" s="201"/>
      <c r="G71" s="199" t="str">
        <f>Sitio!$A$3</f>
        <v>Projeto 01</v>
      </c>
      <c r="H71" s="200"/>
      <c r="I71" s="200"/>
      <c r="J71" s="200"/>
      <c r="K71" s="200"/>
      <c r="L71" s="201"/>
      <c r="M71" s="199" t="str">
        <f>Sitio!$A$3</f>
        <v>Projeto 01</v>
      </c>
      <c r="N71" s="200"/>
      <c r="O71" s="200"/>
      <c r="P71" s="200"/>
      <c r="Q71" s="200"/>
      <c r="R71" s="201"/>
      <c r="S71" s="199" t="str">
        <f>Sitio!$A$3</f>
        <v>Projeto 01</v>
      </c>
      <c r="T71" s="200"/>
      <c r="U71" s="200"/>
      <c r="V71" s="200"/>
      <c r="W71" s="200"/>
      <c r="X71" s="201"/>
    </row>
    <row r="72" spans="1:24" ht="9.75" customHeight="1" x14ac:dyDescent="0.15">
      <c r="A72" s="121" t="s">
        <v>294</v>
      </c>
      <c r="B72" s="193">
        <f>Sitio!$E$3</f>
        <v>0</v>
      </c>
      <c r="C72" s="193"/>
      <c r="D72" s="193"/>
      <c r="E72" s="193"/>
      <c r="F72" s="194"/>
      <c r="G72" s="121" t="s">
        <v>294</v>
      </c>
      <c r="H72" s="193">
        <f>Sitio!$E$3</f>
        <v>0</v>
      </c>
      <c r="I72" s="193"/>
      <c r="J72" s="193"/>
      <c r="K72" s="193"/>
      <c r="L72" s="194"/>
      <c r="M72" s="121" t="s">
        <v>294</v>
      </c>
      <c r="N72" s="193">
        <f>Sitio!$E$3</f>
        <v>0</v>
      </c>
      <c r="O72" s="193"/>
      <c r="P72" s="193"/>
      <c r="Q72" s="193"/>
      <c r="R72" s="194"/>
      <c r="S72" s="121" t="s">
        <v>294</v>
      </c>
      <c r="T72" s="193">
        <f>Sitio!$E$3</f>
        <v>0</v>
      </c>
      <c r="U72" s="193"/>
      <c r="V72" s="193"/>
      <c r="W72" s="193"/>
      <c r="X72" s="194"/>
    </row>
    <row r="73" spans="1:24" ht="9.75" customHeight="1" x14ac:dyDescent="0.15">
      <c r="A73" s="121" t="s">
        <v>295</v>
      </c>
      <c r="C73" s="193" t="e">
        <f>VLOOKUP(B75,Preenchimento!$A:$BV,2,0)</f>
        <v>#N/A</v>
      </c>
      <c r="D73" s="193" t="e">
        <f>VLOOKUP(C75,Preenchimento!$A:$BV,2,0)</f>
        <v>#N/A</v>
      </c>
      <c r="E73" s="193" t="e">
        <f>VLOOKUP(D75,Preenchimento!$A:$BV,2,0)</f>
        <v>#N/A</v>
      </c>
      <c r="F73" s="194" t="e">
        <f>VLOOKUP(E75,Preenchimento!$A:$BV,2,0)</f>
        <v>#N/A</v>
      </c>
      <c r="G73" s="121" t="s">
        <v>295</v>
      </c>
      <c r="I73" s="193" t="e">
        <f>VLOOKUP(H75,Preenchimento!$A:$BV,2,0)</f>
        <v>#N/A</v>
      </c>
      <c r="J73" s="193" t="e">
        <f>VLOOKUP(I75,Preenchimento!$A:$BV,2,0)</f>
        <v>#N/A</v>
      </c>
      <c r="K73" s="193" t="e">
        <f>VLOOKUP(J75,Preenchimento!$A:$BV,2,0)</f>
        <v>#N/A</v>
      </c>
      <c r="L73" s="194" t="e">
        <f>VLOOKUP(K75,Preenchimento!$A:$BV,2,0)</f>
        <v>#N/A</v>
      </c>
      <c r="M73" s="121" t="s">
        <v>295</v>
      </c>
      <c r="O73" s="193" t="e">
        <f>VLOOKUP(N75,Preenchimento!$A:$BV,2,0)</f>
        <v>#N/A</v>
      </c>
      <c r="P73" s="193" t="e">
        <f>VLOOKUP(O75,Preenchimento!$A:$BV,2,0)</f>
        <v>#N/A</v>
      </c>
      <c r="Q73" s="193" t="e">
        <f>VLOOKUP(P75,Preenchimento!$A:$BV,2,0)</f>
        <v>#N/A</v>
      </c>
      <c r="R73" s="194" t="e">
        <f>VLOOKUP(Q75,Preenchimento!$A:$BV,2,0)</f>
        <v>#N/A</v>
      </c>
      <c r="S73" s="121" t="s">
        <v>295</v>
      </c>
      <c r="U73" s="193" t="e">
        <f>VLOOKUP(T75,Preenchimento!$A:$BV,2,0)</f>
        <v>#N/A</v>
      </c>
      <c r="V73" s="193" t="e">
        <f>VLOOKUP(U75,Preenchimento!$A:$BV,2,0)</f>
        <v>#N/A</v>
      </c>
      <c r="W73" s="193" t="e">
        <f>VLOOKUP(V75,Preenchimento!$A:$BV,2,0)</f>
        <v>#N/A</v>
      </c>
      <c r="X73" s="194" t="e">
        <f>VLOOKUP(W75,Preenchimento!$A:$BV,2,0)</f>
        <v>#N/A</v>
      </c>
    </row>
    <row r="74" spans="1:24" ht="9.75" customHeight="1" x14ac:dyDescent="0.15">
      <c r="A74" s="121" t="s">
        <v>296</v>
      </c>
      <c r="B74" s="193" t="e">
        <f>VLOOKUP(B75,Preenchimento!$A:$BV,3,0)</f>
        <v>#N/A</v>
      </c>
      <c r="C74" s="193" t="e">
        <f>VLOOKUP(C75,Preenchimento!$A:$BV,3,0)</f>
        <v>#N/A</v>
      </c>
      <c r="D74" s="120" t="s">
        <v>297</v>
      </c>
      <c r="E74" s="197" t="e">
        <f>VLOOKUP(B75,Preenchimento!$A:$BV,5,0)</f>
        <v>#N/A</v>
      </c>
      <c r="F74" s="198" t="e">
        <f>VLOOKUP(C75,Preenchimento!$A:$BV,5,0)</f>
        <v>#N/A</v>
      </c>
      <c r="G74" s="121" t="s">
        <v>296</v>
      </c>
      <c r="H74" s="193" t="e">
        <f>VLOOKUP(H75,Preenchimento!$A:$BV,3,0)</f>
        <v>#N/A</v>
      </c>
      <c r="I74" s="193" t="e">
        <f>VLOOKUP(I75,Preenchimento!$A:$BV,3,0)</f>
        <v>#N/A</v>
      </c>
      <c r="J74" s="120" t="s">
        <v>297</v>
      </c>
      <c r="K74" s="197" t="e">
        <f>VLOOKUP(H75,Preenchimento!$A:$BV,5,0)</f>
        <v>#N/A</v>
      </c>
      <c r="L74" s="198" t="e">
        <f>VLOOKUP(I75,Preenchimento!$A:$BV,5,0)</f>
        <v>#N/A</v>
      </c>
      <c r="M74" s="121" t="s">
        <v>296</v>
      </c>
      <c r="N74" s="193" t="e">
        <f>VLOOKUP(N75,Preenchimento!$A:$BV,3,0)</f>
        <v>#N/A</v>
      </c>
      <c r="O74" s="193" t="e">
        <f>VLOOKUP(O75,Preenchimento!$A:$BV,3,0)</f>
        <v>#N/A</v>
      </c>
      <c r="P74" s="120" t="s">
        <v>297</v>
      </c>
      <c r="Q74" s="197" t="e">
        <f>VLOOKUP(N75,Preenchimento!$A:$BV,5,0)</f>
        <v>#N/A</v>
      </c>
      <c r="R74" s="198" t="e">
        <f>VLOOKUP(O75,Preenchimento!$A:$BV,5,0)</f>
        <v>#N/A</v>
      </c>
      <c r="S74" s="121" t="s">
        <v>296</v>
      </c>
      <c r="T74" s="193" t="e">
        <f>VLOOKUP(T75,Preenchimento!$A:$BV,3,0)</f>
        <v>#N/A</v>
      </c>
      <c r="U74" s="193" t="e">
        <f>VLOOKUP(U75,Preenchimento!$A:$BV,3,0)</f>
        <v>#N/A</v>
      </c>
      <c r="V74" s="120" t="s">
        <v>297</v>
      </c>
      <c r="W74" s="197" t="e">
        <f>VLOOKUP(T75,Preenchimento!$A:$BV,5,0)</f>
        <v>#N/A</v>
      </c>
      <c r="X74" s="198" t="e">
        <f>VLOOKUP(U75,Preenchimento!$A:$BV,5,0)</f>
        <v>#N/A</v>
      </c>
    </row>
    <row r="75" spans="1:24" ht="9.75" customHeight="1" x14ac:dyDescent="0.15">
      <c r="A75" s="121" t="s">
        <v>298</v>
      </c>
      <c r="B75" s="193"/>
      <c r="C75" s="193"/>
      <c r="D75" s="120" t="s">
        <v>299</v>
      </c>
      <c r="F75" s="131" t="e">
        <f>VLOOKUP(B75,Preenchimento!$A:$BV,10,0)</f>
        <v>#N/A</v>
      </c>
      <c r="G75" s="121" t="s">
        <v>298</v>
      </c>
      <c r="H75" s="193"/>
      <c r="I75" s="193"/>
      <c r="J75" s="120" t="s">
        <v>299</v>
      </c>
      <c r="L75" s="131" t="e">
        <f>VLOOKUP(H75,Preenchimento!$A:$BV,10,0)</f>
        <v>#N/A</v>
      </c>
      <c r="M75" s="121" t="s">
        <v>298</v>
      </c>
      <c r="N75" s="193"/>
      <c r="O75" s="193"/>
      <c r="P75" s="120" t="s">
        <v>299</v>
      </c>
      <c r="R75" s="131" t="e">
        <f>VLOOKUP(N75,Preenchimento!$A:$BV,10,0)</f>
        <v>#N/A</v>
      </c>
      <c r="S75" s="121" t="s">
        <v>298</v>
      </c>
      <c r="T75" s="193"/>
      <c r="U75" s="193"/>
      <c r="V75" s="120" t="s">
        <v>299</v>
      </c>
      <c r="X75" s="131" t="e">
        <f>VLOOKUP(T75,Preenchimento!$A:$BV,10,0)</f>
        <v>#N/A</v>
      </c>
    </row>
    <row r="76" spans="1:24" ht="9.75" customHeight="1" x14ac:dyDescent="0.15">
      <c r="A76" s="121" t="s">
        <v>300</v>
      </c>
      <c r="C76" s="193" t="e">
        <f>VLOOKUP(B75,Preenchimento!$A:$BV,12,0)</f>
        <v>#N/A</v>
      </c>
      <c r="D76" s="193" t="e">
        <f>VLOOKUP(C75,Preenchimento!$A:$BV,12,0)</f>
        <v>#N/A</v>
      </c>
      <c r="E76" s="193" t="e">
        <f>VLOOKUP(D75,Preenchimento!$A:$BV,12,0)</f>
        <v>#N/A</v>
      </c>
      <c r="F76" s="194" t="e">
        <f>VLOOKUP(E75,Preenchimento!$A:$BV,12,0)</f>
        <v>#N/A</v>
      </c>
      <c r="G76" s="121" t="s">
        <v>300</v>
      </c>
      <c r="I76" s="193" t="e">
        <f>VLOOKUP(H75,Preenchimento!$A:$BV,12,0)</f>
        <v>#N/A</v>
      </c>
      <c r="J76" s="193" t="e">
        <f>VLOOKUP(I75,Preenchimento!$A:$BV,12,0)</f>
        <v>#N/A</v>
      </c>
      <c r="K76" s="193" t="e">
        <f>VLOOKUP(J75,Preenchimento!$A:$BV,12,0)</f>
        <v>#N/A</v>
      </c>
      <c r="L76" s="194" t="e">
        <f>VLOOKUP(K75,Preenchimento!$A:$BV,12,0)</f>
        <v>#N/A</v>
      </c>
      <c r="M76" s="121" t="s">
        <v>300</v>
      </c>
      <c r="O76" s="193" t="e">
        <f>VLOOKUP(N75,Preenchimento!$A:$BV,12,0)</f>
        <v>#N/A</v>
      </c>
      <c r="P76" s="193" t="e">
        <f>VLOOKUP(O75,Preenchimento!$A:$BV,12,0)</f>
        <v>#N/A</v>
      </c>
      <c r="Q76" s="193" t="e">
        <f>VLOOKUP(P75,Preenchimento!$A:$BV,12,0)</f>
        <v>#N/A</v>
      </c>
      <c r="R76" s="194" t="e">
        <f>VLOOKUP(Q75,Preenchimento!$A:$BV,12,0)</f>
        <v>#N/A</v>
      </c>
      <c r="S76" s="121" t="s">
        <v>300</v>
      </c>
      <c r="U76" s="193" t="e">
        <f>VLOOKUP(T75,Preenchimento!$A:$BV,12,0)</f>
        <v>#N/A</v>
      </c>
      <c r="V76" s="193" t="e">
        <f>VLOOKUP(U75,Preenchimento!$A:$BV,12,0)</f>
        <v>#N/A</v>
      </c>
      <c r="W76" s="193" t="e">
        <f>VLOOKUP(V75,Preenchimento!$A:$BV,12,0)</f>
        <v>#N/A</v>
      </c>
      <c r="X76" s="194" t="e">
        <f>VLOOKUP(W75,Preenchimento!$A:$BV,12,0)</f>
        <v>#N/A</v>
      </c>
    </row>
    <row r="77" spans="1:24" ht="9.75" customHeight="1" x14ac:dyDescent="0.15">
      <c r="A77" s="123" t="s">
        <v>301</v>
      </c>
      <c r="B77" s="195" t="e">
        <f>IF(VLOOKUP(B75,Preenchimento!$A:$BV,11,0)=0,"",VLOOKUP(B75,Preenchimento!$A:$BV,11,0))</f>
        <v>#N/A</v>
      </c>
      <c r="C77" s="195"/>
      <c r="D77" s="195"/>
      <c r="E77" s="195"/>
      <c r="F77" s="196"/>
      <c r="G77" s="123" t="s">
        <v>301</v>
      </c>
      <c r="H77" s="195" t="e">
        <f>IF(VLOOKUP(H75,Preenchimento!$A:$BV,11,0)=0,"",VLOOKUP(H75,Preenchimento!$A:$BV,11,0))</f>
        <v>#N/A</v>
      </c>
      <c r="I77" s="195"/>
      <c r="J77" s="195"/>
      <c r="K77" s="195"/>
      <c r="L77" s="196"/>
      <c r="M77" s="123" t="s">
        <v>301</v>
      </c>
      <c r="N77" s="195" t="e">
        <f>IF(VLOOKUP(N75,Preenchimento!$A:$BV,11,0)=0,"",VLOOKUP(N75,Preenchimento!$A:$BV,11,0))</f>
        <v>#N/A</v>
      </c>
      <c r="O77" s="195"/>
      <c r="P77" s="195"/>
      <c r="Q77" s="195"/>
      <c r="R77" s="196"/>
      <c r="S77" s="123" t="s">
        <v>301</v>
      </c>
      <c r="T77" s="195" t="e">
        <f>IF(VLOOKUP(T75,Preenchimento!$A:$BV,11,0)=0,"",VLOOKUP(T75,Preenchimento!$A:$BV,11,0))</f>
        <v>#N/A</v>
      </c>
      <c r="U77" s="195"/>
      <c r="V77" s="195"/>
      <c r="W77" s="195"/>
      <c r="X77" s="196"/>
    </row>
    <row r="78" spans="1:24" s="130" customFormat="1" ht="33.950000000000003" customHeight="1" x14ac:dyDescent="0.25">
      <c r="A78" s="199" t="str">
        <f>Sitio!$A$3</f>
        <v>Projeto 01</v>
      </c>
      <c r="B78" s="200"/>
      <c r="C78" s="200"/>
      <c r="D78" s="200"/>
      <c r="E78" s="200"/>
      <c r="F78" s="201"/>
      <c r="G78" s="199" t="str">
        <f>Sitio!$A$3</f>
        <v>Projeto 01</v>
      </c>
      <c r="H78" s="200"/>
      <c r="I78" s="200"/>
      <c r="J78" s="200"/>
      <c r="K78" s="200"/>
      <c r="L78" s="201"/>
      <c r="M78" s="199" t="str">
        <f>Sitio!$A$3</f>
        <v>Projeto 01</v>
      </c>
      <c r="N78" s="200"/>
      <c r="O78" s="200"/>
      <c r="P78" s="200"/>
      <c r="Q78" s="200"/>
      <c r="R78" s="201"/>
      <c r="S78" s="199" t="str">
        <f>Sitio!$A$3</f>
        <v>Projeto 01</v>
      </c>
      <c r="T78" s="200"/>
      <c r="U78" s="200"/>
      <c r="V78" s="200"/>
      <c r="W78" s="200"/>
      <c r="X78" s="201"/>
    </row>
    <row r="79" spans="1:24" ht="9.75" customHeight="1" x14ac:dyDescent="0.15">
      <c r="A79" s="121" t="s">
        <v>294</v>
      </c>
      <c r="B79" s="193">
        <f>Sitio!$E$3</f>
        <v>0</v>
      </c>
      <c r="C79" s="193"/>
      <c r="D79" s="193"/>
      <c r="E79" s="193"/>
      <c r="F79" s="194"/>
      <c r="G79" s="121" t="s">
        <v>294</v>
      </c>
      <c r="H79" s="193">
        <f>Sitio!$E$3</f>
        <v>0</v>
      </c>
      <c r="I79" s="193"/>
      <c r="J79" s="193"/>
      <c r="K79" s="193"/>
      <c r="L79" s="194"/>
      <c r="M79" s="121" t="s">
        <v>294</v>
      </c>
      <c r="N79" s="193">
        <f>Sitio!$E$3</f>
        <v>0</v>
      </c>
      <c r="O79" s="193"/>
      <c r="P79" s="193"/>
      <c r="Q79" s="193"/>
      <c r="R79" s="194"/>
      <c r="S79" s="121" t="s">
        <v>294</v>
      </c>
      <c r="T79" s="193">
        <f>Sitio!$E$3</f>
        <v>0</v>
      </c>
      <c r="U79" s="193"/>
      <c r="V79" s="193"/>
      <c r="W79" s="193"/>
      <c r="X79" s="194"/>
    </row>
    <row r="80" spans="1:24" ht="9.75" customHeight="1" x14ac:dyDescent="0.15">
      <c r="A80" s="121" t="s">
        <v>295</v>
      </c>
      <c r="C80" s="193" t="e">
        <f>VLOOKUP(B82,Preenchimento!$A:$BV,2,0)</f>
        <v>#N/A</v>
      </c>
      <c r="D80" s="193" t="e">
        <f>VLOOKUP(C82,Preenchimento!$A:$BV,2,0)</f>
        <v>#N/A</v>
      </c>
      <c r="E80" s="193" t="e">
        <f>VLOOKUP(D82,Preenchimento!$A:$BV,2,0)</f>
        <v>#N/A</v>
      </c>
      <c r="F80" s="194" t="e">
        <f>VLOOKUP(E82,Preenchimento!$A:$BV,2,0)</f>
        <v>#N/A</v>
      </c>
      <c r="G80" s="121" t="s">
        <v>295</v>
      </c>
      <c r="I80" s="193" t="e">
        <f>VLOOKUP(H82,Preenchimento!$A:$BV,2,0)</f>
        <v>#N/A</v>
      </c>
      <c r="J80" s="193" t="e">
        <f>VLOOKUP(I82,Preenchimento!$A:$BV,2,0)</f>
        <v>#N/A</v>
      </c>
      <c r="K80" s="193" t="e">
        <f>VLOOKUP(J82,Preenchimento!$A:$BV,2,0)</f>
        <v>#N/A</v>
      </c>
      <c r="L80" s="194" t="e">
        <f>VLOOKUP(K82,Preenchimento!$A:$BV,2,0)</f>
        <v>#N/A</v>
      </c>
      <c r="M80" s="121" t="s">
        <v>295</v>
      </c>
      <c r="O80" s="193" t="e">
        <f>VLOOKUP(N82,Preenchimento!$A:$BV,2,0)</f>
        <v>#N/A</v>
      </c>
      <c r="P80" s="193" t="e">
        <f>VLOOKUP(O82,Preenchimento!$A:$BV,2,0)</f>
        <v>#N/A</v>
      </c>
      <c r="Q80" s="193" t="e">
        <f>VLOOKUP(P82,Preenchimento!$A:$BV,2,0)</f>
        <v>#N/A</v>
      </c>
      <c r="R80" s="194" t="e">
        <f>VLOOKUP(Q82,Preenchimento!$A:$BV,2,0)</f>
        <v>#N/A</v>
      </c>
      <c r="S80" s="121" t="s">
        <v>295</v>
      </c>
      <c r="U80" s="193" t="e">
        <f>VLOOKUP(T82,Preenchimento!$A:$BV,2,0)</f>
        <v>#N/A</v>
      </c>
      <c r="V80" s="193" t="e">
        <f>VLOOKUP(U82,Preenchimento!$A:$BV,2,0)</f>
        <v>#N/A</v>
      </c>
      <c r="W80" s="193" t="e">
        <f>VLOOKUP(V82,Preenchimento!$A:$BV,2,0)</f>
        <v>#N/A</v>
      </c>
      <c r="X80" s="194" t="e">
        <f>VLOOKUP(W82,Preenchimento!$A:$BV,2,0)</f>
        <v>#N/A</v>
      </c>
    </row>
    <row r="81" spans="1:24" ht="9.75" customHeight="1" x14ac:dyDescent="0.15">
      <c r="A81" s="121" t="s">
        <v>296</v>
      </c>
      <c r="B81" s="193" t="e">
        <f>VLOOKUP(B82,Preenchimento!$A:$BV,3,0)</f>
        <v>#N/A</v>
      </c>
      <c r="C81" s="193" t="e">
        <f>VLOOKUP(C82,Preenchimento!$A:$BV,3,0)</f>
        <v>#N/A</v>
      </c>
      <c r="D81" s="120" t="s">
        <v>297</v>
      </c>
      <c r="E81" s="197" t="e">
        <f>VLOOKUP(B82,Preenchimento!$A:$BV,5,0)</f>
        <v>#N/A</v>
      </c>
      <c r="F81" s="198" t="e">
        <f>VLOOKUP(C82,Preenchimento!$A:$BV,5,0)</f>
        <v>#N/A</v>
      </c>
      <c r="G81" s="121" t="s">
        <v>296</v>
      </c>
      <c r="H81" s="193" t="e">
        <f>VLOOKUP(H82,Preenchimento!$A:$BV,3,0)</f>
        <v>#N/A</v>
      </c>
      <c r="I81" s="193" t="e">
        <f>VLOOKUP(I82,Preenchimento!$A:$BV,3,0)</f>
        <v>#N/A</v>
      </c>
      <c r="J81" s="120" t="s">
        <v>297</v>
      </c>
      <c r="K81" s="197" t="e">
        <f>VLOOKUP(H82,Preenchimento!$A:$BV,5,0)</f>
        <v>#N/A</v>
      </c>
      <c r="L81" s="198" t="e">
        <f>VLOOKUP(I82,Preenchimento!$A:$BV,5,0)</f>
        <v>#N/A</v>
      </c>
      <c r="M81" s="121" t="s">
        <v>296</v>
      </c>
      <c r="N81" s="193" t="e">
        <f>VLOOKUP(N82,Preenchimento!$A:$BV,3,0)</f>
        <v>#N/A</v>
      </c>
      <c r="O81" s="193" t="e">
        <f>VLOOKUP(O82,Preenchimento!$A:$BV,3,0)</f>
        <v>#N/A</v>
      </c>
      <c r="P81" s="120" t="s">
        <v>297</v>
      </c>
      <c r="Q81" s="197" t="e">
        <f>VLOOKUP(N82,Preenchimento!$A:$BV,5,0)</f>
        <v>#N/A</v>
      </c>
      <c r="R81" s="198" t="e">
        <f>VLOOKUP(O82,Preenchimento!$A:$BV,5,0)</f>
        <v>#N/A</v>
      </c>
      <c r="S81" s="121" t="s">
        <v>296</v>
      </c>
      <c r="T81" s="193" t="e">
        <f>VLOOKUP(T82,Preenchimento!$A:$BV,3,0)</f>
        <v>#N/A</v>
      </c>
      <c r="U81" s="193" t="e">
        <f>VLOOKUP(U82,Preenchimento!$A:$BV,3,0)</f>
        <v>#N/A</v>
      </c>
      <c r="V81" s="120" t="s">
        <v>297</v>
      </c>
      <c r="W81" s="197" t="e">
        <f>VLOOKUP(T82,Preenchimento!$A:$BV,5,0)</f>
        <v>#N/A</v>
      </c>
      <c r="X81" s="198" t="e">
        <f>VLOOKUP(U82,Preenchimento!$A:$BV,5,0)</f>
        <v>#N/A</v>
      </c>
    </row>
    <row r="82" spans="1:24" ht="9.75" customHeight="1" x14ac:dyDescent="0.15">
      <c r="A82" s="121" t="s">
        <v>298</v>
      </c>
      <c r="B82" s="193"/>
      <c r="C82" s="193"/>
      <c r="D82" s="120" t="s">
        <v>299</v>
      </c>
      <c r="F82" s="131" t="e">
        <f>VLOOKUP(B82,Preenchimento!$A:$BV,10,0)</f>
        <v>#N/A</v>
      </c>
      <c r="G82" s="121" t="s">
        <v>298</v>
      </c>
      <c r="H82" s="193"/>
      <c r="I82" s="193"/>
      <c r="J82" s="120" t="s">
        <v>299</v>
      </c>
      <c r="L82" s="131" t="e">
        <f>VLOOKUP(H82,Preenchimento!$A:$BV,10,0)</f>
        <v>#N/A</v>
      </c>
      <c r="M82" s="121" t="s">
        <v>298</v>
      </c>
      <c r="N82" s="193"/>
      <c r="O82" s="193"/>
      <c r="P82" s="120" t="s">
        <v>299</v>
      </c>
      <c r="R82" s="131" t="e">
        <f>VLOOKUP(N82,Preenchimento!$A:$BV,10,0)</f>
        <v>#N/A</v>
      </c>
      <c r="S82" s="121" t="s">
        <v>298</v>
      </c>
      <c r="T82" s="193"/>
      <c r="U82" s="193"/>
      <c r="V82" s="120" t="s">
        <v>299</v>
      </c>
      <c r="X82" s="131" t="e">
        <f>VLOOKUP(T82,Preenchimento!$A:$BV,10,0)</f>
        <v>#N/A</v>
      </c>
    </row>
    <row r="83" spans="1:24" ht="9.75" customHeight="1" x14ac:dyDescent="0.15">
      <c r="A83" s="121" t="s">
        <v>300</v>
      </c>
      <c r="C83" s="193" t="e">
        <f>VLOOKUP(B82,Preenchimento!$A:$BV,12,0)</f>
        <v>#N/A</v>
      </c>
      <c r="D83" s="193" t="e">
        <f>VLOOKUP(C82,Preenchimento!$A:$BV,12,0)</f>
        <v>#N/A</v>
      </c>
      <c r="E83" s="193" t="e">
        <f>VLOOKUP(D82,Preenchimento!$A:$BV,12,0)</f>
        <v>#N/A</v>
      </c>
      <c r="F83" s="194" t="e">
        <f>VLOOKUP(E82,Preenchimento!$A:$BV,12,0)</f>
        <v>#N/A</v>
      </c>
      <c r="G83" s="121" t="s">
        <v>300</v>
      </c>
      <c r="I83" s="193" t="e">
        <f>VLOOKUP(H82,Preenchimento!$A:$BV,12,0)</f>
        <v>#N/A</v>
      </c>
      <c r="J83" s="193" t="e">
        <f>VLOOKUP(I82,Preenchimento!$A:$BV,12,0)</f>
        <v>#N/A</v>
      </c>
      <c r="K83" s="193" t="e">
        <f>VLOOKUP(J82,Preenchimento!$A:$BV,12,0)</f>
        <v>#N/A</v>
      </c>
      <c r="L83" s="194" t="e">
        <f>VLOOKUP(K82,Preenchimento!$A:$BV,12,0)</f>
        <v>#N/A</v>
      </c>
      <c r="M83" s="121" t="s">
        <v>300</v>
      </c>
      <c r="O83" s="193" t="e">
        <f>VLOOKUP(N82,Preenchimento!$A:$BV,12,0)</f>
        <v>#N/A</v>
      </c>
      <c r="P83" s="193" t="e">
        <f>VLOOKUP(O82,Preenchimento!$A:$BV,12,0)</f>
        <v>#N/A</v>
      </c>
      <c r="Q83" s="193" t="e">
        <f>VLOOKUP(P82,Preenchimento!$A:$BV,12,0)</f>
        <v>#N/A</v>
      </c>
      <c r="R83" s="194" t="e">
        <f>VLOOKUP(Q82,Preenchimento!$A:$BV,12,0)</f>
        <v>#N/A</v>
      </c>
      <c r="S83" s="121" t="s">
        <v>300</v>
      </c>
      <c r="U83" s="193" t="e">
        <f>VLOOKUP(T82,Preenchimento!$A:$BV,12,0)</f>
        <v>#N/A</v>
      </c>
      <c r="V83" s="193" t="e">
        <f>VLOOKUP(U82,Preenchimento!$A:$BV,12,0)</f>
        <v>#N/A</v>
      </c>
      <c r="W83" s="193" t="e">
        <f>VLOOKUP(V82,Preenchimento!$A:$BV,12,0)</f>
        <v>#N/A</v>
      </c>
      <c r="X83" s="194" t="e">
        <f>VLOOKUP(W82,Preenchimento!$A:$BV,12,0)</f>
        <v>#N/A</v>
      </c>
    </row>
    <row r="84" spans="1:24" ht="9.75" customHeight="1" x14ac:dyDescent="0.15">
      <c r="A84" s="123" t="s">
        <v>301</v>
      </c>
      <c r="B84" s="195" t="e">
        <f>IF(VLOOKUP(B82,Preenchimento!$A:$BV,11,0)=0,"",VLOOKUP(B82,Preenchimento!$A:$BV,11,0))</f>
        <v>#N/A</v>
      </c>
      <c r="C84" s="195"/>
      <c r="D84" s="195"/>
      <c r="E84" s="195"/>
      <c r="F84" s="196"/>
      <c r="G84" s="123" t="s">
        <v>301</v>
      </c>
      <c r="H84" s="195" t="e">
        <f>IF(VLOOKUP(H82,Preenchimento!$A:$BV,11,0)=0,"",VLOOKUP(H82,Preenchimento!$A:$BV,11,0))</f>
        <v>#N/A</v>
      </c>
      <c r="I84" s="195"/>
      <c r="J84" s="195"/>
      <c r="K84" s="195"/>
      <c r="L84" s="196"/>
      <c r="M84" s="123" t="s">
        <v>301</v>
      </c>
      <c r="N84" s="195" t="e">
        <f>IF(VLOOKUP(N82,Preenchimento!$A:$BV,11,0)=0,"",VLOOKUP(N82,Preenchimento!$A:$BV,11,0))</f>
        <v>#N/A</v>
      </c>
      <c r="O84" s="195"/>
      <c r="P84" s="195"/>
      <c r="Q84" s="195"/>
      <c r="R84" s="196"/>
      <c r="S84" s="123" t="s">
        <v>301</v>
      </c>
      <c r="T84" s="195" t="e">
        <f>IF(VLOOKUP(T82,Preenchimento!$A:$BV,11,0)=0,"",VLOOKUP(T82,Preenchimento!$A:$BV,11,0))</f>
        <v>#N/A</v>
      </c>
      <c r="U84" s="195"/>
      <c r="V84" s="195"/>
      <c r="W84" s="195"/>
      <c r="X84" s="196"/>
    </row>
    <row r="85" spans="1:24" s="130" customFormat="1" ht="33.950000000000003" customHeight="1" x14ac:dyDescent="0.25">
      <c r="A85" s="199" t="str">
        <f>Sitio!$A$3</f>
        <v>Projeto 01</v>
      </c>
      <c r="B85" s="200"/>
      <c r="C85" s="200"/>
      <c r="D85" s="200"/>
      <c r="E85" s="200"/>
      <c r="F85" s="201"/>
      <c r="G85" s="199" t="str">
        <f>Sitio!$A$3</f>
        <v>Projeto 01</v>
      </c>
      <c r="H85" s="200"/>
      <c r="I85" s="200"/>
      <c r="J85" s="200"/>
      <c r="K85" s="200"/>
      <c r="L85" s="201"/>
      <c r="M85" s="199" t="str">
        <f>Sitio!$A$3</f>
        <v>Projeto 01</v>
      </c>
      <c r="N85" s="200"/>
      <c r="O85" s="200"/>
      <c r="P85" s="200"/>
      <c r="Q85" s="200"/>
      <c r="R85" s="201"/>
      <c r="S85" s="199" t="str">
        <f>Sitio!$A$3</f>
        <v>Projeto 01</v>
      </c>
      <c r="T85" s="200"/>
      <c r="U85" s="200"/>
      <c r="V85" s="200"/>
      <c r="W85" s="200"/>
      <c r="X85" s="201"/>
    </row>
    <row r="86" spans="1:24" ht="9.75" customHeight="1" x14ac:dyDescent="0.15">
      <c r="A86" s="121" t="s">
        <v>294</v>
      </c>
      <c r="B86" s="193">
        <f>Sitio!$E$3</f>
        <v>0</v>
      </c>
      <c r="C86" s="193"/>
      <c r="D86" s="193"/>
      <c r="E86" s="193"/>
      <c r="F86" s="194"/>
      <c r="G86" s="121" t="s">
        <v>294</v>
      </c>
      <c r="H86" s="193">
        <f>Sitio!$E$3</f>
        <v>0</v>
      </c>
      <c r="I86" s="193"/>
      <c r="J86" s="193"/>
      <c r="K86" s="193"/>
      <c r="L86" s="194"/>
      <c r="M86" s="121" t="s">
        <v>294</v>
      </c>
      <c r="N86" s="193">
        <f>Sitio!$E$3</f>
        <v>0</v>
      </c>
      <c r="O86" s="193"/>
      <c r="P86" s="193"/>
      <c r="Q86" s="193"/>
      <c r="R86" s="194"/>
      <c r="S86" s="121" t="s">
        <v>294</v>
      </c>
      <c r="T86" s="193">
        <f>Sitio!$E$3</f>
        <v>0</v>
      </c>
      <c r="U86" s="193"/>
      <c r="V86" s="193"/>
      <c r="W86" s="193"/>
      <c r="X86" s="194"/>
    </row>
    <row r="87" spans="1:24" ht="9.75" customHeight="1" x14ac:dyDescent="0.15">
      <c r="A87" s="121" t="s">
        <v>295</v>
      </c>
      <c r="C87" s="193" t="e">
        <f>VLOOKUP(B89,Preenchimento!$A:$BV,2,0)</f>
        <v>#N/A</v>
      </c>
      <c r="D87" s="193" t="e">
        <f>VLOOKUP(C89,Preenchimento!$A:$BV,2,0)</f>
        <v>#N/A</v>
      </c>
      <c r="E87" s="193" t="e">
        <f>VLOOKUP(D89,Preenchimento!$A:$BV,2,0)</f>
        <v>#N/A</v>
      </c>
      <c r="F87" s="194" t="e">
        <f>VLOOKUP(E89,Preenchimento!$A:$BV,2,0)</f>
        <v>#N/A</v>
      </c>
      <c r="G87" s="121" t="s">
        <v>295</v>
      </c>
      <c r="I87" s="193" t="e">
        <f>VLOOKUP(H89,Preenchimento!$A:$BV,2,0)</f>
        <v>#N/A</v>
      </c>
      <c r="J87" s="193" t="e">
        <f>VLOOKUP(I89,Preenchimento!$A:$BV,2,0)</f>
        <v>#N/A</v>
      </c>
      <c r="K87" s="193" t="e">
        <f>VLOOKUP(J89,Preenchimento!$A:$BV,2,0)</f>
        <v>#N/A</v>
      </c>
      <c r="L87" s="194" t="e">
        <f>VLOOKUP(K89,Preenchimento!$A:$BV,2,0)</f>
        <v>#N/A</v>
      </c>
      <c r="M87" s="121" t="s">
        <v>295</v>
      </c>
      <c r="O87" s="193" t="e">
        <f>VLOOKUP(N89,Preenchimento!$A:$BV,2,0)</f>
        <v>#N/A</v>
      </c>
      <c r="P87" s="193" t="e">
        <f>VLOOKUP(O89,Preenchimento!$A:$BV,2,0)</f>
        <v>#N/A</v>
      </c>
      <c r="Q87" s="193" t="e">
        <f>VLOOKUP(P89,Preenchimento!$A:$BV,2,0)</f>
        <v>#N/A</v>
      </c>
      <c r="R87" s="194" t="e">
        <f>VLOOKUP(Q89,Preenchimento!$A:$BV,2,0)</f>
        <v>#N/A</v>
      </c>
      <c r="S87" s="121" t="s">
        <v>295</v>
      </c>
      <c r="U87" s="193" t="e">
        <f>VLOOKUP(T89,Preenchimento!$A:$BV,2,0)</f>
        <v>#N/A</v>
      </c>
      <c r="V87" s="193" t="e">
        <f>VLOOKUP(U89,Preenchimento!$A:$BV,2,0)</f>
        <v>#N/A</v>
      </c>
      <c r="W87" s="193" t="e">
        <f>VLOOKUP(V89,Preenchimento!$A:$BV,2,0)</f>
        <v>#N/A</v>
      </c>
      <c r="X87" s="194" t="e">
        <f>VLOOKUP(W89,Preenchimento!$A:$BV,2,0)</f>
        <v>#N/A</v>
      </c>
    </row>
    <row r="88" spans="1:24" ht="9.75" customHeight="1" x14ac:dyDescent="0.15">
      <c r="A88" s="121" t="s">
        <v>296</v>
      </c>
      <c r="B88" s="193" t="e">
        <f>VLOOKUP(B89,Preenchimento!$A:$BV,3,0)</f>
        <v>#N/A</v>
      </c>
      <c r="C88" s="193" t="e">
        <f>VLOOKUP(C89,Preenchimento!$A:$BV,3,0)</f>
        <v>#N/A</v>
      </c>
      <c r="D88" s="120" t="s">
        <v>297</v>
      </c>
      <c r="E88" s="197" t="e">
        <f>VLOOKUP(B89,Preenchimento!$A:$BV,5,0)</f>
        <v>#N/A</v>
      </c>
      <c r="F88" s="198" t="e">
        <f>VLOOKUP(C89,Preenchimento!$A:$BV,5,0)</f>
        <v>#N/A</v>
      </c>
      <c r="G88" s="121" t="s">
        <v>296</v>
      </c>
      <c r="H88" s="193" t="e">
        <f>VLOOKUP(H89,Preenchimento!$A:$BV,3,0)</f>
        <v>#N/A</v>
      </c>
      <c r="I88" s="193" t="e">
        <f>VLOOKUP(I89,Preenchimento!$A:$BV,3,0)</f>
        <v>#N/A</v>
      </c>
      <c r="J88" s="120" t="s">
        <v>297</v>
      </c>
      <c r="K88" s="197" t="e">
        <f>VLOOKUP(H89,Preenchimento!$A:$BV,5,0)</f>
        <v>#N/A</v>
      </c>
      <c r="L88" s="198" t="e">
        <f>VLOOKUP(I89,Preenchimento!$A:$BV,5,0)</f>
        <v>#N/A</v>
      </c>
      <c r="M88" s="121" t="s">
        <v>296</v>
      </c>
      <c r="N88" s="193" t="e">
        <f>VLOOKUP(N89,Preenchimento!$A:$BV,3,0)</f>
        <v>#N/A</v>
      </c>
      <c r="O88" s="193" t="e">
        <f>VLOOKUP(O89,Preenchimento!$A:$BV,3,0)</f>
        <v>#N/A</v>
      </c>
      <c r="P88" s="120" t="s">
        <v>297</v>
      </c>
      <c r="Q88" s="197" t="e">
        <f>VLOOKUP(N89,Preenchimento!$A:$BV,5,0)</f>
        <v>#N/A</v>
      </c>
      <c r="R88" s="198" t="e">
        <f>VLOOKUP(O89,Preenchimento!$A:$BV,5,0)</f>
        <v>#N/A</v>
      </c>
      <c r="S88" s="121" t="s">
        <v>296</v>
      </c>
      <c r="T88" s="193" t="e">
        <f>VLOOKUP(T89,Preenchimento!$A:$BV,3,0)</f>
        <v>#N/A</v>
      </c>
      <c r="U88" s="193" t="e">
        <f>VLOOKUP(U89,Preenchimento!$A:$BV,3,0)</f>
        <v>#N/A</v>
      </c>
      <c r="V88" s="120" t="s">
        <v>297</v>
      </c>
      <c r="W88" s="197" t="e">
        <f>VLOOKUP(T89,Preenchimento!$A:$BV,5,0)</f>
        <v>#N/A</v>
      </c>
      <c r="X88" s="198" t="e">
        <f>VLOOKUP(U89,Preenchimento!$A:$BV,5,0)</f>
        <v>#N/A</v>
      </c>
    </row>
    <row r="89" spans="1:24" ht="9.75" customHeight="1" x14ac:dyDescent="0.15">
      <c r="A89" s="121" t="s">
        <v>298</v>
      </c>
      <c r="B89" s="193"/>
      <c r="C89" s="193"/>
      <c r="D89" s="120" t="s">
        <v>299</v>
      </c>
      <c r="F89" s="131" t="e">
        <f>VLOOKUP(B89,Preenchimento!$A:$BV,10,0)</f>
        <v>#N/A</v>
      </c>
      <c r="G89" s="121" t="s">
        <v>298</v>
      </c>
      <c r="H89" s="193"/>
      <c r="I89" s="193"/>
      <c r="J89" s="120" t="s">
        <v>299</v>
      </c>
      <c r="L89" s="131" t="e">
        <f>VLOOKUP(H89,Preenchimento!$A:$BV,10,0)</f>
        <v>#N/A</v>
      </c>
      <c r="M89" s="121" t="s">
        <v>298</v>
      </c>
      <c r="N89" s="193"/>
      <c r="O89" s="193"/>
      <c r="P89" s="120" t="s">
        <v>299</v>
      </c>
      <c r="R89" s="131" t="e">
        <f>VLOOKUP(N89,Preenchimento!$A:$BV,10,0)</f>
        <v>#N/A</v>
      </c>
      <c r="S89" s="121" t="s">
        <v>298</v>
      </c>
      <c r="T89" s="193"/>
      <c r="U89" s="193"/>
      <c r="V89" s="120" t="s">
        <v>299</v>
      </c>
      <c r="X89" s="131" t="e">
        <f>VLOOKUP(T89,Preenchimento!$A:$BV,10,0)</f>
        <v>#N/A</v>
      </c>
    </row>
    <row r="90" spans="1:24" ht="9.75" customHeight="1" x14ac:dyDescent="0.15">
      <c r="A90" s="121" t="s">
        <v>300</v>
      </c>
      <c r="C90" s="193" t="e">
        <f>VLOOKUP(B89,Preenchimento!$A:$BV,12,0)</f>
        <v>#N/A</v>
      </c>
      <c r="D90" s="193" t="e">
        <f>VLOOKUP(C89,Preenchimento!$A:$BV,12,0)</f>
        <v>#N/A</v>
      </c>
      <c r="E90" s="193" t="e">
        <f>VLOOKUP(D89,Preenchimento!$A:$BV,12,0)</f>
        <v>#N/A</v>
      </c>
      <c r="F90" s="194" t="e">
        <f>VLOOKUP(E89,Preenchimento!$A:$BV,12,0)</f>
        <v>#N/A</v>
      </c>
      <c r="G90" s="121" t="s">
        <v>300</v>
      </c>
      <c r="I90" s="193" t="e">
        <f>VLOOKUP(H89,Preenchimento!$A:$BV,12,0)</f>
        <v>#N/A</v>
      </c>
      <c r="J90" s="193" t="e">
        <f>VLOOKUP(I89,Preenchimento!$A:$BV,12,0)</f>
        <v>#N/A</v>
      </c>
      <c r="K90" s="193" t="e">
        <f>VLOOKUP(J89,Preenchimento!$A:$BV,12,0)</f>
        <v>#N/A</v>
      </c>
      <c r="L90" s="194" t="e">
        <f>VLOOKUP(K89,Preenchimento!$A:$BV,12,0)</f>
        <v>#N/A</v>
      </c>
      <c r="M90" s="121" t="s">
        <v>300</v>
      </c>
      <c r="O90" s="193" t="e">
        <f>VLOOKUP(N89,Preenchimento!$A:$BV,12,0)</f>
        <v>#N/A</v>
      </c>
      <c r="P90" s="193" t="e">
        <f>VLOOKUP(O89,Preenchimento!$A:$BV,12,0)</f>
        <v>#N/A</v>
      </c>
      <c r="Q90" s="193" t="e">
        <f>VLOOKUP(P89,Preenchimento!$A:$BV,12,0)</f>
        <v>#N/A</v>
      </c>
      <c r="R90" s="194" t="e">
        <f>VLOOKUP(Q89,Preenchimento!$A:$BV,12,0)</f>
        <v>#N/A</v>
      </c>
      <c r="S90" s="121" t="s">
        <v>300</v>
      </c>
      <c r="U90" s="193" t="e">
        <f>VLOOKUP(T89,Preenchimento!$A:$BV,12,0)</f>
        <v>#N/A</v>
      </c>
      <c r="V90" s="193" t="e">
        <f>VLOOKUP(U89,Preenchimento!$A:$BV,12,0)</f>
        <v>#N/A</v>
      </c>
      <c r="W90" s="193" t="e">
        <f>VLOOKUP(V89,Preenchimento!$A:$BV,12,0)</f>
        <v>#N/A</v>
      </c>
      <c r="X90" s="194" t="e">
        <f>VLOOKUP(W89,Preenchimento!$A:$BV,12,0)</f>
        <v>#N/A</v>
      </c>
    </row>
    <row r="91" spans="1:24" ht="9.75" customHeight="1" x14ac:dyDescent="0.15">
      <c r="A91" s="123" t="s">
        <v>301</v>
      </c>
      <c r="B91" s="195" t="e">
        <f>IF(VLOOKUP(B89,Preenchimento!$A:$BV,11,0)=0,"",VLOOKUP(B89,Preenchimento!$A:$BV,11,0))</f>
        <v>#N/A</v>
      </c>
      <c r="C91" s="195"/>
      <c r="D91" s="195"/>
      <c r="E91" s="195"/>
      <c r="F91" s="196"/>
      <c r="G91" s="123" t="s">
        <v>301</v>
      </c>
      <c r="H91" s="195" t="e">
        <f>IF(VLOOKUP(H89,Preenchimento!$A:$BV,11,0)=0,"",VLOOKUP(H89,Preenchimento!$A:$BV,11,0))</f>
        <v>#N/A</v>
      </c>
      <c r="I91" s="195"/>
      <c r="J91" s="195"/>
      <c r="K91" s="195"/>
      <c r="L91" s="196"/>
      <c r="M91" s="123" t="s">
        <v>301</v>
      </c>
      <c r="N91" s="195" t="e">
        <f>IF(VLOOKUP(N89,Preenchimento!$A:$BV,11,0)=0,"",VLOOKUP(N89,Preenchimento!$A:$BV,11,0))</f>
        <v>#N/A</v>
      </c>
      <c r="O91" s="195"/>
      <c r="P91" s="195"/>
      <c r="Q91" s="195"/>
      <c r="R91" s="196"/>
      <c r="S91" s="123" t="s">
        <v>301</v>
      </c>
      <c r="T91" s="195" t="e">
        <f>IF(VLOOKUP(T89,Preenchimento!$A:$BV,11,0)=0,"",VLOOKUP(T89,Preenchimento!$A:$BV,11,0))</f>
        <v>#N/A</v>
      </c>
      <c r="U91" s="195"/>
      <c r="V91" s="195"/>
      <c r="W91" s="195"/>
      <c r="X91" s="196"/>
    </row>
    <row r="92" spans="1:24" s="130" customFormat="1" ht="33.950000000000003" customHeight="1" x14ac:dyDescent="0.25">
      <c r="A92" s="199" t="str">
        <f>Sitio!$A$3</f>
        <v>Projeto 01</v>
      </c>
      <c r="B92" s="200"/>
      <c r="C92" s="200"/>
      <c r="D92" s="200"/>
      <c r="E92" s="200"/>
      <c r="F92" s="201"/>
      <c r="G92" s="199" t="str">
        <f>Sitio!$A$3</f>
        <v>Projeto 01</v>
      </c>
      <c r="H92" s="200"/>
      <c r="I92" s="200"/>
      <c r="J92" s="200"/>
      <c r="K92" s="200"/>
      <c r="L92" s="201"/>
      <c r="M92" s="199" t="str">
        <f>Sitio!$A$3</f>
        <v>Projeto 01</v>
      </c>
      <c r="N92" s="200"/>
      <c r="O92" s="200"/>
      <c r="P92" s="200"/>
      <c r="Q92" s="200"/>
      <c r="R92" s="201"/>
      <c r="S92" s="199" t="str">
        <f>Sitio!$A$3</f>
        <v>Projeto 01</v>
      </c>
      <c r="T92" s="200"/>
      <c r="U92" s="200"/>
      <c r="V92" s="200"/>
      <c r="W92" s="200"/>
      <c r="X92" s="201"/>
    </row>
    <row r="93" spans="1:24" ht="9.75" customHeight="1" x14ac:dyDescent="0.15">
      <c r="A93" s="121" t="s">
        <v>294</v>
      </c>
      <c r="B93" s="193">
        <f>Sitio!$E$3</f>
        <v>0</v>
      </c>
      <c r="C93" s="193"/>
      <c r="D93" s="193"/>
      <c r="E93" s="193"/>
      <c r="F93" s="194"/>
      <c r="G93" s="121" t="s">
        <v>294</v>
      </c>
      <c r="H93" s="193">
        <f>Sitio!$E$3</f>
        <v>0</v>
      </c>
      <c r="I93" s="193"/>
      <c r="J93" s="193"/>
      <c r="K93" s="193"/>
      <c r="L93" s="194"/>
      <c r="M93" s="121" t="s">
        <v>294</v>
      </c>
      <c r="N93" s="193">
        <f>Sitio!$E$3</f>
        <v>0</v>
      </c>
      <c r="O93" s="193"/>
      <c r="P93" s="193"/>
      <c r="Q93" s="193"/>
      <c r="R93" s="194"/>
      <c r="S93" s="121" t="s">
        <v>294</v>
      </c>
      <c r="T93" s="193">
        <f>Sitio!$E$3</f>
        <v>0</v>
      </c>
      <c r="U93" s="193"/>
      <c r="V93" s="193"/>
      <c r="W93" s="193"/>
      <c r="X93" s="194"/>
    </row>
    <row r="94" spans="1:24" ht="9.75" customHeight="1" x14ac:dyDescent="0.15">
      <c r="A94" s="121" t="s">
        <v>295</v>
      </c>
      <c r="C94" s="193" t="e">
        <f>VLOOKUP(B96,Preenchimento!$A:$BV,2,0)</f>
        <v>#N/A</v>
      </c>
      <c r="D94" s="193" t="e">
        <f>VLOOKUP(C96,Preenchimento!$A:$BV,2,0)</f>
        <v>#N/A</v>
      </c>
      <c r="E94" s="193" t="e">
        <f>VLOOKUP(D96,Preenchimento!$A:$BV,2,0)</f>
        <v>#N/A</v>
      </c>
      <c r="F94" s="194" t="e">
        <f>VLOOKUP(E96,Preenchimento!$A:$BV,2,0)</f>
        <v>#N/A</v>
      </c>
      <c r="G94" s="121" t="s">
        <v>295</v>
      </c>
      <c r="I94" s="193" t="e">
        <f>VLOOKUP(H96,Preenchimento!$A:$BV,2,0)</f>
        <v>#N/A</v>
      </c>
      <c r="J94" s="193" t="e">
        <f>VLOOKUP(I96,Preenchimento!$A:$BV,2,0)</f>
        <v>#N/A</v>
      </c>
      <c r="K94" s="193" t="e">
        <f>VLOOKUP(J96,Preenchimento!$A:$BV,2,0)</f>
        <v>#N/A</v>
      </c>
      <c r="L94" s="194" t="e">
        <f>VLOOKUP(K96,Preenchimento!$A:$BV,2,0)</f>
        <v>#N/A</v>
      </c>
      <c r="M94" s="121" t="s">
        <v>295</v>
      </c>
      <c r="O94" s="193" t="e">
        <f>VLOOKUP(N96,Preenchimento!$A:$BV,2,0)</f>
        <v>#N/A</v>
      </c>
      <c r="P94" s="193" t="e">
        <f>VLOOKUP(O96,Preenchimento!$A:$BV,2,0)</f>
        <v>#N/A</v>
      </c>
      <c r="Q94" s="193" t="e">
        <f>VLOOKUP(P96,Preenchimento!$A:$BV,2,0)</f>
        <v>#N/A</v>
      </c>
      <c r="R94" s="194" t="e">
        <f>VLOOKUP(Q96,Preenchimento!$A:$BV,2,0)</f>
        <v>#N/A</v>
      </c>
      <c r="S94" s="121" t="s">
        <v>295</v>
      </c>
      <c r="U94" s="193" t="e">
        <f>VLOOKUP(T96,Preenchimento!$A:$BV,2,0)</f>
        <v>#N/A</v>
      </c>
      <c r="V94" s="193" t="e">
        <f>VLOOKUP(U96,Preenchimento!$A:$BV,2,0)</f>
        <v>#N/A</v>
      </c>
      <c r="W94" s="193" t="e">
        <f>VLOOKUP(V96,Preenchimento!$A:$BV,2,0)</f>
        <v>#N/A</v>
      </c>
      <c r="X94" s="194" t="e">
        <f>VLOOKUP(W96,Preenchimento!$A:$BV,2,0)</f>
        <v>#N/A</v>
      </c>
    </row>
    <row r="95" spans="1:24" ht="9.75" customHeight="1" x14ac:dyDescent="0.15">
      <c r="A95" s="121" t="s">
        <v>296</v>
      </c>
      <c r="B95" s="193" t="e">
        <f>VLOOKUP(B96,Preenchimento!$A:$BV,3,0)</f>
        <v>#N/A</v>
      </c>
      <c r="C95" s="193" t="e">
        <f>VLOOKUP(C96,Preenchimento!$A:$BV,3,0)</f>
        <v>#N/A</v>
      </c>
      <c r="D95" s="120" t="s">
        <v>297</v>
      </c>
      <c r="E95" s="197" t="e">
        <f>VLOOKUP(B96,Preenchimento!$A:$BV,5,0)</f>
        <v>#N/A</v>
      </c>
      <c r="F95" s="198" t="e">
        <f>VLOOKUP(C96,Preenchimento!$A:$BV,5,0)</f>
        <v>#N/A</v>
      </c>
      <c r="G95" s="121" t="s">
        <v>296</v>
      </c>
      <c r="H95" s="193" t="e">
        <f>VLOOKUP(H96,Preenchimento!$A:$BV,3,0)</f>
        <v>#N/A</v>
      </c>
      <c r="I95" s="193" t="e">
        <f>VLOOKUP(I96,Preenchimento!$A:$BV,3,0)</f>
        <v>#N/A</v>
      </c>
      <c r="J95" s="120" t="s">
        <v>297</v>
      </c>
      <c r="K95" s="197" t="e">
        <f>VLOOKUP(H96,Preenchimento!$A:$BV,5,0)</f>
        <v>#N/A</v>
      </c>
      <c r="L95" s="198" t="e">
        <f>VLOOKUP(I96,Preenchimento!$A:$BV,5,0)</f>
        <v>#N/A</v>
      </c>
      <c r="M95" s="121" t="s">
        <v>296</v>
      </c>
      <c r="N95" s="193" t="e">
        <f>VLOOKUP(N96,Preenchimento!$A:$BV,3,0)</f>
        <v>#N/A</v>
      </c>
      <c r="O95" s="193" t="e">
        <f>VLOOKUP(O96,Preenchimento!$A:$BV,3,0)</f>
        <v>#N/A</v>
      </c>
      <c r="P95" s="120" t="s">
        <v>297</v>
      </c>
      <c r="Q95" s="197" t="e">
        <f>VLOOKUP(N96,Preenchimento!$A:$BV,5,0)</f>
        <v>#N/A</v>
      </c>
      <c r="R95" s="198" t="e">
        <f>VLOOKUP(O96,Preenchimento!$A:$BV,5,0)</f>
        <v>#N/A</v>
      </c>
      <c r="S95" s="121" t="s">
        <v>296</v>
      </c>
      <c r="T95" s="193" t="e">
        <f>VLOOKUP(T96,Preenchimento!$A:$BV,3,0)</f>
        <v>#N/A</v>
      </c>
      <c r="U95" s="193" t="e">
        <f>VLOOKUP(U96,Preenchimento!$A:$BV,3,0)</f>
        <v>#N/A</v>
      </c>
      <c r="V95" s="120" t="s">
        <v>297</v>
      </c>
      <c r="W95" s="197" t="e">
        <f>VLOOKUP(T96,Preenchimento!$A:$BV,5,0)</f>
        <v>#N/A</v>
      </c>
      <c r="X95" s="198" t="e">
        <f>VLOOKUP(U96,Preenchimento!$A:$BV,5,0)</f>
        <v>#N/A</v>
      </c>
    </row>
    <row r="96" spans="1:24" ht="9.75" customHeight="1" x14ac:dyDescent="0.15">
      <c r="A96" s="121" t="s">
        <v>298</v>
      </c>
      <c r="B96" s="193"/>
      <c r="C96" s="193"/>
      <c r="D96" s="120" t="s">
        <v>299</v>
      </c>
      <c r="F96" s="131" t="e">
        <f>VLOOKUP(B96,Preenchimento!$A:$BV,10,0)</f>
        <v>#N/A</v>
      </c>
      <c r="G96" s="121" t="s">
        <v>298</v>
      </c>
      <c r="H96" s="193"/>
      <c r="I96" s="193"/>
      <c r="J96" s="120" t="s">
        <v>299</v>
      </c>
      <c r="L96" s="131" t="e">
        <f>VLOOKUP(H96,Preenchimento!$A:$BV,10,0)</f>
        <v>#N/A</v>
      </c>
      <c r="M96" s="121" t="s">
        <v>298</v>
      </c>
      <c r="N96" s="193"/>
      <c r="O96" s="193"/>
      <c r="P96" s="120" t="s">
        <v>299</v>
      </c>
      <c r="R96" s="131" t="e">
        <f>VLOOKUP(N96,Preenchimento!$A:$BV,10,0)</f>
        <v>#N/A</v>
      </c>
      <c r="S96" s="121" t="s">
        <v>298</v>
      </c>
      <c r="T96" s="193"/>
      <c r="U96" s="193"/>
      <c r="V96" s="120" t="s">
        <v>299</v>
      </c>
      <c r="X96" s="131" t="e">
        <f>VLOOKUP(T96,Preenchimento!$A:$BV,10,0)</f>
        <v>#N/A</v>
      </c>
    </row>
    <row r="97" spans="1:24" ht="9.75" customHeight="1" x14ac:dyDescent="0.15">
      <c r="A97" s="121" t="s">
        <v>300</v>
      </c>
      <c r="C97" s="193" t="e">
        <f>VLOOKUP(B96,Preenchimento!$A:$BV,12,0)</f>
        <v>#N/A</v>
      </c>
      <c r="D97" s="193" t="e">
        <f>VLOOKUP(C96,Preenchimento!$A:$BV,12,0)</f>
        <v>#N/A</v>
      </c>
      <c r="E97" s="193" t="e">
        <f>VLOOKUP(D96,Preenchimento!$A:$BV,12,0)</f>
        <v>#N/A</v>
      </c>
      <c r="F97" s="194" t="e">
        <f>VLOOKUP(E96,Preenchimento!$A:$BV,12,0)</f>
        <v>#N/A</v>
      </c>
      <c r="G97" s="121" t="s">
        <v>300</v>
      </c>
      <c r="I97" s="193" t="e">
        <f>VLOOKUP(H96,Preenchimento!$A:$BV,12,0)</f>
        <v>#N/A</v>
      </c>
      <c r="J97" s="193" t="e">
        <f>VLOOKUP(I96,Preenchimento!$A:$BV,12,0)</f>
        <v>#N/A</v>
      </c>
      <c r="K97" s="193" t="e">
        <f>VLOOKUP(J96,Preenchimento!$A:$BV,12,0)</f>
        <v>#N/A</v>
      </c>
      <c r="L97" s="194" t="e">
        <f>VLOOKUP(K96,Preenchimento!$A:$BV,12,0)</f>
        <v>#N/A</v>
      </c>
      <c r="M97" s="121" t="s">
        <v>300</v>
      </c>
      <c r="O97" s="193" t="e">
        <f>VLOOKUP(N96,Preenchimento!$A:$BV,12,0)</f>
        <v>#N/A</v>
      </c>
      <c r="P97" s="193" t="e">
        <f>VLOOKUP(O96,Preenchimento!$A:$BV,12,0)</f>
        <v>#N/A</v>
      </c>
      <c r="Q97" s="193" t="e">
        <f>VLOOKUP(P96,Preenchimento!$A:$BV,12,0)</f>
        <v>#N/A</v>
      </c>
      <c r="R97" s="194" t="e">
        <f>VLOOKUP(Q96,Preenchimento!$A:$BV,12,0)</f>
        <v>#N/A</v>
      </c>
      <c r="S97" s="121" t="s">
        <v>300</v>
      </c>
      <c r="U97" s="193" t="e">
        <f>VLOOKUP(T96,Preenchimento!$A:$BV,12,0)</f>
        <v>#N/A</v>
      </c>
      <c r="V97" s="193" t="e">
        <f>VLOOKUP(U96,Preenchimento!$A:$BV,12,0)</f>
        <v>#N/A</v>
      </c>
      <c r="W97" s="193" t="e">
        <f>VLOOKUP(V96,Preenchimento!$A:$BV,12,0)</f>
        <v>#N/A</v>
      </c>
      <c r="X97" s="194" t="e">
        <f>VLOOKUP(W96,Preenchimento!$A:$BV,12,0)</f>
        <v>#N/A</v>
      </c>
    </row>
    <row r="98" spans="1:24" ht="9.75" customHeight="1" x14ac:dyDescent="0.15">
      <c r="A98" s="123" t="s">
        <v>301</v>
      </c>
      <c r="B98" s="195" t="e">
        <f>IF(VLOOKUP(B96,Preenchimento!$A:$BV,11,0)=0,"",VLOOKUP(B96,Preenchimento!$A:$BV,11,0))</f>
        <v>#N/A</v>
      </c>
      <c r="C98" s="195"/>
      <c r="D98" s="195"/>
      <c r="E98" s="195"/>
      <c r="F98" s="196"/>
      <c r="G98" s="123" t="s">
        <v>301</v>
      </c>
      <c r="H98" s="195" t="e">
        <f>IF(VLOOKUP(H96,Preenchimento!$A:$BV,11,0)=0,"",VLOOKUP(H96,Preenchimento!$A:$BV,11,0))</f>
        <v>#N/A</v>
      </c>
      <c r="I98" s="195"/>
      <c r="J98" s="195"/>
      <c r="K98" s="195"/>
      <c r="L98" s="196"/>
      <c r="M98" s="123" t="s">
        <v>301</v>
      </c>
      <c r="N98" s="195" t="e">
        <f>IF(VLOOKUP(N96,Preenchimento!$A:$BV,11,0)=0,"",VLOOKUP(N96,Preenchimento!$A:$BV,11,0))</f>
        <v>#N/A</v>
      </c>
      <c r="O98" s="195"/>
      <c r="P98" s="195"/>
      <c r="Q98" s="195"/>
      <c r="R98" s="196"/>
      <c r="S98" s="123" t="s">
        <v>301</v>
      </c>
      <c r="T98" s="195" t="e">
        <f>IF(VLOOKUP(T96,Preenchimento!$A:$BV,11,0)=0,"",VLOOKUP(T96,Preenchimento!$A:$BV,11,0))</f>
        <v>#N/A</v>
      </c>
      <c r="U98" s="195"/>
      <c r="V98" s="195"/>
      <c r="W98" s="195"/>
      <c r="X98" s="196"/>
    </row>
    <row r="99" spans="1:24" s="130" customFormat="1" ht="33.950000000000003" customHeight="1" x14ac:dyDescent="0.25">
      <c r="A99" s="199" t="str">
        <f>Sitio!$A$3</f>
        <v>Projeto 01</v>
      </c>
      <c r="B99" s="200"/>
      <c r="C99" s="200"/>
      <c r="D99" s="200"/>
      <c r="E99" s="200"/>
      <c r="F99" s="201"/>
      <c r="G99" s="199" t="str">
        <f>Sitio!$A$3</f>
        <v>Projeto 01</v>
      </c>
      <c r="H99" s="200"/>
      <c r="I99" s="200"/>
      <c r="J99" s="200"/>
      <c r="K99" s="200"/>
      <c r="L99" s="201"/>
      <c r="M99" s="199" t="str">
        <f>Sitio!$A$3</f>
        <v>Projeto 01</v>
      </c>
      <c r="N99" s="200"/>
      <c r="O99" s="200"/>
      <c r="P99" s="200"/>
      <c r="Q99" s="200"/>
      <c r="R99" s="201"/>
      <c r="S99" s="199" t="str">
        <f>Sitio!$A$3</f>
        <v>Projeto 01</v>
      </c>
      <c r="T99" s="200"/>
      <c r="U99" s="200"/>
      <c r="V99" s="200"/>
      <c r="W99" s="200"/>
      <c r="X99" s="201"/>
    </row>
    <row r="100" spans="1:24" ht="9.75" customHeight="1" x14ac:dyDescent="0.15">
      <c r="A100" s="121" t="s">
        <v>294</v>
      </c>
      <c r="B100" s="193">
        <f>Sitio!$E$3</f>
        <v>0</v>
      </c>
      <c r="C100" s="193"/>
      <c r="D100" s="193"/>
      <c r="E100" s="193"/>
      <c r="F100" s="194"/>
      <c r="G100" s="121" t="s">
        <v>294</v>
      </c>
      <c r="H100" s="193">
        <f>Sitio!$E$3</f>
        <v>0</v>
      </c>
      <c r="I100" s="193"/>
      <c r="J100" s="193"/>
      <c r="K100" s="193"/>
      <c r="L100" s="194"/>
      <c r="M100" s="121" t="s">
        <v>294</v>
      </c>
      <c r="N100" s="193">
        <f>Sitio!$E$3</f>
        <v>0</v>
      </c>
      <c r="O100" s="193"/>
      <c r="P100" s="193"/>
      <c r="Q100" s="193"/>
      <c r="R100" s="194"/>
      <c r="S100" s="121" t="s">
        <v>294</v>
      </c>
      <c r="T100" s="193">
        <f>Sitio!$E$3</f>
        <v>0</v>
      </c>
      <c r="U100" s="193"/>
      <c r="V100" s="193"/>
      <c r="W100" s="193"/>
      <c r="X100" s="194"/>
    </row>
    <row r="101" spans="1:24" ht="9.75" customHeight="1" x14ac:dyDescent="0.15">
      <c r="A101" s="121" t="s">
        <v>295</v>
      </c>
      <c r="C101" s="193" t="e">
        <f>VLOOKUP(B103,Preenchimento!$A:$BV,2,0)</f>
        <v>#N/A</v>
      </c>
      <c r="D101" s="193" t="e">
        <f>VLOOKUP(C103,Preenchimento!$A:$BV,2,0)</f>
        <v>#N/A</v>
      </c>
      <c r="E101" s="193" t="e">
        <f>VLOOKUP(D103,Preenchimento!$A:$BV,2,0)</f>
        <v>#N/A</v>
      </c>
      <c r="F101" s="194" t="e">
        <f>VLOOKUP(E103,Preenchimento!$A:$BV,2,0)</f>
        <v>#N/A</v>
      </c>
      <c r="G101" s="121" t="s">
        <v>295</v>
      </c>
      <c r="I101" s="193" t="e">
        <f>VLOOKUP(H103,Preenchimento!$A:$BV,2,0)</f>
        <v>#N/A</v>
      </c>
      <c r="J101" s="193" t="e">
        <f>VLOOKUP(I103,Preenchimento!$A:$BV,2,0)</f>
        <v>#N/A</v>
      </c>
      <c r="K101" s="193" t="e">
        <f>VLOOKUP(J103,Preenchimento!$A:$BV,2,0)</f>
        <v>#N/A</v>
      </c>
      <c r="L101" s="194" t="e">
        <f>VLOOKUP(K103,Preenchimento!$A:$BV,2,0)</f>
        <v>#N/A</v>
      </c>
      <c r="M101" s="121" t="s">
        <v>295</v>
      </c>
      <c r="O101" s="193" t="e">
        <f>VLOOKUP(N103,Preenchimento!$A:$BV,2,0)</f>
        <v>#N/A</v>
      </c>
      <c r="P101" s="193" t="e">
        <f>VLOOKUP(O103,Preenchimento!$A:$BV,2,0)</f>
        <v>#N/A</v>
      </c>
      <c r="Q101" s="193" t="e">
        <f>VLOOKUP(P103,Preenchimento!$A:$BV,2,0)</f>
        <v>#N/A</v>
      </c>
      <c r="R101" s="194" t="e">
        <f>VLOOKUP(Q103,Preenchimento!$A:$BV,2,0)</f>
        <v>#N/A</v>
      </c>
      <c r="S101" s="121" t="s">
        <v>295</v>
      </c>
      <c r="U101" s="193" t="e">
        <f>VLOOKUP(T103,Preenchimento!$A:$BV,2,0)</f>
        <v>#N/A</v>
      </c>
      <c r="V101" s="193" t="e">
        <f>VLOOKUP(U103,Preenchimento!$A:$BV,2,0)</f>
        <v>#N/A</v>
      </c>
      <c r="W101" s="193" t="e">
        <f>VLOOKUP(V103,Preenchimento!$A:$BV,2,0)</f>
        <v>#N/A</v>
      </c>
      <c r="X101" s="194" t="e">
        <f>VLOOKUP(W103,Preenchimento!$A:$BV,2,0)</f>
        <v>#N/A</v>
      </c>
    </row>
    <row r="102" spans="1:24" ht="9.75" customHeight="1" x14ac:dyDescent="0.15">
      <c r="A102" s="121" t="s">
        <v>296</v>
      </c>
      <c r="B102" s="193" t="e">
        <f>VLOOKUP(B103,Preenchimento!$A:$BV,3,0)</f>
        <v>#N/A</v>
      </c>
      <c r="C102" s="193" t="e">
        <f>VLOOKUP(C103,Preenchimento!$A:$BV,3,0)</f>
        <v>#N/A</v>
      </c>
      <c r="D102" s="120" t="s">
        <v>297</v>
      </c>
      <c r="E102" s="197" t="e">
        <f>VLOOKUP(B103,Preenchimento!$A:$BV,5,0)</f>
        <v>#N/A</v>
      </c>
      <c r="F102" s="198" t="e">
        <f>VLOOKUP(C103,Preenchimento!$A:$BV,5,0)</f>
        <v>#N/A</v>
      </c>
      <c r="G102" s="121" t="s">
        <v>296</v>
      </c>
      <c r="H102" s="193" t="e">
        <f>VLOOKUP(H103,Preenchimento!$A:$BV,3,0)</f>
        <v>#N/A</v>
      </c>
      <c r="I102" s="193" t="e">
        <f>VLOOKUP(I103,Preenchimento!$A:$BV,3,0)</f>
        <v>#N/A</v>
      </c>
      <c r="J102" s="120" t="s">
        <v>297</v>
      </c>
      <c r="K102" s="197" t="e">
        <f>VLOOKUP(H103,Preenchimento!$A:$BV,5,0)</f>
        <v>#N/A</v>
      </c>
      <c r="L102" s="198" t="e">
        <f>VLOOKUP(I103,Preenchimento!$A:$BV,5,0)</f>
        <v>#N/A</v>
      </c>
      <c r="M102" s="121" t="s">
        <v>296</v>
      </c>
      <c r="N102" s="193" t="e">
        <f>VLOOKUP(N103,Preenchimento!$A:$BV,3,0)</f>
        <v>#N/A</v>
      </c>
      <c r="O102" s="193" t="e">
        <f>VLOOKUP(O103,Preenchimento!$A:$BV,3,0)</f>
        <v>#N/A</v>
      </c>
      <c r="P102" s="120" t="s">
        <v>297</v>
      </c>
      <c r="Q102" s="197" t="e">
        <f>VLOOKUP(N103,Preenchimento!$A:$BV,5,0)</f>
        <v>#N/A</v>
      </c>
      <c r="R102" s="198" t="e">
        <f>VLOOKUP(O103,Preenchimento!$A:$BV,5,0)</f>
        <v>#N/A</v>
      </c>
      <c r="S102" s="121" t="s">
        <v>296</v>
      </c>
      <c r="T102" s="193" t="e">
        <f>VLOOKUP(T103,Preenchimento!$A:$BV,3,0)</f>
        <v>#N/A</v>
      </c>
      <c r="U102" s="193" t="e">
        <f>VLOOKUP(U103,Preenchimento!$A:$BV,3,0)</f>
        <v>#N/A</v>
      </c>
      <c r="V102" s="120" t="s">
        <v>297</v>
      </c>
      <c r="W102" s="197" t="e">
        <f>VLOOKUP(T103,Preenchimento!$A:$BV,5,0)</f>
        <v>#N/A</v>
      </c>
      <c r="X102" s="198" t="e">
        <f>VLOOKUP(U103,Preenchimento!$A:$BV,5,0)</f>
        <v>#N/A</v>
      </c>
    </row>
    <row r="103" spans="1:24" ht="9.75" customHeight="1" x14ac:dyDescent="0.15">
      <c r="A103" s="121" t="s">
        <v>298</v>
      </c>
      <c r="B103" s="193"/>
      <c r="C103" s="193"/>
      <c r="D103" s="120" t="s">
        <v>299</v>
      </c>
      <c r="F103" s="131" t="e">
        <f>VLOOKUP(B103,Preenchimento!$A:$BV,10,0)</f>
        <v>#N/A</v>
      </c>
      <c r="G103" s="121" t="s">
        <v>298</v>
      </c>
      <c r="H103" s="193"/>
      <c r="I103" s="193"/>
      <c r="J103" s="120" t="s">
        <v>299</v>
      </c>
      <c r="L103" s="131" t="e">
        <f>VLOOKUP(H103,Preenchimento!$A:$BV,10,0)</f>
        <v>#N/A</v>
      </c>
      <c r="M103" s="121" t="s">
        <v>298</v>
      </c>
      <c r="N103" s="193"/>
      <c r="O103" s="193"/>
      <c r="P103" s="120" t="s">
        <v>299</v>
      </c>
      <c r="R103" s="131" t="e">
        <f>VLOOKUP(N103,Preenchimento!$A:$BV,10,0)</f>
        <v>#N/A</v>
      </c>
      <c r="S103" s="121" t="s">
        <v>298</v>
      </c>
      <c r="T103" s="193"/>
      <c r="U103" s="193"/>
      <c r="V103" s="120" t="s">
        <v>299</v>
      </c>
      <c r="X103" s="131" t="e">
        <f>VLOOKUP(T103,Preenchimento!$A:$BV,10,0)</f>
        <v>#N/A</v>
      </c>
    </row>
    <row r="104" spans="1:24" ht="9.75" customHeight="1" x14ac:dyDescent="0.15">
      <c r="A104" s="121" t="s">
        <v>300</v>
      </c>
      <c r="C104" s="193" t="e">
        <f>VLOOKUP(B103,Preenchimento!$A:$BV,12,0)</f>
        <v>#N/A</v>
      </c>
      <c r="D104" s="193" t="e">
        <f>VLOOKUP(C103,Preenchimento!$A:$BV,12,0)</f>
        <v>#N/A</v>
      </c>
      <c r="E104" s="193" t="e">
        <f>VLOOKUP(D103,Preenchimento!$A:$BV,12,0)</f>
        <v>#N/A</v>
      </c>
      <c r="F104" s="194" t="e">
        <f>VLOOKUP(E103,Preenchimento!$A:$BV,12,0)</f>
        <v>#N/A</v>
      </c>
      <c r="G104" s="121" t="s">
        <v>300</v>
      </c>
      <c r="I104" s="193" t="e">
        <f>VLOOKUP(H103,Preenchimento!$A:$BV,12,0)</f>
        <v>#N/A</v>
      </c>
      <c r="J104" s="193" t="e">
        <f>VLOOKUP(I103,Preenchimento!$A:$BV,12,0)</f>
        <v>#N/A</v>
      </c>
      <c r="K104" s="193" t="e">
        <f>VLOOKUP(J103,Preenchimento!$A:$BV,12,0)</f>
        <v>#N/A</v>
      </c>
      <c r="L104" s="194" t="e">
        <f>VLOOKUP(K103,Preenchimento!$A:$BV,12,0)</f>
        <v>#N/A</v>
      </c>
      <c r="M104" s="121" t="s">
        <v>300</v>
      </c>
      <c r="O104" s="193" t="e">
        <f>VLOOKUP(N103,Preenchimento!$A:$BV,12,0)</f>
        <v>#N/A</v>
      </c>
      <c r="P104" s="193" t="e">
        <f>VLOOKUP(O103,Preenchimento!$A:$BV,12,0)</f>
        <v>#N/A</v>
      </c>
      <c r="Q104" s="193" t="e">
        <f>VLOOKUP(P103,Preenchimento!$A:$BV,12,0)</f>
        <v>#N/A</v>
      </c>
      <c r="R104" s="194" t="e">
        <f>VLOOKUP(Q103,Preenchimento!$A:$BV,12,0)</f>
        <v>#N/A</v>
      </c>
      <c r="S104" s="121" t="s">
        <v>300</v>
      </c>
      <c r="U104" s="193" t="e">
        <f>VLOOKUP(T103,Preenchimento!$A:$BV,12,0)</f>
        <v>#N/A</v>
      </c>
      <c r="V104" s="193" t="e">
        <f>VLOOKUP(U103,Preenchimento!$A:$BV,12,0)</f>
        <v>#N/A</v>
      </c>
      <c r="W104" s="193" t="e">
        <f>VLOOKUP(V103,Preenchimento!$A:$BV,12,0)</f>
        <v>#N/A</v>
      </c>
      <c r="X104" s="194" t="e">
        <f>VLOOKUP(W103,Preenchimento!$A:$BV,12,0)</f>
        <v>#N/A</v>
      </c>
    </row>
    <row r="105" spans="1:24" ht="9.75" customHeight="1" x14ac:dyDescent="0.15">
      <c r="A105" s="123" t="s">
        <v>301</v>
      </c>
      <c r="B105" s="195" t="e">
        <f>IF(VLOOKUP(B103,Preenchimento!$A:$BV,11,0)=0,"",VLOOKUP(B103,Preenchimento!$A:$BV,11,0))</f>
        <v>#N/A</v>
      </c>
      <c r="C105" s="195"/>
      <c r="D105" s="195"/>
      <c r="E105" s="195"/>
      <c r="F105" s="196"/>
      <c r="G105" s="123" t="s">
        <v>301</v>
      </c>
      <c r="H105" s="195" t="e">
        <f>IF(VLOOKUP(H103,Preenchimento!$A:$BV,11,0)=0,"",VLOOKUP(H103,Preenchimento!$A:$BV,11,0))</f>
        <v>#N/A</v>
      </c>
      <c r="I105" s="195"/>
      <c r="J105" s="195"/>
      <c r="K105" s="195"/>
      <c r="L105" s="196"/>
      <c r="M105" s="123" t="s">
        <v>301</v>
      </c>
      <c r="N105" s="195" t="e">
        <f>IF(VLOOKUP(N103,Preenchimento!$A:$BV,11,0)=0,"",VLOOKUP(N103,Preenchimento!$A:$BV,11,0))</f>
        <v>#N/A</v>
      </c>
      <c r="O105" s="195"/>
      <c r="P105" s="195"/>
      <c r="Q105" s="195"/>
      <c r="R105" s="196"/>
      <c r="S105" s="123" t="s">
        <v>301</v>
      </c>
      <c r="T105" s="195" t="e">
        <f>IF(VLOOKUP(T103,Preenchimento!$A:$BV,11,0)=0,"",VLOOKUP(T103,Preenchimento!$A:$BV,11,0))</f>
        <v>#N/A</v>
      </c>
      <c r="U105" s="195"/>
      <c r="V105" s="195"/>
      <c r="W105" s="195"/>
      <c r="X105" s="196"/>
    </row>
    <row r="106" spans="1:24" s="130" customFormat="1" ht="33.950000000000003" customHeight="1" x14ac:dyDescent="0.25">
      <c r="A106" s="199" t="str">
        <f>Sitio!$A$3</f>
        <v>Projeto 01</v>
      </c>
      <c r="B106" s="200"/>
      <c r="C106" s="200"/>
      <c r="D106" s="200"/>
      <c r="E106" s="200"/>
      <c r="F106" s="201"/>
      <c r="G106" s="199" t="str">
        <f>Sitio!$A$3</f>
        <v>Projeto 01</v>
      </c>
      <c r="H106" s="200"/>
      <c r="I106" s="200"/>
      <c r="J106" s="200"/>
      <c r="K106" s="200"/>
      <c r="L106" s="201"/>
      <c r="M106" s="199" t="str">
        <f>Sitio!$A$3</f>
        <v>Projeto 01</v>
      </c>
      <c r="N106" s="200"/>
      <c r="O106" s="200"/>
      <c r="P106" s="200"/>
      <c r="Q106" s="200"/>
      <c r="R106" s="201"/>
      <c r="S106" s="199" t="str">
        <f>Sitio!$A$3</f>
        <v>Projeto 01</v>
      </c>
      <c r="T106" s="200"/>
      <c r="U106" s="200"/>
      <c r="V106" s="200"/>
      <c r="W106" s="200"/>
      <c r="X106" s="201"/>
    </row>
    <row r="107" spans="1:24" ht="9.75" customHeight="1" x14ac:dyDescent="0.15">
      <c r="A107" s="121" t="s">
        <v>294</v>
      </c>
      <c r="B107" s="193">
        <f>Sitio!$E$3</f>
        <v>0</v>
      </c>
      <c r="C107" s="193"/>
      <c r="D107" s="193"/>
      <c r="E107" s="193"/>
      <c r="F107" s="194"/>
      <c r="G107" s="121" t="s">
        <v>294</v>
      </c>
      <c r="H107" s="193">
        <f>Sitio!$E$3</f>
        <v>0</v>
      </c>
      <c r="I107" s="193"/>
      <c r="J107" s="193"/>
      <c r="K107" s="193"/>
      <c r="L107" s="194"/>
      <c r="M107" s="121" t="s">
        <v>294</v>
      </c>
      <c r="N107" s="193">
        <f>Sitio!$E$3</f>
        <v>0</v>
      </c>
      <c r="O107" s="193"/>
      <c r="P107" s="193"/>
      <c r="Q107" s="193"/>
      <c r="R107" s="194"/>
      <c r="S107" s="121" t="s">
        <v>294</v>
      </c>
      <c r="T107" s="193">
        <f>Sitio!$E$3</f>
        <v>0</v>
      </c>
      <c r="U107" s="193"/>
      <c r="V107" s="193"/>
      <c r="W107" s="193"/>
      <c r="X107" s="194"/>
    </row>
    <row r="108" spans="1:24" ht="9.75" customHeight="1" x14ac:dyDescent="0.15">
      <c r="A108" s="121" t="s">
        <v>295</v>
      </c>
      <c r="C108" s="193" t="e">
        <f>VLOOKUP(B110,Preenchimento!$A:$BV,2,0)</f>
        <v>#N/A</v>
      </c>
      <c r="D108" s="193" t="e">
        <f>VLOOKUP(C110,Preenchimento!$A:$BV,2,0)</f>
        <v>#N/A</v>
      </c>
      <c r="E108" s="193" t="e">
        <f>VLOOKUP(D110,Preenchimento!$A:$BV,2,0)</f>
        <v>#N/A</v>
      </c>
      <c r="F108" s="194" t="e">
        <f>VLOOKUP(E110,Preenchimento!$A:$BV,2,0)</f>
        <v>#N/A</v>
      </c>
      <c r="G108" s="121" t="s">
        <v>295</v>
      </c>
      <c r="I108" s="193" t="e">
        <f>VLOOKUP(H110,Preenchimento!$A:$BV,2,0)</f>
        <v>#N/A</v>
      </c>
      <c r="J108" s="193" t="e">
        <f>VLOOKUP(I110,Preenchimento!$A:$BV,2,0)</f>
        <v>#N/A</v>
      </c>
      <c r="K108" s="193" t="e">
        <f>VLOOKUP(J110,Preenchimento!$A:$BV,2,0)</f>
        <v>#N/A</v>
      </c>
      <c r="L108" s="194" t="e">
        <f>VLOOKUP(K110,Preenchimento!$A:$BV,2,0)</f>
        <v>#N/A</v>
      </c>
      <c r="M108" s="121" t="s">
        <v>295</v>
      </c>
      <c r="O108" s="193" t="e">
        <f>VLOOKUP(N110,Preenchimento!$A:$BV,2,0)</f>
        <v>#N/A</v>
      </c>
      <c r="P108" s="193" t="e">
        <f>VLOOKUP(O110,Preenchimento!$A:$BV,2,0)</f>
        <v>#N/A</v>
      </c>
      <c r="Q108" s="193" t="e">
        <f>VLOOKUP(P110,Preenchimento!$A:$BV,2,0)</f>
        <v>#N/A</v>
      </c>
      <c r="R108" s="194" t="e">
        <f>VLOOKUP(Q110,Preenchimento!$A:$BV,2,0)</f>
        <v>#N/A</v>
      </c>
      <c r="S108" s="121" t="s">
        <v>295</v>
      </c>
      <c r="U108" s="193" t="e">
        <f>VLOOKUP(T110,Preenchimento!$A:$BV,2,0)</f>
        <v>#N/A</v>
      </c>
      <c r="V108" s="193" t="e">
        <f>VLOOKUP(U110,Preenchimento!$A:$BV,2,0)</f>
        <v>#N/A</v>
      </c>
      <c r="W108" s="193" t="e">
        <f>VLOOKUP(V110,Preenchimento!$A:$BV,2,0)</f>
        <v>#N/A</v>
      </c>
      <c r="X108" s="194" t="e">
        <f>VLOOKUP(W110,Preenchimento!$A:$BV,2,0)</f>
        <v>#N/A</v>
      </c>
    </row>
    <row r="109" spans="1:24" ht="9.75" customHeight="1" x14ac:dyDescent="0.15">
      <c r="A109" s="121" t="s">
        <v>296</v>
      </c>
      <c r="B109" s="193" t="e">
        <f>VLOOKUP(B110,Preenchimento!$A:$BV,3,0)</f>
        <v>#N/A</v>
      </c>
      <c r="C109" s="193" t="e">
        <f>VLOOKUP(C110,Preenchimento!$A:$BV,3,0)</f>
        <v>#N/A</v>
      </c>
      <c r="D109" s="120" t="s">
        <v>297</v>
      </c>
      <c r="E109" s="197" t="e">
        <f>VLOOKUP(B110,Preenchimento!$A:$BV,5,0)</f>
        <v>#N/A</v>
      </c>
      <c r="F109" s="198" t="e">
        <f>VLOOKUP(C110,Preenchimento!$A:$BV,5,0)</f>
        <v>#N/A</v>
      </c>
      <c r="G109" s="121" t="s">
        <v>296</v>
      </c>
      <c r="H109" s="193" t="e">
        <f>VLOOKUP(H110,Preenchimento!$A:$BV,3,0)</f>
        <v>#N/A</v>
      </c>
      <c r="I109" s="193" t="e">
        <f>VLOOKUP(I110,Preenchimento!$A:$BV,3,0)</f>
        <v>#N/A</v>
      </c>
      <c r="J109" s="120" t="s">
        <v>297</v>
      </c>
      <c r="K109" s="197" t="e">
        <f>VLOOKUP(H110,Preenchimento!$A:$BV,5,0)</f>
        <v>#N/A</v>
      </c>
      <c r="L109" s="198" t="e">
        <f>VLOOKUP(I110,Preenchimento!$A:$BV,5,0)</f>
        <v>#N/A</v>
      </c>
      <c r="M109" s="121" t="s">
        <v>296</v>
      </c>
      <c r="N109" s="193" t="e">
        <f>VLOOKUP(N110,Preenchimento!$A:$BV,3,0)</f>
        <v>#N/A</v>
      </c>
      <c r="O109" s="193" t="e">
        <f>VLOOKUP(O110,Preenchimento!$A:$BV,3,0)</f>
        <v>#N/A</v>
      </c>
      <c r="P109" s="120" t="s">
        <v>297</v>
      </c>
      <c r="Q109" s="197" t="e">
        <f>VLOOKUP(N110,Preenchimento!$A:$BV,5,0)</f>
        <v>#N/A</v>
      </c>
      <c r="R109" s="198" t="e">
        <f>VLOOKUP(O110,Preenchimento!$A:$BV,5,0)</f>
        <v>#N/A</v>
      </c>
      <c r="S109" s="121" t="s">
        <v>296</v>
      </c>
      <c r="T109" s="193" t="e">
        <f>VLOOKUP(T110,Preenchimento!$A:$BV,3,0)</f>
        <v>#N/A</v>
      </c>
      <c r="U109" s="193" t="e">
        <f>VLOOKUP(U110,Preenchimento!$A:$BV,3,0)</f>
        <v>#N/A</v>
      </c>
      <c r="V109" s="120" t="s">
        <v>297</v>
      </c>
      <c r="W109" s="197" t="e">
        <f>VLOOKUP(T110,Preenchimento!$A:$BV,5,0)</f>
        <v>#N/A</v>
      </c>
      <c r="X109" s="198" t="e">
        <f>VLOOKUP(U110,Preenchimento!$A:$BV,5,0)</f>
        <v>#N/A</v>
      </c>
    </row>
    <row r="110" spans="1:24" ht="9.75" customHeight="1" x14ac:dyDescent="0.15">
      <c r="A110" s="121" t="s">
        <v>298</v>
      </c>
      <c r="B110" s="193"/>
      <c r="C110" s="193"/>
      <c r="D110" s="120" t="s">
        <v>299</v>
      </c>
      <c r="F110" s="131" t="e">
        <f>VLOOKUP(B110,Preenchimento!$A:$BV,10,0)</f>
        <v>#N/A</v>
      </c>
      <c r="G110" s="121" t="s">
        <v>298</v>
      </c>
      <c r="H110" s="193"/>
      <c r="I110" s="193"/>
      <c r="J110" s="120" t="s">
        <v>299</v>
      </c>
      <c r="L110" s="131" t="e">
        <f>VLOOKUP(H110,Preenchimento!$A:$BV,10,0)</f>
        <v>#N/A</v>
      </c>
      <c r="M110" s="121" t="s">
        <v>298</v>
      </c>
      <c r="N110" s="193"/>
      <c r="O110" s="193"/>
      <c r="P110" s="120" t="s">
        <v>299</v>
      </c>
      <c r="R110" s="131" t="e">
        <f>VLOOKUP(N110,Preenchimento!$A:$BV,10,0)</f>
        <v>#N/A</v>
      </c>
      <c r="S110" s="121" t="s">
        <v>298</v>
      </c>
      <c r="T110" s="193"/>
      <c r="U110" s="193"/>
      <c r="V110" s="120" t="s">
        <v>299</v>
      </c>
      <c r="X110" s="131" t="e">
        <f>VLOOKUP(T110,Preenchimento!$A:$BV,10,0)</f>
        <v>#N/A</v>
      </c>
    </row>
    <row r="111" spans="1:24" ht="9.75" customHeight="1" x14ac:dyDescent="0.15">
      <c r="A111" s="121" t="s">
        <v>300</v>
      </c>
      <c r="C111" s="193" t="e">
        <f>VLOOKUP(B110,Preenchimento!$A:$BV,12,0)</f>
        <v>#N/A</v>
      </c>
      <c r="D111" s="193" t="e">
        <f>VLOOKUP(C110,Preenchimento!$A:$BV,12,0)</f>
        <v>#N/A</v>
      </c>
      <c r="E111" s="193" t="e">
        <f>VLOOKUP(D110,Preenchimento!$A:$BV,12,0)</f>
        <v>#N/A</v>
      </c>
      <c r="F111" s="194" t="e">
        <f>VLOOKUP(E110,Preenchimento!$A:$BV,12,0)</f>
        <v>#N/A</v>
      </c>
      <c r="G111" s="121" t="s">
        <v>300</v>
      </c>
      <c r="I111" s="193" t="e">
        <f>VLOOKUP(H110,Preenchimento!$A:$BV,12,0)</f>
        <v>#N/A</v>
      </c>
      <c r="J111" s="193" t="e">
        <f>VLOOKUP(I110,Preenchimento!$A:$BV,12,0)</f>
        <v>#N/A</v>
      </c>
      <c r="K111" s="193" t="e">
        <f>VLOOKUP(J110,Preenchimento!$A:$BV,12,0)</f>
        <v>#N/A</v>
      </c>
      <c r="L111" s="194" t="e">
        <f>VLOOKUP(K110,Preenchimento!$A:$BV,12,0)</f>
        <v>#N/A</v>
      </c>
      <c r="M111" s="121" t="s">
        <v>300</v>
      </c>
      <c r="O111" s="193" t="e">
        <f>VLOOKUP(N110,Preenchimento!$A:$BV,12,0)</f>
        <v>#N/A</v>
      </c>
      <c r="P111" s="193" t="e">
        <f>VLOOKUP(O110,Preenchimento!$A:$BV,12,0)</f>
        <v>#N/A</v>
      </c>
      <c r="Q111" s="193" t="e">
        <f>VLOOKUP(P110,Preenchimento!$A:$BV,12,0)</f>
        <v>#N/A</v>
      </c>
      <c r="R111" s="194" t="e">
        <f>VLOOKUP(Q110,Preenchimento!$A:$BV,12,0)</f>
        <v>#N/A</v>
      </c>
      <c r="S111" s="121" t="s">
        <v>300</v>
      </c>
      <c r="U111" s="193" t="e">
        <f>VLOOKUP(T110,Preenchimento!$A:$BV,12,0)</f>
        <v>#N/A</v>
      </c>
      <c r="V111" s="193" t="e">
        <f>VLOOKUP(U110,Preenchimento!$A:$BV,12,0)</f>
        <v>#N/A</v>
      </c>
      <c r="W111" s="193" t="e">
        <f>VLOOKUP(V110,Preenchimento!$A:$BV,12,0)</f>
        <v>#N/A</v>
      </c>
      <c r="X111" s="194" t="e">
        <f>VLOOKUP(W110,Preenchimento!$A:$BV,12,0)</f>
        <v>#N/A</v>
      </c>
    </row>
    <row r="112" spans="1:24" ht="9.75" customHeight="1" x14ac:dyDescent="0.15">
      <c r="A112" s="123" t="s">
        <v>301</v>
      </c>
      <c r="B112" s="195" t="e">
        <f>IF(VLOOKUP(B110,Preenchimento!$A:$BV,11,0)=0,"",VLOOKUP(B110,Preenchimento!$A:$BV,11,0))</f>
        <v>#N/A</v>
      </c>
      <c r="C112" s="195"/>
      <c r="D112" s="195"/>
      <c r="E112" s="195"/>
      <c r="F112" s="196"/>
      <c r="G112" s="123" t="s">
        <v>301</v>
      </c>
      <c r="H112" s="195" t="e">
        <f>IF(VLOOKUP(H110,Preenchimento!$A:$BV,11,0)=0,"",VLOOKUP(H110,Preenchimento!$A:$BV,11,0))</f>
        <v>#N/A</v>
      </c>
      <c r="I112" s="195"/>
      <c r="J112" s="195"/>
      <c r="K112" s="195"/>
      <c r="L112" s="196"/>
      <c r="M112" s="123" t="s">
        <v>301</v>
      </c>
      <c r="N112" s="195" t="e">
        <f>IF(VLOOKUP(N110,Preenchimento!$A:$BV,11,0)=0,"",VLOOKUP(N110,Preenchimento!$A:$BV,11,0))</f>
        <v>#N/A</v>
      </c>
      <c r="O112" s="195"/>
      <c r="P112" s="195"/>
      <c r="Q112" s="195"/>
      <c r="R112" s="196"/>
      <c r="S112" s="123" t="s">
        <v>301</v>
      </c>
      <c r="T112" s="195" t="e">
        <f>IF(VLOOKUP(T110,Preenchimento!$A:$BV,11,0)=0,"",VLOOKUP(T110,Preenchimento!$A:$BV,11,0))</f>
        <v>#N/A</v>
      </c>
      <c r="U112" s="195"/>
      <c r="V112" s="195"/>
      <c r="W112" s="195"/>
      <c r="X112" s="196"/>
    </row>
    <row r="113" spans="1:24" s="130" customFormat="1" ht="33.950000000000003" customHeight="1" x14ac:dyDescent="0.25">
      <c r="A113" s="199" t="str">
        <f>Sitio!$A$3</f>
        <v>Projeto 01</v>
      </c>
      <c r="B113" s="200"/>
      <c r="C113" s="200"/>
      <c r="D113" s="200"/>
      <c r="E113" s="200"/>
      <c r="F113" s="201"/>
      <c r="G113" s="199" t="str">
        <f>Sitio!$A$3</f>
        <v>Projeto 01</v>
      </c>
      <c r="H113" s="200"/>
      <c r="I113" s="200"/>
      <c r="J113" s="200"/>
      <c r="K113" s="200"/>
      <c r="L113" s="201"/>
      <c r="M113" s="199" t="str">
        <f>Sitio!$A$3</f>
        <v>Projeto 01</v>
      </c>
      <c r="N113" s="200"/>
      <c r="O113" s="200"/>
      <c r="P113" s="200"/>
      <c r="Q113" s="200"/>
      <c r="R113" s="201"/>
      <c r="S113" s="199" t="str">
        <f>Sitio!$A$3</f>
        <v>Projeto 01</v>
      </c>
      <c r="T113" s="200"/>
      <c r="U113" s="200"/>
      <c r="V113" s="200"/>
      <c r="W113" s="200"/>
      <c r="X113" s="201"/>
    </row>
    <row r="114" spans="1:24" ht="9.75" customHeight="1" x14ac:dyDescent="0.15">
      <c r="A114" s="121" t="s">
        <v>294</v>
      </c>
      <c r="B114" s="193">
        <f>Sitio!$E$3</f>
        <v>0</v>
      </c>
      <c r="C114" s="193"/>
      <c r="D114" s="193"/>
      <c r="E114" s="193"/>
      <c r="F114" s="194"/>
      <c r="G114" s="121" t="s">
        <v>294</v>
      </c>
      <c r="H114" s="193">
        <f>Sitio!$E$3</f>
        <v>0</v>
      </c>
      <c r="I114" s="193"/>
      <c r="J114" s="193"/>
      <c r="K114" s="193"/>
      <c r="L114" s="194"/>
      <c r="M114" s="121" t="s">
        <v>294</v>
      </c>
      <c r="N114" s="193">
        <f>Sitio!$E$3</f>
        <v>0</v>
      </c>
      <c r="O114" s="193"/>
      <c r="P114" s="193"/>
      <c r="Q114" s="193"/>
      <c r="R114" s="194"/>
      <c r="S114" s="121" t="s">
        <v>294</v>
      </c>
      <c r="T114" s="193">
        <f>Sitio!$E$3</f>
        <v>0</v>
      </c>
      <c r="U114" s="193"/>
      <c r="V114" s="193"/>
      <c r="W114" s="193"/>
      <c r="X114" s="194"/>
    </row>
    <row r="115" spans="1:24" ht="9.75" customHeight="1" x14ac:dyDescent="0.15">
      <c r="A115" s="121" t="s">
        <v>295</v>
      </c>
      <c r="C115" s="193" t="e">
        <f>VLOOKUP(B117,Preenchimento!$A:$BV,2,0)</f>
        <v>#N/A</v>
      </c>
      <c r="D115" s="193" t="e">
        <f>VLOOKUP(C117,Preenchimento!$A:$BV,2,0)</f>
        <v>#N/A</v>
      </c>
      <c r="E115" s="193" t="e">
        <f>VLOOKUP(D117,Preenchimento!$A:$BV,2,0)</f>
        <v>#N/A</v>
      </c>
      <c r="F115" s="194" t="e">
        <f>VLOOKUP(E117,Preenchimento!$A:$BV,2,0)</f>
        <v>#N/A</v>
      </c>
      <c r="G115" s="121" t="s">
        <v>295</v>
      </c>
      <c r="I115" s="193" t="e">
        <f>VLOOKUP(H117,Preenchimento!$A:$BV,2,0)</f>
        <v>#N/A</v>
      </c>
      <c r="J115" s="193" t="e">
        <f>VLOOKUP(I117,Preenchimento!$A:$BV,2,0)</f>
        <v>#N/A</v>
      </c>
      <c r="K115" s="193" t="e">
        <f>VLOOKUP(J117,Preenchimento!$A:$BV,2,0)</f>
        <v>#N/A</v>
      </c>
      <c r="L115" s="194" t="e">
        <f>VLOOKUP(K117,Preenchimento!$A:$BV,2,0)</f>
        <v>#N/A</v>
      </c>
      <c r="M115" s="121" t="s">
        <v>295</v>
      </c>
      <c r="O115" s="193" t="e">
        <f>VLOOKUP(N117,Preenchimento!$A:$BV,2,0)</f>
        <v>#N/A</v>
      </c>
      <c r="P115" s="193" t="e">
        <f>VLOOKUP(O117,Preenchimento!$A:$BV,2,0)</f>
        <v>#N/A</v>
      </c>
      <c r="Q115" s="193" t="e">
        <f>VLOOKUP(P117,Preenchimento!$A:$BV,2,0)</f>
        <v>#N/A</v>
      </c>
      <c r="R115" s="194" t="e">
        <f>VLOOKUP(Q117,Preenchimento!$A:$BV,2,0)</f>
        <v>#N/A</v>
      </c>
      <c r="S115" s="121" t="s">
        <v>295</v>
      </c>
      <c r="U115" s="193" t="e">
        <f>VLOOKUP(T117,Preenchimento!$A:$BV,2,0)</f>
        <v>#N/A</v>
      </c>
      <c r="V115" s="193" t="e">
        <f>VLOOKUP(U117,Preenchimento!$A:$BV,2,0)</f>
        <v>#N/A</v>
      </c>
      <c r="W115" s="193" t="e">
        <f>VLOOKUP(V117,Preenchimento!$A:$BV,2,0)</f>
        <v>#N/A</v>
      </c>
      <c r="X115" s="194" t="e">
        <f>VLOOKUP(W117,Preenchimento!$A:$BV,2,0)</f>
        <v>#N/A</v>
      </c>
    </row>
    <row r="116" spans="1:24" ht="9.75" customHeight="1" x14ac:dyDescent="0.15">
      <c r="A116" s="121" t="s">
        <v>296</v>
      </c>
      <c r="B116" s="193" t="e">
        <f>VLOOKUP(B117,Preenchimento!$A:$BV,3,0)</f>
        <v>#N/A</v>
      </c>
      <c r="C116" s="193" t="e">
        <f>VLOOKUP(C117,Preenchimento!$A:$BV,3,0)</f>
        <v>#N/A</v>
      </c>
      <c r="D116" s="120" t="s">
        <v>297</v>
      </c>
      <c r="E116" s="197" t="e">
        <f>VLOOKUP(B117,Preenchimento!$A:$BV,5,0)</f>
        <v>#N/A</v>
      </c>
      <c r="F116" s="198" t="e">
        <f>VLOOKUP(C117,Preenchimento!$A:$BV,5,0)</f>
        <v>#N/A</v>
      </c>
      <c r="G116" s="121" t="s">
        <v>296</v>
      </c>
      <c r="H116" s="193" t="e">
        <f>VLOOKUP(H117,Preenchimento!$A:$BV,3,0)</f>
        <v>#N/A</v>
      </c>
      <c r="I116" s="193" t="e">
        <f>VLOOKUP(I117,Preenchimento!$A:$BV,3,0)</f>
        <v>#N/A</v>
      </c>
      <c r="J116" s="120" t="s">
        <v>297</v>
      </c>
      <c r="K116" s="197" t="e">
        <f>VLOOKUP(H117,Preenchimento!$A:$BV,5,0)</f>
        <v>#N/A</v>
      </c>
      <c r="L116" s="198" t="e">
        <f>VLOOKUP(I117,Preenchimento!$A:$BV,5,0)</f>
        <v>#N/A</v>
      </c>
      <c r="M116" s="121" t="s">
        <v>296</v>
      </c>
      <c r="N116" s="193" t="e">
        <f>VLOOKUP(N117,Preenchimento!$A:$BV,3,0)</f>
        <v>#N/A</v>
      </c>
      <c r="O116" s="193" t="e">
        <f>VLOOKUP(O117,Preenchimento!$A:$BV,3,0)</f>
        <v>#N/A</v>
      </c>
      <c r="P116" s="120" t="s">
        <v>297</v>
      </c>
      <c r="Q116" s="197" t="e">
        <f>VLOOKUP(N117,Preenchimento!$A:$BV,5,0)</f>
        <v>#N/A</v>
      </c>
      <c r="R116" s="198" t="e">
        <f>VLOOKUP(O117,Preenchimento!$A:$BV,5,0)</f>
        <v>#N/A</v>
      </c>
      <c r="S116" s="121" t="s">
        <v>296</v>
      </c>
      <c r="T116" s="193" t="e">
        <f>VLOOKUP(T117,Preenchimento!$A:$BV,3,0)</f>
        <v>#N/A</v>
      </c>
      <c r="U116" s="193" t="e">
        <f>VLOOKUP(U117,Preenchimento!$A:$BV,3,0)</f>
        <v>#N/A</v>
      </c>
      <c r="V116" s="120" t="s">
        <v>297</v>
      </c>
      <c r="W116" s="197" t="e">
        <f>VLOOKUP(T117,Preenchimento!$A:$BV,5,0)</f>
        <v>#N/A</v>
      </c>
      <c r="X116" s="198" t="e">
        <f>VLOOKUP(U117,Preenchimento!$A:$BV,5,0)</f>
        <v>#N/A</v>
      </c>
    </row>
    <row r="117" spans="1:24" ht="9.75" customHeight="1" x14ac:dyDescent="0.15">
      <c r="A117" s="121" t="s">
        <v>298</v>
      </c>
      <c r="B117" s="193"/>
      <c r="C117" s="193"/>
      <c r="D117" s="120" t="s">
        <v>299</v>
      </c>
      <c r="F117" s="131" t="e">
        <f>VLOOKUP(B117,Preenchimento!$A:$BV,10,0)</f>
        <v>#N/A</v>
      </c>
      <c r="G117" s="121" t="s">
        <v>298</v>
      </c>
      <c r="H117" s="193"/>
      <c r="I117" s="193"/>
      <c r="J117" s="120" t="s">
        <v>299</v>
      </c>
      <c r="L117" s="131" t="e">
        <f>VLOOKUP(H117,Preenchimento!$A:$BV,10,0)</f>
        <v>#N/A</v>
      </c>
      <c r="M117" s="121" t="s">
        <v>298</v>
      </c>
      <c r="N117" s="193"/>
      <c r="O117" s="193"/>
      <c r="P117" s="120" t="s">
        <v>299</v>
      </c>
      <c r="R117" s="131" t="e">
        <f>VLOOKUP(N117,Preenchimento!$A:$BV,10,0)</f>
        <v>#N/A</v>
      </c>
      <c r="S117" s="121" t="s">
        <v>298</v>
      </c>
      <c r="T117" s="193"/>
      <c r="U117" s="193"/>
      <c r="V117" s="120" t="s">
        <v>299</v>
      </c>
      <c r="X117" s="131" t="e">
        <f>VLOOKUP(T117,Preenchimento!$A:$BV,10,0)</f>
        <v>#N/A</v>
      </c>
    </row>
    <row r="118" spans="1:24" ht="9.75" customHeight="1" x14ac:dyDescent="0.15">
      <c r="A118" s="121" t="s">
        <v>300</v>
      </c>
      <c r="C118" s="193" t="e">
        <f>VLOOKUP(B117,Preenchimento!$A:$BV,12,0)</f>
        <v>#N/A</v>
      </c>
      <c r="D118" s="193" t="e">
        <f>VLOOKUP(C117,Preenchimento!$A:$BV,12,0)</f>
        <v>#N/A</v>
      </c>
      <c r="E118" s="193" t="e">
        <f>VLOOKUP(D117,Preenchimento!$A:$BV,12,0)</f>
        <v>#N/A</v>
      </c>
      <c r="F118" s="194" t="e">
        <f>VLOOKUP(E117,Preenchimento!$A:$BV,12,0)</f>
        <v>#N/A</v>
      </c>
      <c r="G118" s="121" t="s">
        <v>300</v>
      </c>
      <c r="I118" s="193" t="e">
        <f>VLOOKUP(H117,Preenchimento!$A:$BV,12,0)</f>
        <v>#N/A</v>
      </c>
      <c r="J118" s="193" t="e">
        <f>VLOOKUP(I117,Preenchimento!$A:$BV,12,0)</f>
        <v>#N/A</v>
      </c>
      <c r="K118" s="193" t="e">
        <f>VLOOKUP(J117,Preenchimento!$A:$BV,12,0)</f>
        <v>#N/A</v>
      </c>
      <c r="L118" s="194" t="e">
        <f>VLOOKUP(K117,Preenchimento!$A:$BV,12,0)</f>
        <v>#N/A</v>
      </c>
      <c r="M118" s="121" t="s">
        <v>300</v>
      </c>
      <c r="O118" s="193" t="e">
        <f>VLOOKUP(N117,Preenchimento!$A:$BV,12,0)</f>
        <v>#N/A</v>
      </c>
      <c r="P118" s="193" t="e">
        <f>VLOOKUP(O117,Preenchimento!$A:$BV,12,0)</f>
        <v>#N/A</v>
      </c>
      <c r="Q118" s="193" t="e">
        <f>VLOOKUP(P117,Preenchimento!$A:$BV,12,0)</f>
        <v>#N/A</v>
      </c>
      <c r="R118" s="194" t="e">
        <f>VLOOKUP(Q117,Preenchimento!$A:$BV,12,0)</f>
        <v>#N/A</v>
      </c>
      <c r="S118" s="121" t="s">
        <v>300</v>
      </c>
      <c r="U118" s="193" t="e">
        <f>VLOOKUP(T117,Preenchimento!$A:$BV,12,0)</f>
        <v>#N/A</v>
      </c>
      <c r="V118" s="193" t="e">
        <f>VLOOKUP(U117,Preenchimento!$A:$BV,12,0)</f>
        <v>#N/A</v>
      </c>
      <c r="W118" s="193" t="e">
        <f>VLOOKUP(V117,Preenchimento!$A:$BV,12,0)</f>
        <v>#N/A</v>
      </c>
      <c r="X118" s="194" t="e">
        <f>VLOOKUP(W117,Preenchimento!$A:$BV,12,0)</f>
        <v>#N/A</v>
      </c>
    </row>
    <row r="119" spans="1:24" ht="9.75" customHeight="1" x14ac:dyDescent="0.15">
      <c r="A119" s="123" t="s">
        <v>301</v>
      </c>
      <c r="B119" s="195" t="e">
        <f>IF(VLOOKUP(B117,Preenchimento!$A:$BV,11,0)=0,"",VLOOKUP(B117,Preenchimento!$A:$BV,11,0))</f>
        <v>#N/A</v>
      </c>
      <c r="C119" s="195"/>
      <c r="D119" s="195"/>
      <c r="E119" s="195"/>
      <c r="F119" s="196"/>
      <c r="G119" s="123" t="s">
        <v>301</v>
      </c>
      <c r="H119" s="195" t="e">
        <f>IF(VLOOKUP(H117,Preenchimento!$A:$BV,11,0)=0,"",VLOOKUP(H117,Preenchimento!$A:$BV,11,0))</f>
        <v>#N/A</v>
      </c>
      <c r="I119" s="195"/>
      <c r="J119" s="195"/>
      <c r="K119" s="195"/>
      <c r="L119" s="196"/>
      <c r="M119" s="123" t="s">
        <v>301</v>
      </c>
      <c r="N119" s="195" t="e">
        <f>IF(VLOOKUP(N117,Preenchimento!$A:$BV,11,0)=0,"",VLOOKUP(N117,Preenchimento!$A:$BV,11,0))</f>
        <v>#N/A</v>
      </c>
      <c r="O119" s="195"/>
      <c r="P119" s="195"/>
      <c r="Q119" s="195"/>
      <c r="R119" s="196"/>
      <c r="S119" s="123" t="s">
        <v>301</v>
      </c>
      <c r="T119" s="195" t="e">
        <f>IF(VLOOKUP(T117,Preenchimento!$A:$BV,11,0)=0,"",VLOOKUP(T117,Preenchimento!$A:$BV,11,0))</f>
        <v>#N/A</v>
      </c>
      <c r="U119" s="195"/>
      <c r="V119" s="195"/>
      <c r="W119" s="195"/>
      <c r="X119" s="196"/>
    </row>
    <row r="120" spans="1:24" s="130" customFormat="1" ht="33.950000000000003" customHeight="1" x14ac:dyDescent="0.25">
      <c r="A120" s="199" t="str">
        <f>Sitio!$A$3</f>
        <v>Projeto 01</v>
      </c>
      <c r="B120" s="200"/>
      <c r="C120" s="200"/>
      <c r="D120" s="200"/>
      <c r="E120" s="200"/>
      <c r="F120" s="201"/>
      <c r="G120" s="199" t="str">
        <f>Sitio!$A$3</f>
        <v>Projeto 01</v>
      </c>
      <c r="H120" s="200"/>
      <c r="I120" s="200"/>
      <c r="J120" s="200"/>
      <c r="K120" s="200"/>
      <c r="L120" s="201"/>
      <c r="M120" s="199" t="str">
        <f>Sitio!$A$3</f>
        <v>Projeto 01</v>
      </c>
      <c r="N120" s="200"/>
      <c r="O120" s="200"/>
      <c r="P120" s="200"/>
      <c r="Q120" s="200"/>
      <c r="R120" s="201"/>
      <c r="S120" s="199" t="str">
        <f>Sitio!$A$3</f>
        <v>Projeto 01</v>
      </c>
      <c r="T120" s="200"/>
      <c r="U120" s="200"/>
      <c r="V120" s="200"/>
      <c r="W120" s="200"/>
      <c r="X120" s="201"/>
    </row>
    <row r="121" spans="1:24" ht="9.75" customHeight="1" x14ac:dyDescent="0.15">
      <c r="A121" s="121" t="s">
        <v>294</v>
      </c>
      <c r="B121" s="193">
        <f>Sitio!$E$3</f>
        <v>0</v>
      </c>
      <c r="C121" s="193"/>
      <c r="D121" s="193"/>
      <c r="E121" s="193"/>
      <c r="F121" s="194"/>
      <c r="G121" s="121" t="s">
        <v>294</v>
      </c>
      <c r="H121" s="193">
        <f>Sitio!$E$3</f>
        <v>0</v>
      </c>
      <c r="I121" s="193"/>
      <c r="J121" s="193"/>
      <c r="K121" s="193"/>
      <c r="L121" s="194"/>
      <c r="M121" s="121" t="s">
        <v>294</v>
      </c>
      <c r="N121" s="193">
        <f>Sitio!$E$3</f>
        <v>0</v>
      </c>
      <c r="O121" s="193"/>
      <c r="P121" s="193"/>
      <c r="Q121" s="193"/>
      <c r="R121" s="194"/>
      <c r="S121" s="121" t="s">
        <v>294</v>
      </c>
      <c r="T121" s="193">
        <f>Sitio!$E$3</f>
        <v>0</v>
      </c>
      <c r="U121" s="193"/>
      <c r="V121" s="193"/>
      <c r="W121" s="193"/>
      <c r="X121" s="194"/>
    </row>
    <row r="122" spans="1:24" ht="9.75" customHeight="1" x14ac:dyDescent="0.15">
      <c r="A122" s="121" t="s">
        <v>295</v>
      </c>
      <c r="C122" s="193" t="e">
        <f>VLOOKUP(B124,Preenchimento!$A:$BV,2,0)</f>
        <v>#N/A</v>
      </c>
      <c r="D122" s="193" t="e">
        <f>VLOOKUP(C124,Preenchimento!$A:$BV,2,0)</f>
        <v>#N/A</v>
      </c>
      <c r="E122" s="193" t="e">
        <f>VLOOKUP(D124,Preenchimento!$A:$BV,2,0)</f>
        <v>#N/A</v>
      </c>
      <c r="F122" s="194" t="e">
        <f>VLOOKUP(E124,Preenchimento!$A:$BV,2,0)</f>
        <v>#N/A</v>
      </c>
      <c r="G122" s="121" t="s">
        <v>295</v>
      </c>
      <c r="I122" s="193" t="e">
        <f>VLOOKUP(H124,Preenchimento!$A:$BV,2,0)</f>
        <v>#N/A</v>
      </c>
      <c r="J122" s="193" t="e">
        <f>VLOOKUP(I124,Preenchimento!$A:$BV,2,0)</f>
        <v>#N/A</v>
      </c>
      <c r="K122" s="193" t="e">
        <f>VLOOKUP(J124,Preenchimento!$A:$BV,2,0)</f>
        <v>#N/A</v>
      </c>
      <c r="L122" s="194" t="e">
        <f>VLOOKUP(K124,Preenchimento!$A:$BV,2,0)</f>
        <v>#N/A</v>
      </c>
      <c r="M122" s="121" t="s">
        <v>295</v>
      </c>
      <c r="O122" s="193" t="e">
        <f>VLOOKUP(N124,Preenchimento!$A:$BV,2,0)</f>
        <v>#N/A</v>
      </c>
      <c r="P122" s="193" t="e">
        <f>VLOOKUP(O124,Preenchimento!$A:$BV,2,0)</f>
        <v>#N/A</v>
      </c>
      <c r="Q122" s="193" t="e">
        <f>VLOOKUP(P124,Preenchimento!$A:$BV,2,0)</f>
        <v>#N/A</v>
      </c>
      <c r="R122" s="194" t="e">
        <f>VLOOKUP(Q124,Preenchimento!$A:$BV,2,0)</f>
        <v>#N/A</v>
      </c>
      <c r="S122" s="121" t="s">
        <v>295</v>
      </c>
      <c r="U122" s="193" t="e">
        <f>VLOOKUP(T124,Preenchimento!$A:$BV,2,0)</f>
        <v>#N/A</v>
      </c>
      <c r="V122" s="193" t="e">
        <f>VLOOKUP(U124,Preenchimento!$A:$BV,2,0)</f>
        <v>#N/A</v>
      </c>
      <c r="W122" s="193" t="e">
        <f>VLOOKUP(V124,Preenchimento!$A:$BV,2,0)</f>
        <v>#N/A</v>
      </c>
      <c r="X122" s="194" t="e">
        <f>VLOOKUP(W124,Preenchimento!$A:$BV,2,0)</f>
        <v>#N/A</v>
      </c>
    </row>
    <row r="123" spans="1:24" ht="9.75" customHeight="1" x14ac:dyDescent="0.15">
      <c r="A123" s="121" t="s">
        <v>296</v>
      </c>
      <c r="B123" s="193" t="e">
        <f>VLOOKUP(B124,Preenchimento!$A:$BV,3,0)</f>
        <v>#N/A</v>
      </c>
      <c r="C123" s="193" t="e">
        <f>VLOOKUP(C124,Preenchimento!$A:$BV,3,0)</f>
        <v>#N/A</v>
      </c>
      <c r="D123" s="120" t="s">
        <v>297</v>
      </c>
      <c r="E123" s="197" t="e">
        <f>VLOOKUP(B124,Preenchimento!$A:$BV,5,0)</f>
        <v>#N/A</v>
      </c>
      <c r="F123" s="198" t="e">
        <f>VLOOKUP(C124,Preenchimento!$A:$BV,5,0)</f>
        <v>#N/A</v>
      </c>
      <c r="G123" s="121" t="s">
        <v>296</v>
      </c>
      <c r="H123" s="193" t="e">
        <f>VLOOKUP(H124,Preenchimento!$A:$BV,3,0)</f>
        <v>#N/A</v>
      </c>
      <c r="I123" s="193" t="e">
        <f>VLOOKUP(I124,Preenchimento!$A:$BV,3,0)</f>
        <v>#N/A</v>
      </c>
      <c r="J123" s="120" t="s">
        <v>297</v>
      </c>
      <c r="K123" s="197" t="e">
        <f>VLOOKUP(H124,Preenchimento!$A:$BV,5,0)</f>
        <v>#N/A</v>
      </c>
      <c r="L123" s="198" t="e">
        <f>VLOOKUP(I124,Preenchimento!$A:$BV,5,0)</f>
        <v>#N/A</v>
      </c>
      <c r="M123" s="121" t="s">
        <v>296</v>
      </c>
      <c r="N123" s="193" t="e">
        <f>VLOOKUP(N124,Preenchimento!$A:$BV,3,0)</f>
        <v>#N/A</v>
      </c>
      <c r="O123" s="193" t="e">
        <f>VLOOKUP(O124,Preenchimento!$A:$BV,3,0)</f>
        <v>#N/A</v>
      </c>
      <c r="P123" s="120" t="s">
        <v>297</v>
      </c>
      <c r="Q123" s="197" t="e">
        <f>VLOOKUP(N124,Preenchimento!$A:$BV,5,0)</f>
        <v>#N/A</v>
      </c>
      <c r="R123" s="198" t="e">
        <f>VLOOKUP(O124,Preenchimento!$A:$BV,5,0)</f>
        <v>#N/A</v>
      </c>
      <c r="S123" s="121" t="s">
        <v>296</v>
      </c>
      <c r="T123" s="193" t="e">
        <f>VLOOKUP(T124,Preenchimento!$A:$BV,3,0)</f>
        <v>#N/A</v>
      </c>
      <c r="U123" s="193" t="e">
        <f>VLOOKUP(U124,Preenchimento!$A:$BV,3,0)</f>
        <v>#N/A</v>
      </c>
      <c r="V123" s="120" t="s">
        <v>297</v>
      </c>
      <c r="W123" s="197" t="e">
        <f>VLOOKUP(T124,Preenchimento!$A:$BV,5,0)</f>
        <v>#N/A</v>
      </c>
      <c r="X123" s="198" t="e">
        <f>VLOOKUP(U124,Preenchimento!$A:$BV,5,0)</f>
        <v>#N/A</v>
      </c>
    </row>
    <row r="124" spans="1:24" ht="9.75" customHeight="1" x14ac:dyDescent="0.15">
      <c r="A124" s="121" t="s">
        <v>298</v>
      </c>
      <c r="B124" s="193"/>
      <c r="C124" s="193"/>
      <c r="D124" s="120" t="s">
        <v>299</v>
      </c>
      <c r="F124" s="131" t="e">
        <f>VLOOKUP(B124,Preenchimento!$A:$BV,10,0)</f>
        <v>#N/A</v>
      </c>
      <c r="G124" s="121" t="s">
        <v>298</v>
      </c>
      <c r="H124" s="193"/>
      <c r="I124" s="193"/>
      <c r="J124" s="120" t="s">
        <v>299</v>
      </c>
      <c r="L124" s="131" t="e">
        <f>VLOOKUP(H124,Preenchimento!$A:$BV,10,0)</f>
        <v>#N/A</v>
      </c>
      <c r="M124" s="121" t="s">
        <v>298</v>
      </c>
      <c r="N124" s="193"/>
      <c r="O124" s="193"/>
      <c r="P124" s="120" t="s">
        <v>299</v>
      </c>
      <c r="R124" s="131" t="e">
        <f>VLOOKUP(N124,Preenchimento!$A:$BV,10,0)</f>
        <v>#N/A</v>
      </c>
      <c r="S124" s="121" t="s">
        <v>298</v>
      </c>
      <c r="T124" s="193"/>
      <c r="U124" s="193"/>
      <c r="V124" s="120" t="s">
        <v>299</v>
      </c>
      <c r="X124" s="131" t="e">
        <f>VLOOKUP(T124,Preenchimento!$A:$BV,10,0)</f>
        <v>#N/A</v>
      </c>
    </row>
    <row r="125" spans="1:24" ht="9.75" customHeight="1" x14ac:dyDescent="0.15">
      <c r="A125" s="121" t="s">
        <v>300</v>
      </c>
      <c r="C125" s="193" t="e">
        <f>VLOOKUP(B124,Preenchimento!$A:$BV,12,0)</f>
        <v>#N/A</v>
      </c>
      <c r="D125" s="193" t="e">
        <f>VLOOKUP(C124,Preenchimento!$A:$BV,12,0)</f>
        <v>#N/A</v>
      </c>
      <c r="E125" s="193" t="e">
        <f>VLOOKUP(D124,Preenchimento!$A:$BV,12,0)</f>
        <v>#N/A</v>
      </c>
      <c r="F125" s="194" t="e">
        <f>VLOOKUP(E124,Preenchimento!$A:$BV,12,0)</f>
        <v>#N/A</v>
      </c>
      <c r="G125" s="121" t="s">
        <v>300</v>
      </c>
      <c r="I125" s="193" t="e">
        <f>VLOOKUP(H124,Preenchimento!$A:$BV,12,0)</f>
        <v>#N/A</v>
      </c>
      <c r="J125" s="193" t="e">
        <f>VLOOKUP(I124,Preenchimento!$A:$BV,12,0)</f>
        <v>#N/A</v>
      </c>
      <c r="K125" s="193" t="e">
        <f>VLOOKUP(J124,Preenchimento!$A:$BV,12,0)</f>
        <v>#N/A</v>
      </c>
      <c r="L125" s="194" t="e">
        <f>VLOOKUP(K124,Preenchimento!$A:$BV,12,0)</f>
        <v>#N/A</v>
      </c>
      <c r="M125" s="121" t="s">
        <v>300</v>
      </c>
      <c r="O125" s="193" t="e">
        <f>VLOOKUP(N124,Preenchimento!$A:$BV,12,0)</f>
        <v>#N/A</v>
      </c>
      <c r="P125" s="193" t="e">
        <f>VLOOKUP(O124,Preenchimento!$A:$BV,12,0)</f>
        <v>#N/A</v>
      </c>
      <c r="Q125" s="193" t="e">
        <f>VLOOKUP(P124,Preenchimento!$A:$BV,12,0)</f>
        <v>#N/A</v>
      </c>
      <c r="R125" s="194" t="e">
        <f>VLOOKUP(Q124,Preenchimento!$A:$BV,12,0)</f>
        <v>#N/A</v>
      </c>
      <c r="S125" s="121" t="s">
        <v>300</v>
      </c>
      <c r="U125" s="193" t="e">
        <f>VLOOKUP(T124,Preenchimento!$A:$BV,12,0)</f>
        <v>#N/A</v>
      </c>
      <c r="V125" s="193" t="e">
        <f>VLOOKUP(U124,Preenchimento!$A:$BV,12,0)</f>
        <v>#N/A</v>
      </c>
      <c r="W125" s="193" t="e">
        <f>VLOOKUP(V124,Preenchimento!$A:$BV,12,0)</f>
        <v>#N/A</v>
      </c>
      <c r="X125" s="194" t="e">
        <f>VLOOKUP(W124,Preenchimento!$A:$BV,12,0)</f>
        <v>#N/A</v>
      </c>
    </row>
    <row r="126" spans="1:24" ht="9.75" customHeight="1" x14ac:dyDescent="0.15">
      <c r="A126" s="123" t="s">
        <v>301</v>
      </c>
      <c r="B126" s="195" t="e">
        <f>IF(VLOOKUP(B124,Preenchimento!$A:$BV,11,0)=0,"",VLOOKUP(B124,Preenchimento!$A:$BV,11,0))</f>
        <v>#N/A</v>
      </c>
      <c r="C126" s="195"/>
      <c r="D126" s="195"/>
      <c r="E126" s="195"/>
      <c r="F126" s="196"/>
      <c r="G126" s="123" t="s">
        <v>301</v>
      </c>
      <c r="H126" s="195" t="e">
        <f>IF(VLOOKUP(H124,Preenchimento!$A:$BV,11,0)=0,"",VLOOKUP(H124,Preenchimento!$A:$BV,11,0))</f>
        <v>#N/A</v>
      </c>
      <c r="I126" s="195"/>
      <c r="J126" s="195"/>
      <c r="K126" s="195"/>
      <c r="L126" s="196"/>
      <c r="M126" s="123" t="s">
        <v>301</v>
      </c>
      <c r="N126" s="195" t="e">
        <f>IF(VLOOKUP(N124,Preenchimento!$A:$BV,11,0)=0,"",VLOOKUP(N124,Preenchimento!$A:$BV,11,0))</f>
        <v>#N/A</v>
      </c>
      <c r="O126" s="195"/>
      <c r="P126" s="195"/>
      <c r="Q126" s="195"/>
      <c r="R126" s="196"/>
      <c r="S126" s="123" t="s">
        <v>301</v>
      </c>
      <c r="T126" s="195" t="e">
        <f>IF(VLOOKUP(T124,Preenchimento!$A:$BV,11,0)=0,"",VLOOKUP(T124,Preenchimento!$A:$BV,11,0))</f>
        <v>#N/A</v>
      </c>
      <c r="U126" s="195"/>
      <c r="V126" s="195"/>
      <c r="W126" s="195"/>
      <c r="X126" s="196"/>
    </row>
    <row r="127" spans="1:24" s="130" customFormat="1" ht="33.950000000000003" customHeight="1" x14ac:dyDescent="0.25">
      <c r="A127" s="199" t="str">
        <f>Sitio!$A$3</f>
        <v>Projeto 01</v>
      </c>
      <c r="B127" s="200"/>
      <c r="C127" s="200"/>
      <c r="D127" s="200"/>
      <c r="E127" s="200"/>
      <c r="F127" s="201"/>
      <c r="G127" s="199" t="str">
        <f>Sitio!$A$3</f>
        <v>Projeto 01</v>
      </c>
      <c r="H127" s="200"/>
      <c r="I127" s="200"/>
      <c r="J127" s="200"/>
      <c r="K127" s="200"/>
      <c r="L127" s="201"/>
      <c r="M127" s="199" t="str">
        <f>Sitio!$A$3</f>
        <v>Projeto 01</v>
      </c>
      <c r="N127" s="200"/>
      <c r="O127" s="200"/>
      <c r="P127" s="200"/>
      <c r="Q127" s="200"/>
      <c r="R127" s="201"/>
      <c r="S127" s="199" t="str">
        <f>Sitio!$A$3</f>
        <v>Projeto 01</v>
      </c>
      <c r="T127" s="200"/>
      <c r="U127" s="200"/>
      <c r="V127" s="200"/>
      <c r="W127" s="200"/>
      <c r="X127" s="201"/>
    </row>
    <row r="128" spans="1:24" ht="9.75" customHeight="1" x14ac:dyDescent="0.15">
      <c r="A128" s="121" t="s">
        <v>294</v>
      </c>
      <c r="B128" s="193">
        <f>Sitio!$E$3</f>
        <v>0</v>
      </c>
      <c r="C128" s="193"/>
      <c r="D128" s="193"/>
      <c r="E128" s="193"/>
      <c r="F128" s="194"/>
      <c r="G128" s="121" t="s">
        <v>294</v>
      </c>
      <c r="H128" s="193">
        <f>Sitio!$E$3</f>
        <v>0</v>
      </c>
      <c r="I128" s="193"/>
      <c r="J128" s="193"/>
      <c r="K128" s="193"/>
      <c r="L128" s="194"/>
      <c r="M128" s="121" t="s">
        <v>294</v>
      </c>
      <c r="N128" s="193">
        <f>Sitio!$E$3</f>
        <v>0</v>
      </c>
      <c r="O128" s="193"/>
      <c r="P128" s="193"/>
      <c r="Q128" s="193"/>
      <c r="R128" s="194"/>
      <c r="S128" s="121" t="s">
        <v>294</v>
      </c>
      <c r="T128" s="193">
        <f>Sitio!$E$3</f>
        <v>0</v>
      </c>
      <c r="U128" s="193"/>
      <c r="V128" s="193"/>
      <c r="W128" s="193"/>
      <c r="X128" s="194"/>
    </row>
    <row r="129" spans="1:24" ht="9.75" customHeight="1" x14ac:dyDescent="0.15">
      <c r="A129" s="121" t="s">
        <v>295</v>
      </c>
      <c r="C129" s="193" t="e">
        <f>VLOOKUP(B131,Preenchimento!$A:$BV,2,0)</f>
        <v>#N/A</v>
      </c>
      <c r="D129" s="193" t="e">
        <f>VLOOKUP(C131,Preenchimento!$A:$BV,2,0)</f>
        <v>#N/A</v>
      </c>
      <c r="E129" s="193" t="e">
        <f>VLOOKUP(D131,Preenchimento!$A:$BV,2,0)</f>
        <v>#N/A</v>
      </c>
      <c r="F129" s="194" t="e">
        <f>VLOOKUP(E131,Preenchimento!$A:$BV,2,0)</f>
        <v>#N/A</v>
      </c>
      <c r="G129" s="121" t="s">
        <v>295</v>
      </c>
      <c r="I129" s="193" t="e">
        <f>VLOOKUP(H131,Preenchimento!$A:$BV,2,0)</f>
        <v>#N/A</v>
      </c>
      <c r="J129" s="193" t="e">
        <f>VLOOKUP(I131,Preenchimento!$A:$BV,2,0)</f>
        <v>#N/A</v>
      </c>
      <c r="K129" s="193" t="e">
        <f>VLOOKUP(J131,Preenchimento!$A:$BV,2,0)</f>
        <v>#N/A</v>
      </c>
      <c r="L129" s="194" t="e">
        <f>VLOOKUP(K131,Preenchimento!$A:$BV,2,0)</f>
        <v>#N/A</v>
      </c>
      <c r="M129" s="121" t="s">
        <v>295</v>
      </c>
      <c r="O129" s="193" t="e">
        <f>VLOOKUP(N131,Preenchimento!$A:$BV,2,0)</f>
        <v>#N/A</v>
      </c>
      <c r="P129" s="193" t="e">
        <f>VLOOKUP(O131,Preenchimento!$A:$BV,2,0)</f>
        <v>#N/A</v>
      </c>
      <c r="Q129" s="193" t="e">
        <f>VLOOKUP(P131,Preenchimento!$A:$BV,2,0)</f>
        <v>#N/A</v>
      </c>
      <c r="R129" s="194" t="e">
        <f>VLOOKUP(Q131,Preenchimento!$A:$BV,2,0)</f>
        <v>#N/A</v>
      </c>
      <c r="S129" s="121" t="s">
        <v>295</v>
      </c>
      <c r="U129" s="193" t="e">
        <f>VLOOKUP(T131,Preenchimento!$A:$BV,2,0)</f>
        <v>#N/A</v>
      </c>
      <c r="V129" s="193" t="e">
        <f>VLOOKUP(U131,Preenchimento!$A:$BV,2,0)</f>
        <v>#N/A</v>
      </c>
      <c r="W129" s="193" t="e">
        <f>VLOOKUP(V131,Preenchimento!$A:$BV,2,0)</f>
        <v>#N/A</v>
      </c>
      <c r="X129" s="194" t="e">
        <f>VLOOKUP(W131,Preenchimento!$A:$BV,2,0)</f>
        <v>#N/A</v>
      </c>
    </row>
    <row r="130" spans="1:24" ht="9.75" customHeight="1" x14ac:dyDescent="0.15">
      <c r="A130" s="121" t="s">
        <v>296</v>
      </c>
      <c r="B130" s="193" t="e">
        <f>VLOOKUP(B131,Preenchimento!$A:$BV,3,0)</f>
        <v>#N/A</v>
      </c>
      <c r="C130" s="193" t="e">
        <f>VLOOKUP(C131,Preenchimento!$A:$BV,3,0)</f>
        <v>#N/A</v>
      </c>
      <c r="D130" s="120" t="s">
        <v>297</v>
      </c>
      <c r="E130" s="197" t="e">
        <f>VLOOKUP(B131,Preenchimento!$A:$BV,5,0)</f>
        <v>#N/A</v>
      </c>
      <c r="F130" s="198" t="e">
        <f>VLOOKUP(C131,Preenchimento!$A:$BV,5,0)</f>
        <v>#N/A</v>
      </c>
      <c r="G130" s="121" t="s">
        <v>296</v>
      </c>
      <c r="H130" s="193" t="e">
        <f>VLOOKUP(H131,Preenchimento!$A:$BV,3,0)</f>
        <v>#N/A</v>
      </c>
      <c r="I130" s="193" t="e">
        <f>VLOOKUP(I131,Preenchimento!$A:$BV,3,0)</f>
        <v>#N/A</v>
      </c>
      <c r="J130" s="120" t="s">
        <v>297</v>
      </c>
      <c r="K130" s="197" t="e">
        <f>VLOOKUP(H131,Preenchimento!$A:$BV,5,0)</f>
        <v>#N/A</v>
      </c>
      <c r="L130" s="198" t="e">
        <f>VLOOKUP(I131,Preenchimento!$A:$BV,5,0)</f>
        <v>#N/A</v>
      </c>
      <c r="M130" s="121" t="s">
        <v>296</v>
      </c>
      <c r="N130" s="193" t="e">
        <f>VLOOKUP(N131,Preenchimento!$A:$BV,3,0)</f>
        <v>#N/A</v>
      </c>
      <c r="O130" s="193" t="e">
        <f>VLOOKUP(O131,Preenchimento!$A:$BV,3,0)</f>
        <v>#N/A</v>
      </c>
      <c r="P130" s="120" t="s">
        <v>297</v>
      </c>
      <c r="Q130" s="197" t="e">
        <f>VLOOKUP(N131,Preenchimento!$A:$BV,5,0)</f>
        <v>#N/A</v>
      </c>
      <c r="R130" s="198" t="e">
        <f>VLOOKUP(O131,Preenchimento!$A:$BV,5,0)</f>
        <v>#N/A</v>
      </c>
      <c r="S130" s="121" t="s">
        <v>296</v>
      </c>
      <c r="T130" s="193" t="e">
        <f>VLOOKUP(T131,Preenchimento!$A:$BV,3,0)</f>
        <v>#N/A</v>
      </c>
      <c r="U130" s="193" t="e">
        <f>VLOOKUP(U131,Preenchimento!$A:$BV,3,0)</f>
        <v>#N/A</v>
      </c>
      <c r="V130" s="120" t="s">
        <v>297</v>
      </c>
      <c r="W130" s="197" t="e">
        <f>VLOOKUP(T131,Preenchimento!$A:$BV,5,0)</f>
        <v>#N/A</v>
      </c>
      <c r="X130" s="198" t="e">
        <f>VLOOKUP(U131,Preenchimento!$A:$BV,5,0)</f>
        <v>#N/A</v>
      </c>
    </row>
    <row r="131" spans="1:24" ht="9.75" customHeight="1" x14ac:dyDescent="0.15">
      <c r="A131" s="121" t="s">
        <v>298</v>
      </c>
      <c r="B131" s="193"/>
      <c r="C131" s="193"/>
      <c r="D131" s="120" t="s">
        <v>299</v>
      </c>
      <c r="F131" s="131" t="e">
        <f>VLOOKUP(B131,Preenchimento!$A:$BV,10,0)</f>
        <v>#N/A</v>
      </c>
      <c r="G131" s="121" t="s">
        <v>298</v>
      </c>
      <c r="H131" s="193"/>
      <c r="I131" s="193"/>
      <c r="J131" s="120" t="s">
        <v>299</v>
      </c>
      <c r="L131" s="131" t="e">
        <f>VLOOKUP(H131,Preenchimento!$A:$BV,10,0)</f>
        <v>#N/A</v>
      </c>
      <c r="M131" s="121" t="s">
        <v>298</v>
      </c>
      <c r="N131" s="193"/>
      <c r="O131" s="193"/>
      <c r="P131" s="120" t="s">
        <v>299</v>
      </c>
      <c r="R131" s="131" t="e">
        <f>VLOOKUP(N131,Preenchimento!$A:$BV,10,0)</f>
        <v>#N/A</v>
      </c>
      <c r="S131" s="121" t="s">
        <v>298</v>
      </c>
      <c r="T131" s="193"/>
      <c r="U131" s="193"/>
      <c r="V131" s="120" t="s">
        <v>299</v>
      </c>
      <c r="X131" s="131" t="e">
        <f>VLOOKUP(T131,Preenchimento!$A:$BV,10,0)</f>
        <v>#N/A</v>
      </c>
    </row>
    <row r="132" spans="1:24" ht="9.75" customHeight="1" x14ac:dyDescent="0.15">
      <c r="A132" s="121" t="s">
        <v>300</v>
      </c>
      <c r="C132" s="193" t="e">
        <f>VLOOKUP(B131,Preenchimento!$A:$BV,12,0)</f>
        <v>#N/A</v>
      </c>
      <c r="D132" s="193" t="e">
        <f>VLOOKUP(C131,Preenchimento!$A:$BV,12,0)</f>
        <v>#N/A</v>
      </c>
      <c r="E132" s="193" t="e">
        <f>VLOOKUP(D131,Preenchimento!$A:$BV,12,0)</f>
        <v>#N/A</v>
      </c>
      <c r="F132" s="194" t="e">
        <f>VLOOKUP(E131,Preenchimento!$A:$BV,12,0)</f>
        <v>#N/A</v>
      </c>
      <c r="G132" s="121" t="s">
        <v>300</v>
      </c>
      <c r="I132" s="193" t="e">
        <f>VLOOKUP(H131,Preenchimento!$A:$BV,12,0)</f>
        <v>#N/A</v>
      </c>
      <c r="J132" s="193" t="e">
        <f>VLOOKUP(I131,Preenchimento!$A:$BV,12,0)</f>
        <v>#N/A</v>
      </c>
      <c r="K132" s="193" t="e">
        <f>VLOOKUP(J131,Preenchimento!$A:$BV,12,0)</f>
        <v>#N/A</v>
      </c>
      <c r="L132" s="194" t="e">
        <f>VLOOKUP(K131,Preenchimento!$A:$BV,12,0)</f>
        <v>#N/A</v>
      </c>
      <c r="M132" s="121" t="s">
        <v>300</v>
      </c>
      <c r="O132" s="193" t="e">
        <f>VLOOKUP(N131,Preenchimento!$A:$BV,12,0)</f>
        <v>#N/A</v>
      </c>
      <c r="P132" s="193" t="e">
        <f>VLOOKUP(O131,Preenchimento!$A:$BV,12,0)</f>
        <v>#N/A</v>
      </c>
      <c r="Q132" s="193" t="e">
        <f>VLOOKUP(P131,Preenchimento!$A:$BV,12,0)</f>
        <v>#N/A</v>
      </c>
      <c r="R132" s="194" t="e">
        <f>VLOOKUP(Q131,Preenchimento!$A:$BV,12,0)</f>
        <v>#N/A</v>
      </c>
      <c r="S132" s="121" t="s">
        <v>300</v>
      </c>
      <c r="U132" s="193" t="e">
        <f>VLOOKUP(T131,Preenchimento!$A:$BV,12,0)</f>
        <v>#N/A</v>
      </c>
      <c r="V132" s="193" t="e">
        <f>VLOOKUP(U131,Preenchimento!$A:$BV,12,0)</f>
        <v>#N/A</v>
      </c>
      <c r="W132" s="193" t="e">
        <f>VLOOKUP(V131,Preenchimento!$A:$BV,12,0)</f>
        <v>#N/A</v>
      </c>
      <c r="X132" s="194" t="e">
        <f>VLOOKUP(W131,Preenchimento!$A:$BV,12,0)</f>
        <v>#N/A</v>
      </c>
    </row>
    <row r="133" spans="1:24" ht="9.75" customHeight="1" x14ac:dyDescent="0.15">
      <c r="A133" s="123" t="s">
        <v>301</v>
      </c>
      <c r="B133" s="195" t="e">
        <f>IF(VLOOKUP(B131,Preenchimento!$A:$BV,11,0)=0,"",VLOOKUP(B131,Preenchimento!$A:$BV,11,0))</f>
        <v>#N/A</v>
      </c>
      <c r="C133" s="195"/>
      <c r="D133" s="195"/>
      <c r="E133" s="195"/>
      <c r="F133" s="196"/>
      <c r="G133" s="123" t="s">
        <v>301</v>
      </c>
      <c r="H133" s="195" t="e">
        <f>IF(VLOOKUP(H131,Preenchimento!$A:$BV,11,0)=0,"",VLOOKUP(H131,Preenchimento!$A:$BV,11,0))</f>
        <v>#N/A</v>
      </c>
      <c r="I133" s="195"/>
      <c r="J133" s="195"/>
      <c r="K133" s="195"/>
      <c r="L133" s="196"/>
      <c r="M133" s="123" t="s">
        <v>301</v>
      </c>
      <c r="N133" s="195" t="e">
        <f>IF(VLOOKUP(N131,Preenchimento!$A:$BV,11,0)=0,"",VLOOKUP(N131,Preenchimento!$A:$BV,11,0))</f>
        <v>#N/A</v>
      </c>
      <c r="O133" s="195"/>
      <c r="P133" s="195"/>
      <c r="Q133" s="195"/>
      <c r="R133" s="196"/>
      <c r="S133" s="123" t="s">
        <v>301</v>
      </c>
      <c r="T133" s="195" t="e">
        <f>IF(VLOOKUP(T131,Preenchimento!$A:$BV,11,0)=0,"",VLOOKUP(T131,Preenchimento!$A:$BV,11,0))</f>
        <v>#N/A</v>
      </c>
      <c r="U133" s="195"/>
      <c r="V133" s="195"/>
      <c r="W133" s="195"/>
      <c r="X133" s="196"/>
    </row>
    <row r="134" spans="1:24" s="130" customFormat="1" ht="33.950000000000003" customHeight="1" x14ac:dyDescent="0.25">
      <c r="A134" s="199" t="str">
        <f>Sitio!$A$3</f>
        <v>Projeto 01</v>
      </c>
      <c r="B134" s="200"/>
      <c r="C134" s="200"/>
      <c r="D134" s="200"/>
      <c r="E134" s="200"/>
      <c r="F134" s="201"/>
      <c r="G134" s="199" t="str">
        <f>Sitio!$A$3</f>
        <v>Projeto 01</v>
      </c>
      <c r="H134" s="200"/>
      <c r="I134" s="200"/>
      <c r="J134" s="200"/>
      <c r="K134" s="200"/>
      <c r="L134" s="201"/>
      <c r="M134" s="199" t="str">
        <f>Sitio!$A$3</f>
        <v>Projeto 01</v>
      </c>
      <c r="N134" s="200"/>
      <c r="O134" s="200"/>
      <c r="P134" s="200"/>
      <c r="Q134" s="200"/>
      <c r="R134" s="201"/>
      <c r="S134" s="199" t="str">
        <f>Sitio!$A$3</f>
        <v>Projeto 01</v>
      </c>
      <c r="T134" s="200"/>
      <c r="U134" s="200"/>
      <c r="V134" s="200"/>
      <c r="W134" s="200"/>
      <c r="X134" s="201"/>
    </row>
    <row r="135" spans="1:24" ht="9.75" customHeight="1" x14ac:dyDescent="0.15">
      <c r="A135" s="121" t="s">
        <v>294</v>
      </c>
      <c r="B135" s="193">
        <f>Sitio!$E$3</f>
        <v>0</v>
      </c>
      <c r="C135" s="193"/>
      <c r="D135" s="193"/>
      <c r="E135" s="193"/>
      <c r="F135" s="194"/>
      <c r="G135" s="121" t="s">
        <v>294</v>
      </c>
      <c r="H135" s="193">
        <f>Sitio!$E$3</f>
        <v>0</v>
      </c>
      <c r="I135" s="193"/>
      <c r="J135" s="193"/>
      <c r="K135" s="193"/>
      <c r="L135" s="194"/>
      <c r="M135" s="121" t="s">
        <v>294</v>
      </c>
      <c r="N135" s="193">
        <f>Sitio!$E$3</f>
        <v>0</v>
      </c>
      <c r="O135" s="193"/>
      <c r="P135" s="193"/>
      <c r="Q135" s="193"/>
      <c r="R135" s="194"/>
      <c r="S135" s="121" t="s">
        <v>294</v>
      </c>
      <c r="T135" s="193">
        <f>Sitio!$E$3</f>
        <v>0</v>
      </c>
      <c r="U135" s="193"/>
      <c r="V135" s="193"/>
      <c r="W135" s="193"/>
      <c r="X135" s="194"/>
    </row>
    <row r="136" spans="1:24" ht="9.75" customHeight="1" x14ac:dyDescent="0.15">
      <c r="A136" s="121" t="s">
        <v>295</v>
      </c>
      <c r="C136" s="193" t="e">
        <f>VLOOKUP(B138,Preenchimento!$A:$BV,2,0)</f>
        <v>#N/A</v>
      </c>
      <c r="D136" s="193" t="e">
        <f>VLOOKUP(C138,Preenchimento!$A:$BV,2,0)</f>
        <v>#N/A</v>
      </c>
      <c r="E136" s="193" t="e">
        <f>VLOOKUP(D138,Preenchimento!$A:$BV,2,0)</f>
        <v>#N/A</v>
      </c>
      <c r="F136" s="194" t="e">
        <f>VLOOKUP(E138,Preenchimento!$A:$BV,2,0)</f>
        <v>#N/A</v>
      </c>
      <c r="G136" s="121" t="s">
        <v>295</v>
      </c>
      <c r="I136" s="193" t="e">
        <f>VLOOKUP(H138,Preenchimento!$A:$BV,2,0)</f>
        <v>#N/A</v>
      </c>
      <c r="J136" s="193" t="e">
        <f>VLOOKUP(I138,Preenchimento!$A:$BV,2,0)</f>
        <v>#N/A</v>
      </c>
      <c r="K136" s="193" t="e">
        <f>VLOOKUP(J138,Preenchimento!$A:$BV,2,0)</f>
        <v>#N/A</v>
      </c>
      <c r="L136" s="194" t="e">
        <f>VLOOKUP(K138,Preenchimento!$A:$BV,2,0)</f>
        <v>#N/A</v>
      </c>
      <c r="M136" s="121" t="s">
        <v>295</v>
      </c>
      <c r="O136" s="193" t="e">
        <f>VLOOKUP(N138,Preenchimento!$A:$BV,2,0)</f>
        <v>#N/A</v>
      </c>
      <c r="P136" s="193" t="e">
        <f>VLOOKUP(O138,Preenchimento!$A:$BV,2,0)</f>
        <v>#N/A</v>
      </c>
      <c r="Q136" s="193" t="e">
        <f>VLOOKUP(P138,Preenchimento!$A:$BV,2,0)</f>
        <v>#N/A</v>
      </c>
      <c r="R136" s="194" t="e">
        <f>VLOOKUP(Q138,Preenchimento!$A:$BV,2,0)</f>
        <v>#N/A</v>
      </c>
      <c r="S136" s="121" t="s">
        <v>295</v>
      </c>
      <c r="U136" s="193" t="e">
        <f>VLOOKUP(T138,Preenchimento!$A:$BV,2,0)</f>
        <v>#N/A</v>
      </c>
      <c r="V136" s="193" t="e">
        <f>VLOOKUP(U138,Preenchimento!$A:$BV,2,0)</f>
        <v>#N/A</v>
      </c>
      <c r="W136" s="193" t="e">
        <f>VLOOKUP(V138,Preenchimento!$A:$BV,2,0)</f>
        <v>#N/A</v>
      </c>
      <c r="X136" s="194" t="e">
        <f>VLOOKUP(W138,Preenchimento!$A:$BV,2,0)</f>
        <v>#N/A</v>
      </c>
    </row>
    <row r="137" spans="1:24" ht="9.75" customHeight="1" x14ac:dyDescent="0.15">
      <c r="A137" s="121" t="s">
        <v>296</v>
      </c>
      <c r="B137" s="193" t="e">
        <f>VLOOKUP(B138,Preenchimento!$A:$BV,3,0)</f>
        <v>#N/A</v>
      </c>
      <c r="C137" s="193" t="e">
        <f>VLOOKUP(C138,Preenchimento!$A:$BV,3,0)</f>
        <v>#N/A</v>
      </c>
      <c r="D137" s="120" t="s">
        <v>297</v>
      </c>
      <c r="E137" s="197" t="e">
        <f>VLOOKUP(B138,Preenchimento!$A:$BV,5,0)</f>
        <v>#N/A</v>
      </c>
      <c r="F137" s="198" t="e">
        <f>VLOOKUP(C138,Preenchimento!$A:$BV,5,0)</f>
        <v>#N/A</v>
      </c>
      <c r="G137" s="121" t="s">
        <v>296</v>
      </c>
      <c r="H137" s="193" t="e">
        <f>VLOOKUP(H138,Preenchimento!$A:$BV,3,0)</f>
        <v>#N/A</v>
      </c>
      <c r="I137" s="193" t="e">
        <f>VLOOKUP(I138,Preenchimento!$A:$BV,3,0)</f>
        <v>#N/A</v>
      </c>
      <c r="J137" s="120" t="s">
        <v>297</v>
      </c>
      <c r="K137" s="197" t="e">
        <f>VLOOKUP(H138,Preenchimento!$A:$BV,5,0)</f>
        <v>#N/A</v>
      </c>
      <c r="L137" s="198" t="e">
        <f>VLOOKUP(I138,Preenchimento!$A:$BV,5,0)</f>
        <v>#N/A</v>
      </c>
      <c r="M137" s="121" t="s">
        <v>296</v>
      </c>
      <c r="N137" s="193" t="e">
        <f>VLOOKUP(N138,Preenchimento!$A:$BV,3,0)</f>
        <v>#N/A</v>
      </c>
      <c r="O137" s="193" t="e">
        <f>VLOOKUP(O138,Preenchimento!$A:$BV,3,0)</f>
        <v>#N/A</v>
      </c>
      <c r="P137" s="120" t="s">
        <v>297</v>
      </c>
      <c r="Q137" s="197" t="e">
        <f>VLOOKUP(N138,Preenchimento!$A:$BV,5,0)</f>
        <v>#N/A</v>
      </c>
      <c r="R137" s="198" t="e">
        <f>VLOOKUP(O138,Preenchimento!$A:$BV,5,0)</f>
        <v>#N/A</v>
      </c>
      <c r="S137" s="121" t="s">
        <v>296</v>
      </c>
      <c r="T137" s="193" t="e">
        <f>VLOOKUP(T138,Preenchimento!$A:$BV,3,0)</f>
        <v>#N/A</v>
      </c>
      <c r="U137" s="193" t="e">
        <f>VLOOKUP(U138,Preenchimento!$A:$BV,3,0)</f>
        <v>#N/A</v>
      </c>
      <c r="V137" s="120" t="s">
        <v>297</v>
      </c>
      <c r="W137" s="197" t="e">
        <f>VLOOKUP(T138,Preenchimento!$A:$BV,5,0)</f>
        <v>#N/A</v>
      </c>
      <c r="X137" s="198" t="e">
        <f>VLOOKUP(U138,Preenchimento!$A:$BV,5,0)</f>
        <v>#N/A</v>
      </c>
    </row>
    <row r="138" spans="1:24" ht="9.75" customHeight="1" x14ac:dyDescent="0.15">
      <c r="A138" s="121" t="s">
        <v>298</v>
      </c>
      <c r="B138" s="193"/>
      <c r="C138" s="193"/>
      <c r="D138" s="120" t="s">
        <v>299</v>
      </c>
      <c r="F138" s="131" t="e">
        <f>VLOOKUP(B138,Preenchimento!$A:$BV,10,0)</f>
        <v>#N/A</v>
      </c>
      <c r="G138" s="121" t="s">
        <v>298</v>
      </c>
      <c r="H138" s="193"/>
      <c r="I138" s="193"/>
      <c r="J138" s="120" t="s">
        <v>299</v>
      </c>
      <c r="L138" s="131" t="e">
        <f>VLOOKUP(H138,Preenchimento!$A:$BV,10,0)</f>
        <v>#N/A</v>
      </c>
      <c r="M138" s="121" t="s">
        <v>298</v>
      </c>
      <c r="N138" s="193"/>
      <c r="O138" s="193"/>
      <c r="P138" s="120" t="s">
        <v>299</v>
      </c>
      <c r="R138" s="131" t="e">
        <f>VLOOKUP(N138,Preenchimento!$A:$BV,10,0)</f>
        <v>#N/A</v>
      </c>
      <c r="S138" s="121" t="s">
        <v>298</v>
      </c>
      <c r="T138" s="193"/>
      <c r="U138" s="193"/>
      <c r="V138" s="120" t="s">
        <v>299</v>
      </c>
      <c r="X138" s="131" t="e">
        <f>VLOOKUP(T138,Preenchimento!$A:$BV,10,0)</f>
        <v>#N/A</v>
      </c>
    </row>
    <row r="139" spans="1:24" ht="9.75" customHeight="1" x14ac:dyDescent="0.15">
      <c r="A139" s="121" t="s">
        <v>300</v>
      </c>
      <c r="C139" s="193" t="e">
        <f>VLOOKUP(B138,Preenchimento!$A:$BV,12,0)</f>
        <v>#N/A</v>
      </c>
      <c r="D139" s="193" t="e">
        <f>VLOOKUP(C138,Preenchimento!$A:$BV,12,0)</f>
        <v>#N/A</v>
      </c>
      <c r="E139" s="193" t="e">
        <f>VLOOKUP(D138,Preenchimento!$A:$BV,12,0)</f>
        <v>#N/A</v>
      </c>
      <c r="F139" s="194" t="e">
        <f>VLOOKUP(E138,Preenchimento!$A:$BV,12,0)</f>
        <v>#N/A</v>
      </c>
      <c r="G139" s="121" t="s">
        <v>300</v>
      </c>
      <c r="I139" s="193" t="e">
        <f>VLOOKUP(H138,Preenchimento!$A:$BV,12,0)</f>
        <v>#N/A</v>
      </c>
      <c r="J139" s="193" t="e">
        <f>VLOOKUP(I138,Preenchimento!$A:$BV,12,0)</f>
        <v>#N/A</v>
      </c>
      <c r="K139" s="193" t="e">
        <f>VLOOKUP(J138,Preenchimento!$A:$BV,12,0)</f>
        <v>#N/A</v>
      </c>
      <c r="L139" s="194" t="e">
        <f>VLOOKUP(K138,Preenchimento!$A:$BV,12,0)</f>
        <v>#N/A</v>
      </c>
      <c r="M139" s="121" t="s">
        <v>300</v>
      </c>
      <c r="O139" s="193" t="e">
        <f>VLOOKUP(N138,Preenchimento!$A:$BV,12,0)</f>
        <v>#N/A</v>
      </c>
      <c r="P139" s="193" t="e">
        <f>VLOOKUP(O138,Preenchimento!$A:$BV,12,0)</f>
        <v>#N/A</v>
      </c>
      <c r="Q139" s="193" t="e">
        <f>VLOOKUP(P138,Preenchimento!$A:$BV,12,0)</f>
        <v>#N/A</v>
      </c>
      <c r="R139" s="194" t="e">
        <f>VLOOKUP(Q138,Preenchimento!$A:$BV,12,0)</f>
        <v>#N/A</v>
      </c>
      <c r="S139" s="121" t="s">
        <v>300</v>
      </c>
      <c r="U139" s="193" t="e">
        <f>VLOOKUP(T138,Preenchimento!$A:$BV,12,0)</f>
        <v>#N/A</v>
      </c>
      <c r="V139" s="193" t="e">
        <f>VLOOKUP(U138,Preenchimento!$A:$BV,12,0)</f>
        <v>#N/A</v>
      </c>
      <c r="W139" s="193" t="e">
        <f>VLOOKUP(V138,Preenchimento!$A:$BV,12,0)</f>
        <v>#N/A</v>
      </c>
      <c r="X139" s="194" t="e">
        <f>VLOOKUP(W138,Preenchimento!$A:$BV,12,0)</f>
        <v>#N/A</v>
      </c>
    </row>
    <row r="140" spans="1:24" ht="9.75" customHeight="1" x14ac:dyDescent="0.15">
      <c r="A140" s="123" t="s">
        <v>301</v>
      </c>
      <c r="B140" s="195" t="e">
        <f>IF(VLOOKUP(B138,Preenchimento!$A:$BV,11,0)=0,"",VLOOKUP(B138,Preenchimento!$A:$BV,11,0))</f>
        <v>#N/A</v>
      </c>
      <c r="C140" s="195"/>
      <c r="D140" s="195"/>
      <c r="E140" s="195"/>
      <c r="F140" s="196"/>
      <c r="G140" s="123" t="s">
        <v>301</v>
      </c>
      <c r="H140" s="195" t="e">
        <f>IF(VLOOKUP(H138,Preenchimento!$A:$BV,11,0)=0,"",VLOOKUP(H138,Preenchimento!$A:$BV,11,0))</f>
        <v>#N/A</v>
      </c>
      <c r="I140" s="195"/>
      <c r="J140" s="195"/>
      <c r="K140" s="195"/>
      <c r="L140" s="196"/>
      <c r="M140" s="123" t="s">
        <v>301</v>
      </c>
      <c r="N140" s="195" t="e">
        <f>IF(VLOOKUP(N138,Preenchimento!$A:$BV,11,0)=0,"",VLOOKUP(N138,Preenchimento!$A:$BV,11,0))</f>
        <v>#N/A</v>
      </c>
      <c r="O140" s="195"/>
      <c r="P140" s="195"/>
      <c r="Q140" s="195"/>
      <c r="R140" s="196"/>
      <c r="S140" s="123" t="s">
        <v>301</v>
      </c>
      <c r="T140" s="195" t="e">
        <f>IF(VLOOKUP(T138,Preenchimento!$A:$BV,11,0)=0,"",VLOOKUP(T138,Preenchimento!$A:$BV,11,0))</f>
        <v>#N/A</v>
      </c>
      <c r="U140" s="195"/>
      <c r="V140" s="195"/>
      <c r="W140" s="195"/>
      <c r="X140" s="196"/>
    </row>
    <row r="141" spans="1:24" s="130" customFormat="1" ht="33.950000000000003" customHeight="1" x14ac:dyDescent="0.25">
      <c r="A141" s="199" t="str">
        <f>Sitio!$A$3</f>
        <v>Projeto 01</v>
      </c>
      <c r="B141" s="200"/>
      <c r="C141" s="200"/>
      <c r="D141" s="200"/>
      <c r="E141" s="200"/>
      <c r="F141" s="201"/>
      <c r="G141" s="199" t="str">
        <f>Sitio!$A$3</f>
        <v>Projeto 01</v>
      </c>
      <c r="H141" s="200"/>
      <c r="I141" s="200"/>
      <c r="J141" s="200"/>
      <c r="K141" s="200"/>
      <c r="L141" s="201"/>
      <c r="M141" s="199" t="str">
        <f>Sitio!$A$3</f>
        <v>Projeto 01</v>
      </c>
      <c r="N141" s="200"/>
      <c r="O141" s="200"/>
      <c r="P141" s="200"/>
      <c r="Q141" s="200"/>
      <c r="R141" s="201"/>
      <c r="S141" s="199" t="str">
        <f>Sitio!$A$3</f>
        <v>Projeto 01</v>
      </c>
      <c r="T141" s="200"/>
      <c r="U141" s="200"/>
      <c r="V141" s="200"/>
      <c r="W141" s="200"/>
      <c r="X141" s="201"/>
    </row>
    <row r="142" spans="1:24" ht="9.75" customHeight="1" x14ac:dyDescent="0.15">
      <c r="A142" s="121" t="s">
        <v>294</v>
      </c>
      <c r="B142" s="193">
        <f>Sitio!$E$3</f>
        <v>0</v>
      </c>
      <c r="C142" s="193"/>
      <c r="D142" s="193"/>
      <c r="E142" s="193"/>
      <c r="F142" s="194"/>
      <c r="G142" s="121" t="s">
        <v>294</v>
      </c>
      <c r="H142" s="193">
        <f>Sitio!$E$3</f>
        <v>0</v>
      </c>
      <c r="I142" s="193"/>
      <c r="J142" s="193"/>
      <c r="K142" s="193"/>
      <c r="L142" s="194"/>
      <c r="M142" s="121" t="s">
        <v>294</v>
      </c>
      <c r="N142" s="193">
        <f>Sitio!$E$3</f>
        <v>0</v>
      </c>
      <c r="O142" s="193"/>
      <c r="P142" s="193"/>
      <c r="Q142" s="193"/>
      <c r="R142" s="194"/>
      <c r="S142" s="121" t="s">
        <v>294</v>
      </c>
      <c r="T142" s="193">
        <f>Sitio!$E$3</f>
        <v>0</v>
      </c>
      <c r="U142" s="193"/>
      <c r="V142" s="193"/>
      <c r="W142" s="193"/>
      <c r="X142" s="194"/>
    </row>
    <row r="143" spans="1:24" ht="9.75" customHeight="1" x14ac:dyDescent="0.15">
      <c r="A143" s="121" t="s">
        <v>295</v>
      </c>
      <c r="C143" s="193" t="e">
        <f>VLOOKUP(B145,Preenchimento!$A:$BV,2,0)</f>
        <v>#N/A</v>
      </c>
      <c r="D143" s="193" t="e">
        <f>VLOOKUP(C145,Preenchimento!$A:$BV,2,0)</f>
        <v>#N/A</v>
      </c>
      <c r="E143" s="193" t="e">
        <f>VLOOKUP(D145,Preenchimento!$A:$BV,2,0)</f>
        <v>#N/A</v>
      </c>
      <c r="F143" s="194" t="e">
        <f>VLOOKUP(E145,Preenchimento!$A:$BV,2,0)</f>
        <v>#N/A</v>
      </c>
      <c r="G143" s="121" t="s">
        <v>295</v>
      </c>
      <c r="I143" s="193" t="e">
        <f>VLOOKUP(H145,Preenchimento!$A:$BV,2,0)</f>
        <v>#N/A</v>
      </c>
      <c r="J143" s="193" t="e">
        <f>VLOOKUP(I145,Preenchimento!$A:$BV,2,0)</f>
        <v>#N/A</v>
      </c>
      <c r="K143" s="193" t="e">
        <f>VLOOKUP(J145,Preenchimento!$A:$BV,2,0)</f>
        <v>#N/A</v>
      </c>
      <c r="L143" s="194" t="e">
        <f>VLOOKUP(K145,Preenchimento!$A:$BV,2,0)</f>
        <v>#N/A</v>
      </c>
      <c r="M143" s="121" t="s">
        <v>295</v>
      </c>
      <c r="O143" s="193" t="e">
        <f>VLOOKUP(N145,Preenchimento!$A:$BV,2,0)</f>
        <v>#N/A</v>
      </c>
      <c r="P143" s="193" t="e">
        <f>VLOOKUP(O145,Preenchimento!$A:$BV,2,0)</f>
        <v>#N/A</v>
      </c>
      <c r="Q143" s="193" t="e">
        <f>VLOOKUP(P145,Preenchimento!$A:$BV,2,0)</f>
        <v>#N/A</v>
      </c>
      <c r="R143" s="194" t="e">
        <f>VLOOKUP(Q145,Preenchimento!$A:$BV,2,0)</f>
        <v>#N/A</v>
      </c>
      <c r="S143" s="121" t="s">
        <v>295</v>
      </c>
      <c r="U143" s="193" t="e">
        <f>VLOOKUP(T145,Preenchimento!$A:$BV,2,0)</f>
        <v>#N/A</v>
      </c>
      <c r="V143" s="193" t="e">
        <f>VLOOKUP(U145,Preenchimento!$A:$BV,2,0)</f>
        <v>#N/A</v>
      </c>
      <c r="W143" s="193" t="e">
        <f>VLOOKUP(V145,Preenchimento!$A:$BV,2,0)</f>
        <v>#N/A</v>
      </c>
      <c r="X143" s="194" t="e">
        <f>VLOOKUP(W145,Preenchimento!$A:$BV,2,0)</f>
        <v>#N/A</v>
      </c>
    </row>
    <row r="144" spans="1:24" ht="9.75" customHeight="1" x14ac:dyDescent="0.15">
      <c r="A144" s="121" t="s">
        <v>296</v>
      </c>
      <c r="B144" s="193" t="e">
        <f>VLOOKUP(B145,Preenchimento!$A:$BV,3,0)</f>
        <v>#N/A</v>
      </c>
      <c r="C144" s="193" t="e">
        <f>VLOOKUP(C145,Preenchimento!$A:$BV,3,0)</f>
        <v>#N/A</v>
      </c>
      <c r="D144" s="120" t="s">
        <v>297</v>
      </c>
      <c r="E144" s="197" t="e">
        <f>VLOOKUP(B145,Preenchimento!$A:$BV,5,0)</f>
        <v>#N/A</v>
      </c>
      <c r="F144" s="198" t="e">
        <f>VLOOKUP(C145,Preenchimento!$A:$BV,5,0)</f>
        <v>#N/A</v>
      </c>
      <c r="G144" s="121" t="s">
        <v>296</v>
      </c>
      <c r="H144" s="193" t="e">
        <f>VLOOKUP(H145,Preenchimento!$A:$BV,3,0)</f>
        <v>#N/A</v>
      </c>
      <c r="I144" s="193" t="e">
        <f>VLOOKUP(I145,Preenchimento!$A:$BV,3,0)</f>
        <v>#N/A</v>
      </c>
      <c r="J144" s="120" t="s">
        <v>297</v>
      </c>
      <c r="K144" s="197" t="e">
        <f>VLOOKUP(H145,Preenchimento!$A:$BV,5,0)</f>
        <v>#N/A</v>
      </c>
      <c r="L144" s="198" t="e">
        <f>VLOOKUP(I145,Preenchimento!$A:$BV,5,0)</f>
        <v>#N/A</v>
      </c>
      <c r="M144" s="121" t="s">
        <v>296</v>
      </c>
      <c r="N144" s="193" t="e">
        <f>VLOOKUP(N145,Preenchimento!$A:$BV,3,0)</f>
        <v>#N/A</v>
      </c>
      <c r="O144" s="193" t="e">
        <f>VLOOKUP(O145,Preenchimento!$A:$BV,3,0)</f>
        <v>#N/A</v>
      </c>
      <c r="P144" s="120" t="s">
        <v>297</v>
      </c>
      <c r="Q144" s="197" t="e">
        <f>VLOOKUP(N145,Preenchimento!$A:$BV,5,0)</f>
        <v>#N/A</v>
      </c>
      <c r="R144" s="198" t="e">
        <f>VLOOKUP(O145,Preenchimento!$A:$BV,5,0)</f>
        <v>#N/A</v>
      </c>
      <c r="S144" s="121" t="s">
        <v>296</v>
      </c>
      <c r="T144" s="193" t="e">
        <f>VLOOKUP(T145,Preenchimento!$A:$BV,3,0)</f>
        <v>#N/A</v>
      </c>
      <c r="U144" s="193" t="e">
        <f>VLOOKUP(U145,Preenchimento!$A:$BV,3,0)</f>
        <v>#N/A</v>
      </c>
      <c r="V144" s="120" t="s">
        <v>297</v>
      </c>
      <c r="W144" s="197" t="e">
        <f>VLOOKUP(T145,Preenchimento!$A:$BV,5,0)</f>
        <v>#N/A</v>
      </c>
      <c r="X144" s="198" t="e">
        <f>VLOOKUP(U145,Preenchimento!$A:$BV,5,0)</f>
        <v>#N/A</v>
      </c>
    </row>
    <row r="145" spans="1:24" ht="9.75" customHeight="1" x14ac:dyDescent="0.15">
      <c r="A145" s="121" t="s">
        <v>298</v>
      </c>
      <c r="B145" s="193"/>
      <c r="C145" s="193"/>
      <c r="D145" s="120" t="s">
        <v>299</v>
      </c>
      <c r="F145" s="131" t="e">
        <f>VLOOKUP(B145,Preenchimento!$A:$BV,10,0)</f>
        <v>#N/A</v>
      </c>
      <c r="G145" s="121" t="s">
        <v>298</v>
      </c>
      <c r="H145" s="193"/>
      <c r="I145" s="193"/>
      <c r="J145" s="120" t="s">
        <v>299</v>
      </c>
      <c r="L145" s="131" t="e">
        <f>VLOOKUP(H145,Preenchimento!$A:$BV,10,0)</f>
        <v>#N/A</v>
      </c>
      <c r="M145" s="121" t="s">
        <v>298</v>
      </c>
      <c r="N145" s="193"/>
      <c r="O145" s="193"/>
      <c r="P145" s="120" t="s">
        <v>299</v>
      </c>
      <c r="R145" s="131" t="e">
        <f>VLOOKUP(N145,Preenchimento!$A:$BV,10,0)</f>
        <v>#N/A</v>
      </c>
      <c r="S145" s="121" t="s">
        <v>298</v>
      </c>
      <c r="T145" s="193"/>
      <c r="U145" s="193"/>
      <c r="V145" s="120" t="s">
        <v>299</v>
      </c>
      <c r="X145" s="131" t="e">
        <f>VLOOKUP(T145,Preenchimento!$A:$BV,10,0)</f>
        <v>#N/A</v>
      </c>
    </row>
    <row r="146" spans="1:24" ht="9.75" customHeight="1" x14ac:dyDescent="0.15">
      <c r="A146" s="121" t="s">
        <v>300</v>
      </c>
      <c r="C146" s="193" t="e">
        <f>VLOOKUP(B145,Preenchimento!$A:$BV,12,0)</f>
        <v>#N/A</v>
      </c>
      <c r="D146" s="193" t="e">
        <f>VLOOKUP(C145,Preenchimento!$A:$BV,12,0)</f>
        <v>#N/A</v>
      </c>
      <c r="E146" s="193" t="e">
        <f>VLOOKUP(D145,Preenchimento!$A:$BV,12,0)</f>
        <v>#N/A</v>
      </c>
      <c r="F146" s="194" t="e">
        <f>VLOOKUP(E145,Preenchimento!$A:$BV,12,0)</f>
        <v>#N/A</v>
      </c>
      <c r="G146" s="121" t="s">
        <v>300</v>
      </c>
      <c r="I146" s="193" t="e">
        <f>VLOOKUP(H145,Preenchimento!$A:$BV,12,0)</f>
        <v>#N/A</v>
      </c>
      <c r="J146" s="193" t="e">
        <f>VLOOKUP(I145,Preenchimento!$A:$BV,12,0)</f>
        <v>#N/A</v>
      </c>
      <c r="K146" s="193" t="e">
        <f>VLOOKUP(J145,Preenchimento!$A:$BV,12,0)</f>
        <v>#N/A</v>
      </c>
      <c r="L146" s="194" t="e">
        <f>VLOOKUP(K145,Preenchimento!$A:$BV,12,0)</f>
        <v>#N/A</v>
      </c>
      <c r="M146" s="121" t="s">
        <v>300</v>
      </c>
      <c r="O146" s="193" t="e">
        <f>VLOOKUP(N145,Preenchimento!$A:$BV,12,0)</f>
        <v>#N/A</v>
      </c>
      <c r="P146" s="193" t="e">
        <f>VLOOKUP(O145,Preenchimento!$A:$BV,12,0)</f>
        <v>#N/A</v>
      </c>
      <c r="Q146" s="193" t="e">
        <f>VLOOKUP(P145,Preenchimento!$A:$BV,12,0)</f>
        <v>#N/A</v>
      </c>
      <c r="R146" s="194" t="e">
        <f>VLOOKUP(Q145,Preenchimento!$A:$BV,12,0)</f>
        <v>#N/A</v>
      </c>
      <c r="S146" s="121" t="s">
        <v>300</v>
      </c>
      <c r="U146" s="193" t="e">
        <f>VLOOKUP(T145,Preenchimento!$A:$BV,12,0)</f>
        <v>#N/A</v>
      </c>
      <c r="V146" s="193" t="e">
        <f>VLOOKUP(U145,Preenchimento!$A:$BV,12,0)</f>
        <v>#N/A</v>
      </c>
      <c r="W146" s="193" t="e">
        <f>VLOOKUP(V145,Preenchimento!$A:$BV,12,0)</f>
        <v>#N/A</v>
      </c>
      <c r="X146" s="194" t="e">
        <f>VLOOKUP(W145,Preenchimento!$A:$BV,12,0)</f>
        <v>#N/A</v>
      </c>
    </row>
    <row r="147" spans="1:24" ht="9.75" customHeight="1" x14ac:dyDescent="0.15">
      <c r="A147" s="123" t="s">
        <v>301</v>
      </c>
      <c r="B147" s="195" t="e">
        <f>IF(VLOOKUP(B145,Preenchimento!$A:$BV,11,0)=0,"",VLOOKUP(B145,Preenchimento!$A:$BV,11,0))</f>
        <v>#N/A</v>
      </c>
      <c r="C147" s="195"/>
      <c r="D147" s="195"/>
      <c r="E147" s="195"/>
      <c r="F147" s="196"/>
      <c r="G147" s="123" t="s">
        <v>301</v>
      </c>
      <c r="H147" s="195" t="e">
        <f>IF(VLOOKUP(H145,Preenchimento!$A:$BV,11,0)=0,"",VLOOKUP(H145,Preenchimento!$A:$BV,11,0))</f>
        <v>#N/A</v>
      </c>
      <c r="I147" s="195"/>
      <c r="J147" s="195"/>
      <c r="K147" s="195"/>
      <c r="L147" s="196"/>
      <c r="M147" s="123" t="s">
        <v>301</v>
      </c>
      <c r="N147" s="195" t="e">
        <f>IF(VLOOKUP(N145,Preenchimento!$A:$BV,11,0)=0,"",VLOOKUP(N145,Preenchimento!$A:$BV,11,0))</f>
        <v>#N/A</v>
      </c>
      <c r="O147" s="195"/>
      <c r="P147" s="195"/>
      <c r="Q147" s="195"/>
      <c r="R147" s="196"/>
      <c r="S147" s="123" t="s">
        <v>301</v>
      </c>
      <c r="T147" s="195" t="e">
        <f>IF(VLOOKUP(T145,Preenchimento!$A:$BV,11,0)=0,"",VLOOKUP(T145,Preenchimento!$A:$BV,11,0))</f>
        <v>#N/A</v>
      </c>
      <c r="U147" s="195"/>
      <c r="V147" s="195"/>
      <c r="W147" s="195"/>
      <c r="X147" s="196"/>
    </row>
    <row r="148" spans="1:24" s="130" customFormat="1" ht="33.950000000000003" customHeight="1" x14ac:dyDescent="0.25">
      <c r="A148" s="199" t="str">
        <f>Sitio!$A$3</f>
        <v>Projeto 01</v>
      </c>
      <c r="B148" s="200"/>
      <c r="C148" s="200"/>
      <c r="D148" s="200"/>
      <c r="E148" s="200"/>
      <c r="F148" s="201"/>
      <c r="G148" s="199" t="str">
        <f>Sitio!$A$3</f>
        <v>Projeto 01</v>
      </c>
      <c r="H148" s="200"/>
      <c r="I148" s="200"/>
      <c r="J148" s="200"/>
      <c r="K148" s="200"/>
      <c r="L148" s="201"/>
      <c r="M148" s="199" t="str">
        <f>Sitio!$A$3</f>
        <v>Projeto 01</v>
      </c>
      <c r="N148" s="200"/>
      <c r="O148" s="200"/>
      <c r="P148" s="200"/>
      <c r="Q148" s="200"/>
      <c r="R148" s="201"/>
      <c r="S148" s="199" t="str">
        <f>Sitio!$A$3</f>
        <v>Projeto 01</v>
      </c>
      <c r="T148" s="200"/>
      <c r="U148" s="200"/>
      <c r="V148" s="200"/>
      <c r="W148" s="200"/>
      <c r="X148" s="201"/>
    </row>
    <row r="149" spans="1:24" ht="9.75" customHeight="1" x14ac:dyDescent="0.15">
      <c r="A149" s="121" t="s">
        <v>294</v>
      </c>
      <c r="B149" s="193">
        <f>Sitio!$E$3</f>
        <v>0</v>
      </c>
      <c r="C149" s="193"/>
      <c r="D149" s="193"/>
      <c r="E149" s="193"/>
      <c r="F149" s="194"/>
      <c r="G149" s="121" t="s">
        <v>294</v>
      </c>
      <c r="H149" s="193">
        <f>Sitio!$E$3</f>
        <v>0</v>
      </c>
      <c r="I149" s="193"/>
      <c r="J149" s="193"/>
      <c r="K149" s="193"/>
      <c r="L149" s="194"/>
      <c r="M149" s="121" t="s">
        <v>294</v>
      </c>
      <c r="N149" s="193">
        <f>Sitio!$E$3</f>
        <v>0</v>
      </c>
      <c r="O149" s="193"/>
      <c r="P149" s="193"/>
      <c r="Q149" s="193"/>
      <c r="R149" s="194"/>
      <c r="S149" s="121" t="s">
        <v>294</v>
      </c>
      <c r="T149" s="193">
        <f>Sitio!$E$3</f>
        <v>0</v>
      </c>
      <c r="U149" s="193"/>
      <c r="V149" s="193"/>
      <c r="W149" s="193"/>
      <c r="X149" s="194"/>
    </row>
    <row r="150" spans="1:24" ht="9.75" customHeight="1" x14ac:dyDescent="0.15">
      <c r="A150" s="121" t="s">
        <v>295</v>
      </c>
      <c r="C150" s="193" t="e">
        <f>VLOOKUP(B152,Preenchimento!$A:$BV,2,0)</f>
        <v>#N/A</v>
      </c>
      <c r="D150" s="193" t="e">
        <f>VLOOKUP(C152,Preenchimento!$A:$BV,2,0)</f>
        <v>#N/A</v>
      </c>
      <c r="E150" s="193" t="e">
        <f>VLOOKUP(D152,Preenchimento!$A:$BV,2,0)</f>
        <v>#N/A</v>
      </c>
      <c r="F150" s="194" t="e">
        <f>VLOOKUP(E152,Preenchimento!$A:$BV,2,0)</f>
        <v>#N/A</v>
      </c>
      <c r="G150" s="121" t="s">
        <v>295</v>
      </c>
      <c r="I150" s="193" t="e">
        <f>VLOOKUP(H152,Preenchimento!$A:$BV,2,0)</f>
        <v>#N/A</v>
      </c>
      <c r="J150" s="193" t="e">
        <f>VLOOKUP(I152,Preenchimento!$A:$BV,2,0)</f>
        <v>#N/A</v>
      </c>
      <c r="K150" s="193" t="e">
        <f>VLOOKUP(J152,Preenchimento!$A:$BV,2,0)</f>
        <v>#N/A</v>
      </c>
      <c r="L150" s="194" t="e">
        <f>VLOOKUP(K152,Preenchimento!$A:$BV,2,0)</f>
        <v>#N/A</v>
      </c>
      <c r="M150" s="121" t="s">
        <v>295</v>
      </c>
      <c r="O150" s="193" t="e">
        <f>VLOOKUP(N152,Preenchimento!$A:$BV,2,0)</f>
        <v>#N/A</v>
      </c>
      <c r="P150" s="193" t="e">
        <f>VLOOKUP(O152,Preenchimento!$A:$BV,2,0)</f>
        <v>#N/A</v>
      </c>
      <c r="Q150" s="193" t="e">
        <f>VLOOKUP(P152,Preenchimento!$A:$BV,2,0)</f>
        <v>#N/A</v>
      </c>
      <c r="R150" s="194" t="e">
        <f>VLOOKUP(Q152,Preenchimento!$A:$BV,2,0)</f>
        <v>#N/A</v>
      </c>
      <c r="S150" s="121" t="s">
        <v>295</v>
      </c>
      <c r="U150" s="193" t="e">
        <f>VLOOKUP(T152,Preenchimento!$A:$BV,2,0)</f>
        <v>#N/A</v>
      </c>
      <c r="V150" s="193" t="e">
        <f>VLOOKUP(U152,Preenchimento!$A:$BV,2,0)</f>
        <v>#N/A</v>
      </c>
      <c r="W150" s="193" t="e">
        <f>VLOOKUP(V152,Preenchimento!$A:$BV,2,0)</f>
        <v>#N/A</v>
      </c>
      <c r="X150" s="194" t="e">
        <f>VLOOKUP(W152,Preenchimento!$A:$BV,2,0)</f>
        <v>#N/A</v>
      </c>
    </row>
    <row r="151" spans="1:24" ht="9.75" customHeight="1" x14ac:dyDescent="0.15">
      <c r="A151" s="121" t="s">
        <v>296</v>
      </c>
      <c r="B151" s="193" t="e">
        <f>VLOOKUP(B152,Preenchimento!$A:$BV,3,0)</f>
        <v>#N/A</v>
      </c>
      <c r="C151" s="193" t="e">
        <f>VLOOKUP(C152,Preenchimento!$A:$BV,3,0)</f>
        <v>#N/A</v>
      </c>
      <c r="D151" s="120" t="s">
        <v>297</v>
      </c>
      <c r="E151" s="197" t="e">
        <f>VLOOKUP(B152,Preenchimento!$A:$BV,5,0)</f>
        <v>#N/A</v>
      </c>
      <c r="F151" s="198" t="e">
        <f>VLOOKUP(C152,Preenchimento!$A:$BV,5,0)</f>
        <v>#N/A</v>
      </c>
      <c r="G151" s="121" t="s">
        <v>296</v>
      </c>
      <c r="H151" s="193" t="e">
        <f>VLOOKUP(H152,Preenchimento!$A:$BV,3,0)</f>
        <v>#N/A</v>
      </c>
      <c r="I151" s="193" t="e">
        <f>VLOOKUP(I152,Preenchimento!$A:$BV,3,0)</f>
        <v>#N/A</v>
      </c>
      <c r="J151" s="120" t="s">
        <v>297</v>
      </c>
      <c r="K151" s="197" t="e">
        <f>VLOOKUP(H152,Preenchimento!$A:$BV,5,0)</f>
        <v>#N/A</v>
      </c>
      <c r="L151" s="198" t="e">
        <f>VLOOKUP(I152,Preenchimento!$A:$BV,5,0)</f>
        <v>#N/A</v>
      </c>
      <c r="M151" s="121" t="s">
        <v>296</v>
      </c>
      <c r="N151" s="193" t="e">
        <f>VLOOKUP(N152,Preenchimento!$A:$BV,3,0)</f>
        <v>#N/A</v>
      </c>
      <c r="O151" s="193" t="e">
        <f>VLOOKUP(O152,Preenchimento!$A:$BV,3,0)</f>
        <v>#N/A</v>
      </c>
      <c r="P151" s="120" t="s">
        <v>297</v>
      </c>
      <c r="Q151" s="197" t="e">
        <f>VLOOKUP(N152,Preenchimento!$A:$BV,5,0)</f>
        <v>#N/A</v>
      </c>
      <c r="R151" s="198" t="e">
        <f>VLOOKUP(O152,Preenchimento!$A:$BV,5,0)</f>
        <v>#N/A</v>
      </c>
      <c r="S151" s="121" t="s">
        <v>296</v>
      </c>
      <c r="T151" s="193" t="e">
        <f>VLOOKUP(T152,Preenchimento!$A:$BV,3,0)</f>
        <v>#N/A</v>
      </c>
      <c r="U151" s="193" t="e">
        <f>VLOOKUP(U152,Preenchimento!$A:$BV,3,0)</f>
        <v>#N/A</v>
      </c>
      <c r="V151" s="120" t="s">
        <v>297</v>
      </c>
      <c r="W151" s="197" t="e">
        <f>VLOOKUP(T152,Preenchimento!$A:$BV,5,0)</f>
        <v>#N/A</v>
      </c>
      <c r="X151" s="198" t="e">
        <f>VLOOKUP(U152,Preenchimento!$A:$BV,5,0)</f>
        <v>#N/A</v>
      </c>
    </row>
    <row r="152" spans="1:24" ht="9.75" customHeight="1" x14ac:dyDescent="0.15">
      <c r="A152" s="121" t="s">
        <v>298</v>
      </c>
      <c r="B152" s="193"/>
      <c r="C152" s="193"/>
      <c r="D152" s="120" t="s">
        <v>299</v>
      </c>
      <c r="F152" s="131" t="e">
        <f>VLOOKUP(B152,Preenchimento!$A:$BV,10,0)</f>
        <v>#N/A</v>
      </c>
      <c r="G152" s="121" t="s">
        <v>298</v>
      </c>
      <c r="H152" s="193"/>
      <c r="I152" s="193"/>
      <c r="J152" s="120" t="s">
        <v>299</v>
      </c>
      <c r="L152" s="131" t="e">
        <f>VLOOKUP(H152,Preenchimento!$A:$BV,10,0)</f>
        <v>#N/A</v>
      </c>
      <c r="M152" s="121" t="s">
        <v>298</v>
      </c>
      <c r="N152" s="193"/>
      <c r="O152" s="193"/>
      <c r="P152" s="120" t="s">
        <v>299</v>
      </c>
      <c r="R152" s="131" t="e">
        <f>VLOOKUP(N152,Preenchimento!$A:$BV,10,0)</f>
        <v>#N/A</v>
      </c>
      <c r="S152" s="121" t="s">
        <v>298</v>
      </c>
      <c r="T152" s="193"/>
      <c r="U152" s="193"/>
      <c r="V152" s="120" t="s">
        <v>299</v>
      </c>
      <c r="X152" s="131" t="e">
        <f>VLOOKUP(T152,Preenchimento!$A:$BV,10,0)</f>
        <v>#N/A</v>
      </c>
    </row>
    <row r="153" spans="1:24" ht="9.75" customHeight="1" x14ac:dyDescent="0.15">
      <c r="A153" s="121" t="s">
        <v>300</v>
      </c>
      <c r="C153" s="193" t="e">
        <f>VLOOKUP(B152,Preenchimento!$A:$BV,12,0)</f>
        <v>#N/A</v>
      </c>
      <c r="D153" s="193" t="e">
        <f>VLOOKUP(C152,Preenchimento!$A:$BV,12,0)</f>
        <v>#N/A</v>
      </c>
      <c r="E153" s="193" t="e">
        <f>VLOOKUP(D152,Preenchimento!$A:$BV,12,0)</f>
        <v>#N/A</v>
      </c>
      <c r="F153" s="194" t="e">
        <f>VLOOKUP(E152,Preenchimento!$A:$BV,12,0)</f>
        <v>#N/A</v>
      </c>
      <c r="G153" s="121" t="s">
        <v>300</v>
      </c>
      <c r="I153" s="193" t="e">
        <f>VLOOKUP(H152,Preenchimento!$A:$BV,12,0)</f>
        <v>#N/A</v>
      </c>
      <c r="J153" s="193" t="e">
        <f>VLOOKUP(I152,Preenchimento!$A:$BV,12,0)</f>
        <v>#N/A</v>
      </c>
      <c r="K153" s="193" t="e">
        <f>VLOOKUP(J152,Preenchimento!$A:$BV,12,0)</f>
        <v>#N/A</v>
      </c>
      <c r="L153" s="194" t="e">
        <f>VLOOKUP(K152,Preenchimento!$A:$BV,12,0)</f>
        <v>#N/A</v>
      </c>
      <c r="M153" s="121" t="s">
        <v>300</v>
      </c>
      <c r="O153" s="193" t="e">
        <f>VLOOKUP(N152,Preenchimento!$A:$BV,12,0)</f>
        <v>#N/A</v>
      </c>
      <c r="P153" s="193" t="e">
        <f>VLOOKUP(O152,Preenchimento!$A:$BV,12,0)</f>
        <v>#N/A</v>
      </c>
      <c r="Q153" s="193" t="e">
        <f>VLOOKUP(P152,Preenchimento!$A:$BV,12,0)</f>
        <v>#N/A</v>
      </c>
      <c r="R153" s="194" t="e">
        <f>VLOOKUP(Q152,Preenchimento!$A:$BV,12,0)</f>
        <v>#N/A</v>
      </c>
      <c r="S153" s="121" t="s">
        <v>300</v>
      </c>
      <c r="U153" s="193" t="e">
        <f>VLOOKUP(T152,Preenchimento!$A:$BV,12,0)</f>
        <v>#N/A</v>
      </c>
      <c r="V153" s="193" t="e">
        <f>VLOOKUP(U152,Preenchimento!$A:$BV,12,0)</f>
        <v>#N/A</v>
      </c>
      <c r="W153" s="193" t="e">
        <f>VLOOKUP(V152,Preenchimento!$A:$BV,12,0)</f>
        <v>#N/A</v>
      </c>
      <c r="X153" s="194" t="e">
        <f>VLOOKUP(W152,Preenchimento!$A:$BV,12,0)</f>
        <v>#N/A</v>
      </c>
    </row>
    <row r="154" spans="1:24" ht="9.75" customHeight="1" x14ac:dyDescent="0.15">
      <c r="A154" s="123" t="s">
        <v>301</v>
      </c>
      <c r="B154" s="195" t="e">
        <f>IF(VLOOKUP(B152,Preenchimento!$A:$BV,11,0)=0,"",VLOOKUP(B152,Preenchimento!$A:$BV,11,0))</f>
        <v>#N/A</v>
      </c>
      <c r="C154" s="195"/>
      <c r="D154" s="195"/>
      <c r="E154" s="195"/>
      <c r="F154" s="196"/>
      <c r="G154" s="123" t="s">
        <v>301</v>
      </c>
      <c r="H154" s="195" t="e">
        <f>IF(VLOOKUP(H152,Preenchimento!$A:$BV,11,0)=0,"",VLOOKUP(H152,Preenchimento!$A:$BV,11,0))</f>
        <v>#N/A</v>
      </c>
      <c r="I154" s="195"/>
      <c r="J154" s="195"/>
      <c r="K154" s="195"/>
      <c r="L154" s="196"/>
      <c r="M154" s="123" t="s">
        <v>301</v>
      </c>
      <c r="N154" s="195" t="e">
        <f>IF(VLOOKUP(N152,Preenchimento!$A:$BV,11,0)=0,"",VLOOKUP(N152,Preenchimento!$A:$BV,11,0))</f>
        <v>#N/A</v>
      </c>
      <c r="O154" s="195"/>
      <c r="P154" s="195"/>
      <c r="Q154" s="195"/>
      <c r="R154" s="196"/>
      <c r="S154" s="123" t="s">
        <v>301</v>
      </c>
      <c r="T154" s="195" t="e">
        <f>IF(VLOOKUP(T152,Preenchimento!$A:$BV,11,0)=0,"",VLOOKUP(T152,Preenchimento!$A:$BV,11,0))</f>
        <v>#N/A</v>
      </c>
      <c r="U154" s="195"/>
      <c r="V154" s="195"/>
      <c r="W154" s="195"/>
      <c r="X154" s="196"/>
    </row>
    <row r="155" spans="1:24" s="130" customFormat="1" ht="33.950000000000003" customHeight="1" x14ac:dyDescent="0.25">
      <c r="A155" s="199" t="str">
        <f>Sitio!$A$3</f>
        <v>Projeto 01</v>
      </c>
      <c r="B155" s="200"/>
      <c r="C155" s="200"/>
      <c r="D155" s="200"/>
      <c r="E155" s="200"/>
      <c r="F155" s="201"/>
      <c r="G155" s="199" t="str">
        <f>Sitio!$A$3</f>
        <v>Projeto 01</v>
      </c>
      <c r="H155" s="200"/>
      <c r="I155" s="200"/>
      <c r="J155" s="200"/>
      <c r="K155" s="200"/>
      <c r="L155" s="201"/>
      <c r="M155" s="199" t="str">
        <f>Sitio!$A$3</f>
        <v>Projeto 01</v>
      </c>
      <c r="N155" s="200"/>
      <c r="O155" s="200"/>
      <c r="P155" s="200"/>
      <c r="Q155" s="200"/>
      <c r="R155" s="201"/>
      <c r="S155" s="199" t="str">
        <f>Sitio!$A$3</f>
        <v>Projeto 01</v>
      </c>
      <c r="T155" s="200"/>
      <c r="U155" s="200"/>
      <c r="V155" s="200"/>
      <c r="W155" s="200"/>
      <c r="X155" s="201"/>
    </row>
    <row r="156" spans="1:24" ht="9.75" customHeight="1" x14ac:dyDescent="0.15">
      <c r="A156" s="121" t="s">
        <v>294</v>
      </c>
      <c r="B156" s="193">
        <f>Sitio!$E$3</f>
        <v>0</v>
      </c>
      <c r="C156" s="193"/>
      <c r="D156" s="193"/>
      <c r="E156" s="193"/>
      <c r="F156" s="194"/>
      <c r="G156" s="121" t="s">
        <v>294</v>
      </c>
      <c r="H156" s="193">
        <f>Sitio!$E$3</f>
        <v>0</v>
      </c>
      <c r="I156" s="193"/>
      <c r="J156" s="193"/>
      <c r="K156" s="193"/>
      <c r="L156" s="194"/>
      <c r="M156" s="121" t="s">
        <v>294</v>
      </c>
      <c r="N156" s="193">
        <f>Sitio!$E$3</f>
        <v>0</v>
      </c>
      <c r="O156" s="193"/>
      <c r="P156" s="193"/>
      <c r="Q156" s="193"/>
      <c r="R156" s="194"/>
      <c r="S156" s="121" t="s">
        <v>294</v>
      </c>
      <c r="T156" s="193">
        <f>Sitio!$E$3</f>
        <v>0</v>
      </c>
      <c r="U156" s="193"/>
      <c r="V156" s="193"/>
      <c r="W156" s="193"/>
      <c r="X156" s="194"/>
    </row>
    <row r="157" spans="1:24" ht="9.75" customHeight="1" x14ac:dyDescent="0.15">
      <c r="A157" s="121" t="s">
        <v>295</v>
      </c>
      <c r="C157" s="193" t="e">
        <f>VLOOKUP(B159,Preenchimento!$A:$BV,2,0)</f>
        <v>#N/A</v>
      </c>
      <c r="D157" s="193" t="e">
        <f>VLOOKUP(C159,Preenchimento!$A:$BV,2,0)</f>
        <v>#N/A</v>
      </c>
      <c r="E157" s="193" t="e">
        <f>VLOOKUP(D159,Preenchimento!$A:$BV,2,0)</f>
        <v>#N/A</v>
      </c>
      <c r="F157" s="194" t="e">
        <f>VLOOKUP(E159,Preenchimento!$A:$BV,2,0)</f>
        <v>#N/A</v>
      </c>
      <c r="G157" s="121" t="s">
        <v>295</v>
      </c>
      <c r="I157" s="193" t="e">
        <f>VLOOKUP(H159,Preenchimento!$A:$BV,2,0)</f>
        <v>#N/A</v>
      </c>
      <c r="J157" s="193" t="e">
        <f>VLOOKUP(I159,Preenchimento!$A:$BV,2,0)</f>
        <v>#N/A</v>
      </c>
      <c r="K157" s="193" t="e">
        <f>VLOOKUP(J159,Preenchimento!$A:$BV,2,0)</f>
        <v>#N/A</v>
      </c>
      <c r="L157" s="194" t="e">
        <f>VLOOKUP(K159,Preenchimento!$A:$BV,2,0)</f>
        <v>#N/A</v>
      </c>
      <c r="M157" s="121" t="s">
        <v>295</v>
      </c>
      <c r="O157" s="193" t="e">
        <f>VLOOKUP(N159,Preenchimento!$A:$BV,2,0)</f>
        <v>#N/A</v>
      </c>
      <c r="P157" s="193" t="e">
        <f>VLOOKUP(O159,Preenchimento!$A:$BV,2,0)</f>
        <v>#N/A</v>
      </c>
      <c r="Q157" s="193" t="e">
        <f>VLOOKUP(P159,Preenchimento!$A:$BV,2,0)</f>
        <v>#N/A</v>
      </c>
      <c r="R157" s="194" t="e">
        <f>VLOOKUP(Q159,Preenchimento!$A:$BV,2,0)</f>
        <v>#N/A</v>
      </c>
      <c r="S157" s="121" t="s">
        <v>295</v>
      </c>
      <c r="U157" s="193" t="e">
        <f>VLOOKUP(T159,Preenchimento!$A:$BV,2,0)</f>
        <v>#N/A</v>
      </c>
      <c r="V157" s="193" t="e">
        <f>VLOOKUP(U159,Preenchimento!$A:$BV,2,0)</f>
        <v>#N/A</v>
      </c>
      <c r="W157" s="193" t="e">
        <f>VLOOKUP(V159,Preenchimento!$A:$BV,2,0)</f>
        <v>#N/A</v>
      </c>
      <c r="X157" s="194" t="e">
        <f>VLOOKUP(W159,Preenchimento!$A:$BV,2,0)</f>
        <v>#N/A</v>
      </c>
    </row>
    <row r="158" spans="1:24" ht="9.75" customHeight="1" x14ac:dyDescent="0.15">
      <c r="A158" s="121" t="s">
        <v>296</v>
      </c>
      <c r="B158" s="193" t="e">
        <f>VLOOKUP(B159,Preenchimento!$A:$BV,3,0)</f>
        <v>#N/A</v>
      </c>
      <c r="C158" s="193" t="e">
        <f>VLOOKUP(C159,Preenchimento!$A:$BV,3,0)</f>
        <v>#N/A</v>
      </c>
      <c r="D158" s="120" t="s">
        <v>297</v>
      </c>
      <c r="E158" s="197" t="e">
        <f>VLOOKUP(B159,Preenchimento!$A:$BV,5,0)</f>
        <v>#N/A</v>
      </c>
      <c r="F158" s="198" t="e">
        <f>VLOOKUP(C159,Preenchimento!$A:$BV,5,0)</f>
        <v>#N/A</v>
      </c>
      <c r="G158" s="121" t="s">
        <v>296</v>
      </c>
      <c r="H158" s="193" t="e">
        <f>VLOOKUP(H159,Preenchimento!$A:$BV,3,0)</f>
        <v>#N/A</v>
      </c>
      <c r="I158" s="193" t="e">
        <f>VLOOKUP(I159,Preenchimento!$A:$BV,3,0)</f>
        <v>#N/A</v>
      </c>
      <c r="J158" s="120" t="s">
        <v>297</v>
      </c>
      <c r="K158" s="197" t="e">
        <f>VLOOKUP(H159,Preenchimento!$A:$BV,5,0)</f>
        <v>#N/A</v>
      </c>
      <c r="L158" s="198" t="e">
        <f>VLOOKUP(I159,Preenchimento!$A:$BV,5,0)</f>
        <v>#N/A</v>
      </c>
      <c r="M158" s="121" t="s">
        <v>296</v>
      </c>
      <c r="N158" s="193" t="e">
        <f>VLOOKUP(N159,Preenchimento!$A:$BV,3,0)</f>
        <v>#N/A</v>
      </c>
      <c r="O158" s="193" t="e">
        <f>VLOOKUP(O159,Preenchimento!$A:$BV,3,0)</f>
        <v>#N/A</v>
      </c>
      <c r="P158" s="120" t="s">
        <v>297</v>
      </c>
      <c r="Q158" s="197" t="e">
        <f>VLOOKUP(N159,Preenchimento!$A:$BV,5,0)</f>
        <v>#N/A</v>
      </c>
      <c r="R158" s="198" t="e">
        <f>VLOOKUP(O159,Preenchimento!$A:$BV,5,0)</f>
        <v>#N/A</v>
      </c>
      <c r="S158" s="121" t="s">
        <v>296</v>
      </c>
      <c r="T158" s="193" t="e">
        <f>VLOOKUP(T159,Preenchimento!$A:$BV,3,0)</f>
        <v>#N/A</v>
      </c>
      <c r="U158" s="193" t="e">
        <f>VLOOKUP(U159,Preenchimento!$A:$BV,3,0)</f>
        <v>#N/A</v>
      </c>
      <c r="V158" s="120" t="s">
        <v>297</v>
      </c>
      <c r="W158" s="197" t="e">
        <f>VLOOKUP(T159,Preenchimento!$A:$BV,5,0)</f>
        <v>#N/A</v>
      </c>
      <c r="X158" s="198" t="e">
        <f>VLOOKUP(U159,Preenchimento!$A:$BV,5,0)</f>
        <v>#N/A</v>
      </c>
    </row>
    <row r="159" spans="1:24" ht="9.75" customHeight="1" x14ac:dyDescent="0.15">
      <c r="A159" s="121" t="s">
        <v>298</v>
      </c>
      <c r="B159" s="193"/>
      <c r="C159" s="193"/>
      <c r="D159" s="120" t="s">
        <v>299</v>
      </c>
      <c r="F159" s="131" t="e">
        <f>VLOOKUP(B159,Preenchimento!$A:$BV,10,0)</f>
        <v>#N/A</v>
      </c>
      <c r="G159" s="121" t="s">
        <v>298</v>
      </c>
      <c r="H159" s="193"/>
      <c r="I159" s="193"/>
      <c r="J159" s="120" t="s">
        <v>299</v>
      </c>
      <c r="L159" s="131" t="e">
        <f>VLOOKUP(H159,Preenchimento!$A:$BV,10,0)</f>
        <v>#N/A</v>
      </c>
      <c r="M159" s="121" t="s">
        <v>298</v>
      </c>
      <c r="N159" s="193"/>
      <c r="O159" s="193"/>
      <c r="P159" s="120" t="s">
        <v>299</v>
      </c>
      <c r="R159" s="131" t="e">
        <f>VLOOKUP(N159,Preenchimento!$A:$BV,10,0)</f>
        <v>#N/A</v>
      </c>
      <c r="S159" s="121" t="s">
        <v>298</v>
      </c>
      <c r="T159" s="193"/>
      <c r="U159" s="193"/>
      <c r="V159" s="120" t="s">
        <v>299</v>
      </c>
      <c r="X159" s="131" t="e">
        <f>VLOOKUP(T159,Preenchimento!$A:$BV,10,0)</f>
        <v>#N/A</v>
      </c>
    </row>
    <row r="160" spans="1:24" ht="9.75" customHeight="1" x14ac:dyDescent="0.15">
      <c r="A160" s="121" t="s">
        <v>300</v>
      </c>
      <c r="C160" s="193" t="e">
        <f>VLOOKUP(B159,Preenchimento!$A:$BV,12,0)</f>
        <v>#N/A</v>
      </c>
      <c r="D160" s="193" t="e">
        <f>VLOOKUP(C159,Preenchimento!$A:$BV,12,0)</f>
        <v>#N/A</v>
      </c>
      <c r="E160" s="193" t="e">
        <f>VLOOKUP(D159,Preenchimento!$A:$BV,12,0)</f>
        <v>#N/A</v>
      </c>
      <c r="F160" s="194" t="e">
        <f>VLOOKUP(E159,Preenchimento!$A:$BV,12,0)</f>
        <v>#N/A</v>
      </c>
      <c r="G160" s="121" t="s">
        <v>300</v>
      </c>
      <c r="I160" s="193" t="e">
        <f>VLOOKUP(H159,Preenchimento!$A:$BV,12,0)</f>
        <v>#N/A</v>
      </c>
      <c r="J160" s="193" t="e">
        <f>VLOOKUP(I159,Preenchimento!$A:$BV,12,0)</f>
        <v>#N/A</v>
      </c>
      <c r="K160" s="193" t="e">
        <f>VLOOKUP(J159,Preenchimento!$A:$BV,12,0)</f>
        <v>#N/A</v>
      </c>
      <c r="L160" s="194" t="e">
        <f>VLOOKUP(K159,Preenchimento!$A:$BV,12,0)</f>
        <v>#N/A</v>
      </c>
      <c r="M160" s="121" t="s">
        <v>300</v>
      </c>
      <c r="O160" s="193" t="e">
        <f>VLOOKUP(N159,Preenchimento!$A:$BV,12,0)</f>
        <v>#N/A</v>
      </c>
      <c r="P160" s="193" t="e">
        <f>VLOOKUP(O159,Preenchimento!$A:$BV,12,0)</f>
        <v>#N/A</v>
      </c>
      <c r="Q160" s="193" t="e">
        <f>VLOOKUP(P159,Preenchimento!$A:$BV,12,0)</f>
        <v>#N/A</v>
      </c>
      <c r="R160" s="194" t="e">
        <f>VLOOKUP(Q159,Preenchimento!$A:$BV,12,0)</f>
        <v>#N/A</v>
      </c>
      <c r="S160" s="121" t="s">
        <v>300</v>
      </c>
      <c r="U160" s="193" t="e">
        <f>VLOOKUP(T159,Preenchimento!$A:$BV,12,0)</f>
        <v>#N/A</v>
      </c>
      <c r="V160" s="193" t="e">
        <f>VLOOKUP(U159,Preenchimento!$A:$BV,12,0)</f>
        <v>#N/A</v>
      </c>
      <c r="W160" s="193" t="e">
        <f>VLOOKUP(V159,Preenchimento!$A:$BV,12,0)</f>
        <v>#N/A</v>
      </c>
      <c r="X160" s="194" t="e">
        <f>VLOOKUP(W159,Preenchimento!$A:$BV,12,0)</f>
        <v>#N/A</v>
      </c>
    </row>
    <row r="161" spans="1:24" ht="9.75" customHeight="1" x14ac:dyDescent="0.15">
      <c r="A161" s="123" t="s">
        <v>301</v>
      </c>
      <c r="B161" s="195" t="e">
        <f>IF(VLOOKUP(B159,Preenchimento!$A:$BV,11,0)=0,"",VLOOKUP(B159,Preenchimento!$A:$BV,11,0))</f>
        <v>#N/A</v>
      </c>
      <c r="C161" s="195"/>
      <c r="D161" s="195"/>
      <c r="E161" s="195"/>
      <c r="F161" s="196"/>
      <c r="G161" s="123" t="s">
        <v>301</v>
      </c>
      <c r="H161" s="195" t="e">
        <f>IF(VLOOKUP(H159,Preenchimento!$A:$BV,11,0)=0,"",VLOOKUP(H159,Preenchimento!$A:$BV,11,0))</f>
        <v>#N/A</v>
      </c>
      <c r="I161" s="195"/>
      <c r="J161" s="195"/>
      <c r="K161" s="195"/>
      <c r="L161" s="196"/>
      <c r="M161" s="123" t="s">
        <v>301</v>
      </c>
      <c r="N161" s="195" t="e">
        <f>IF(VLOOKUP(N159,Preenchimento!$A:$BV,11,0)=0,"",VLOOKUP(N159,Preenchimento!$A:$BV,11,0))</f>
        <v>#N/A</v>
      </c>
      <c r="O161" s="195"/>
      <c r="P161" s="195"/>
      <c r="Q161" s="195"/>
      <c r="R161" s="196"/>
      <c r="S161" s="123" t="s">
        <v>301</v>
      </c>
      <c r="T161" s="195" t="e">
        <f>IF(VLOOKUP(T159,Preenchimento!$A:$BV,11,0)=0,"",VLOOKUP(T159,Preenchimento!$A:$BV,11,0))</f>
        <v>#N/A</v>
      </c>
      <c r="U161" s="195"/>
      <c r="V161" s="195"/>
      <c r="W161" s="195"/>
      <c r="X161" s="196"/>
    </row>
    <row r="162" spans="1:24" s="130" customFormat="1" ht="33.950000000000003" customHeight="1" x14ac:dyDescent="0.25">
      <c r="A162" s="199" t="str">
        <f>Sitio!$A$3</f>
        <v>Projeto 01</v>
      </c>
      <c r="B162" s="200"/>
      <c r="C162" s="200"/>
      <c r="D162" s="200"/>
      <c r="E162" s="200"/>
      <c r="F162" s="201"/>
      <c r="G162" s="199" t="str">
        <f>Sitio!$A$3</f>
        <v>Projeto 01</v>
      </c>
      <c r="H162" s="200"/>
      <c r="I162" s="200"/>
      <c r="J162" s="200"/>
      <c r="K162" s="200"/>
      <c r="L162" s="201"/>
      <c r="M162" s="199" t="str">
        <f>Sitio!$A$3</f>
        <v>Projeto 01</v>
      </c>
      <c r="N162" s="200"/>
      <c r="O162" s="200"/>
      <c r="P162" s="200"/>
      <c r="Q162" s="200"/>
      <c r="R162" s="201"/>
      <c r="S162" s="199" t="str">
        <f>Sitio!$A$3</f>
        <v>Projeto 01</v>
      </c>
      <c r="T162" s="200"/>
      <c r="U162" s="200"/>
      <c r="V162" s="200"/>
      <c r="W162" s="200"/>
      <c r="X162" s="201"/>
    </row>
    <row r="163" spans="1:24" ht="9.75" customHeight="1" x14ac:dyDescent="0.15">
      <c r="A163" s="121" t="s">
        <v>294</v>
      </c>
      <c r="B163" s="193">
        <f>Sitio!$E$3</f>
        <v>0</v>
      </c>
      <c r="C163" s="193"/>
      <c r="D163" s="193"/>
      <c r="E163" s="193"/>
      <c r="F163" s="194"/>
      <c r="G163" s="121" t="s">
        <v>294</v>
      </c>
      <c r="H163" s="193">
        <f>Sitio!$E$3</f>
        <v>0</v>
      </c>
      <c r="I163" s="193"/>
      <c r="J163" s="193"/>
      <c r="K163" s="193"/>
      <c r="L163" s="194"/>
      <c r="M163" s="121" t="s">
        <v>294</v>
      </c>
      <c r="N163" s="193">
        <f>Sitio!$E$3</f>
        <v>0</v>
      </c>
      <c r="O163" s="193"/>
      <c r="P163" s="193"/>
      <c r="Q163" s="193"/>
      <c r="R163" s="194"/>
      <c r="S163" s="121" t="s">
        <v>294</v>
      </c>
      <c r="T163" s="193">
        <f>Sitio!$E$3</f>
        <v>0</v>
      </c>
      <c r="U163" s="193"/>
      <c r="V163" s="193"/>
      <c r="W163" s="193"/>
      <c r="X163" s="194"/>
    </row>
    <row r="164" spans="1:24" ht="9.75" customHeight="1" x14ac:dyDescent="0.15">
      <c r="A164" s="121" t="s">
        <v>295</v>
      </c>
      <c r="C164" s="193" t="e">
        <f>VLOOKUP(B166,Preenchimento!$A:$BV,2,0)</f>
        <v>#N/A</v>
      </c>
      <c r="D164" s="193" t="e">
        <f>VLOOKUP(C166,Preenchimento!$A:$BV,2,0)</f>
        <v>#N/A</v>
      </c>
      <c r="E164" s="193" t="e">
        <f>VLOOKUP(D166,Preenchimento!$A:$BV,2,0)</f>
        <v>#N/A</v>
      </c>
      <c r="F164" s="194" t="e">
        <f>VLOOKUP(E166,Preenchimento!$A:$BV,2,0)</f>
        <v>#N/A</v>
      </c>
      <c r="G164" s="121" t="s">
        <v>295</v>
      </c>
      <c r="I164" s="193" t="e">
        <f>VLOOKUP(H166,Preenchimento!$A:$BV,2,0)</f>
        <v>#N/A</v>
      </c>
      <c r="J164" s="193" t="e">
        <f>VLOOKUP(I166,Preenchimento!$A:$BV,2,0)</f>
        <v>#N/A</v>
      </c>
      <c r="K164" s="193" t="e">
        <f>VLOOKUP(J166,Preenchimento!$A:$BV,2,0)</f>
        <v>#N/A</v>
      </c>
      <c r="L164" s="194" t="e">
        <f>VLOOKUP(K166,Preenchimento!$A:$BV,2,0)</f>
        <v>#N/A</v>
      </c>
      <c r="M164" s="121" t="s">
        <v>295</v>
      </c>
      <c r="O164" s="193" t="e">
        <f>VLOOKUP(N166,Preenchimento!$A:$BV,2,0)</f>
        <v>#N/A</v>
      </c>
      <c r="P164" s="193" t="e">
        <f>VLOOKUP(O166,Preenchimento!$A:$BV,2,0)</f>
        <v>#N/A</v>
      </c>
      <c r="Q164" s="193" t="e">
        <f>VLOOKUP(P166,Preenchimento!$A:$BV,2,0)</f>
        <v>#N/A</v>
      </c>
      <c r="R164" s="194" t="e">
        <f>VLOOKUP(Q166,Preenchimento!$A:$BV,2,0)</f>
        <v>#N/A</v>
      </c>
      <c r="S164" s="121" t="s">
        <v>295</v>
      </c>
      <c r="U164" s="193" t="e">
        <f>VLOOKUP(T166,Preenchimento!$A:$BV,2,0)</f>
        <v>#N/A</v>
      </c>
      <c r="V164" s="193" t="e">
        <f>VLOOKUP(U166,Preenchimento!$A:$BV,2,0)</f>
        <v>#N/A</v>
      </c>
      <c r="W164" s="193" t="e">
        <f>VLOOKUP(V166,Preenchimento!$A:$BV,2,0)</f>
        <v>#N/A</v>
      </c>
      <c r="X164" s="194" t="e">
        <f>VLOOKUP(W166,Preenchimento!$A:$BV,2,0)</f>
        <v>#N/A</v>
      </c>
    </row>
    <row r="165" spans="1:24" ht="9.75" customHeight="1" x14ac:dyDescent="0.15">
      <c r="A165" s="121" t="s">
        <v>296</v>
      </c>
      <c r="B165" s="193" t="e">
        <f>VLOOKUP(B166,Preenchimento!$A:$BV,3,0)</f>
        <v>#N/A</v>
      </c>
      <c r="C165" s="193" t="e">
        <f>VLOOKUP(C166,Preenchimento!$A:$BV,3,0)</f>
        <v>#N/A</v>
      </c>
      <c r="D165" s="120" t="s">
        <v>297</v>
      </c>
      <c r="E165" s="197" t="e">
        <f>VLOOKUP(B166,Preenchimento!$A:$BV,5,0)</f>
        <v>#N/A</v>
      </c>
      <c r="F165" s="198" t="e">
        <f>VLOOKUP(C166,Preenchimento!$A:$BV,5,0)</f>
        <v>#N/A</v>
      </c>
      <c r="G165" s="121" t="s">
        <v>296</v>
      </c>
      <c r="H165" s="193" t="e">
        <f>VLOOKUP(H166,Preenchimento!$A:$BV,3,0)</f>
        <v>#N/A</v>
      </c>
      <c r="I165" s="193" t="e">
        <f>VLOOKUP(I166,Preenchimento!$A:$BV,3,0)</f>
        <v>#N/A</v>
      </c>
      <c r="J165" s="120" t="s">
        <v>297</v>
      </c>
      <c r="K165" s="197" t="e">
        <f>VLOOKUP(H166,Preenchimento!$A:$BV,5,0)</f>
        <v>#N/A</v>
      </c>
      <c r="L165" s="198" t="e">
        <f>VLOOKUP(I166,Preenchimento!$A:$BV,5,0)</f>
        <v>#N/A</v>
      </c>
      <c r="M165" s="121" t="s">
        <v>296</v>
      </c>
      <c r="N165" s="193" t="e">
        <f>VLOOKUP(N166,Preenchimento!$A:$BV,3,0)</f>
        <v>#N/A</v>
      </c>
      <c r="O165" s="193" t="e">
        <f>VLOOKUP(O166,Preenchimento!$A:$BV,3,0)</f>
        <v>#N/A</v>
      </c>
      <c r="P165" s="120" t="s">
        <v>297</v>
      </c>
      <c r="Q165" s="197" t="e">
        <f>VLOOKUP(N166,Preenchimento!$A:$BV,5,0)</f>
        <v>#N/A</v>
      </c>
      <c r="R165" s="198" t="e">
        <f>VLOOKUP(O166,Preenchimento!$A:$BV,5,0)</f>
        <v>#N/A</v>
      </c>
      <c r="S165" s="121" t="s">
        <v>296</v>
      </c>
      <c r="T165" s="193" t="e">
        <f>VLOOKUP(T166,Preenchimento!$A:$BV,3,0)</f>
        <v>#N/A</v>
      </c>
      <c r="U165" s="193" t="e">
        <f>VLOOKUP(U166,Preenchimento!$A:$BV,3,0)</f>
        <v>#N/A</v>
      </c>
      <c r="V165" s="120" t="s">
        <v>297</v>
      </c>
      <c r="W165" s="197" t="e">
        <f>VLOOKUP(T166,Preenchimento!$A:$BV,5,0)</f>
        <v>#N/A</v>
      </c>
      <c r="X165" s="198" t="e">
        <f>VLOOKUP(U166,Preenchimento!$A:$BV,5,0)</f>
        <v>#N/A</v>
      </c>
    </row>
    <row r="166" spans="1:24" ht="9.75" customHeight="1" x14ac:dyDescent="0.15">
      <c r="A166" s="121" t="s">
        <v>298</v>
      </c>
      <c r="B166" s="193"/>
      <c r="C166" s="193"/>
      <c r="D166" s="120" t="s">
        <v>299</v>
      </c>
      <c r="F166" s="131" t="e">
        <f>VLOOKUP(B166,Preenchimento!$A:$BV,10,0)</f>
        <v>#N/A</v>
      </c>
      <c r="G166" s="121" t="s">
        <v>298</v>
      </c>
      <c r="H166" s="193"/>
      <c r="I166" s="193"/>
      <c r="J166" s="120" t="s">
        <v>299</v>
      </c>
      <c r="L166" s="131" t="e">
        <f>VLOOKUP(H166,Preenchimento!$A:$BV,10,0)</f>
        <v>#N/A</v>
      </c>
      <c r="M166" s="121" t="s">
        <v>298</v>
      </c>
      <c r="N166" s="193"/>
      <c r="O166" s="193"/>
      <c r="P166" s="120" t="s">
        <v>299</v>
      </c>
      <c r="R166" s="131" t="e">
        <f>VLOOKUP(N166,Preenchimento!$A:$BV,10,0)</f>
        <v>#N/A</v>
      </c>
      <c r="S166" s="121" t="s">
        <v>298</v>
      </c>
      <c r="T166" s="193"/>
      <c r="U166" s="193"/>
      <c r="V166" s="120" t="s">
        <v>299</v>
      </c>
      <c r="X166" s="131" t="e">
        <f>VLOOKUP(T166,Preenchimento!$A:$BV,10,0)</f>
        <v>#N/A</v>
      </c>
    </row>
    <row r="167" spans="1:24" ht="9.75" customHeight="1" x14ac:dyDescent="0.15">
      <c r="A167" s="121" t="s">
        <v>300</v>
      </c>
      <c r="C167" s="193" t="e">
        <f>VLOOKUP(B166,Preenchimento!$A:$BV,12,0)</f>
        <v>#N/A</v>
      </c>
      <c r="D167" s="193" t="e">
        <f>VLOOKUP(C166,Preenchimento!$A:$BV,12,0)</f>
        <v>#N/A</v>
      </c>
      <c r="E167" s="193" t="e">
        <f>VLOOKUP(D166,Preenchimento!$A:$BV,12,0)</f>
        <v>#N/A</v>
      </c>
      <c r="F167" s="194" t="e">
        <f>VLOOKUP(E166,Preenchimento!$A:$BV,12,0)</f>
        <v>#N/A</v>
      </c>
      <c r="G167" s="121" t="s">
        <v>300</v>
      </c>
      <c r="I167" s="193" t="e">
        <f>VLOOKUP(H166,Preenchimento!$A:$BV,12,0)</f>
        <v>#N/A</v>
      </c>
      <c r="J167" s="193" t="e">
        <f>VLOOKUP(I166,Preenchimento!$A:$BV,12,0)</f>
        <v>#N/A</v>
      </c>
      <c r="K167" s="193" t="e">
        <f>VLOOKUP(J166,Preenchimento!$A:$BV,12,0)</f>
        <v>#N/A</v>
      </c>
      <c r="L167" s="194" t="e">
        <f>VLOOKUP(K166,Preenchimento!$A:$BV,12,0)</f>
        <v>#N/A</v>
      </c>
      <c r="M167" s="121" t="s">
        <v>300</v>
      </c>
      <c r="O167" s="193" t="e">
        <f>VLOOKUP(N166,Preenchimento!$A:$BV,12,0)</f>
        <v>#N/A</v>
      </c>
      <c r="P167" s="193" t="e">
        <f>VLOOKUP(O166,Preenchimento!$A:$BV,12,0)</f>
        <v>#N/A</v>
      </c>
      <c r="Q167" s="193" t="e">
        <f>VLOOKUP(P166,Preenchimento!$A:$BV,12,0)</f>
        <v>#N/A</v>
      </c>
      <c r="R167" s="194" t="e">
        <f>VLOOKUP(Q166,Preenchimento!$A:$BV,12,0)</f>
        <v>#N/A</v>
      </c>
      <c r="S167" s="121" t="s">
        <v>300</v>
      </c>
      <c r="U167" s="193" t="e">
        <f>VLOOKUP(T166,Preenchimento!$A:$BV,12,0)</f>
        <v>#N/A</v>
      </c>
      <c r="V167" s="193" t="e">
        <f>VLOOKUP(U166,Preenchimento!$A:$BV,12,0)</f>
        <v>#N/A</v>
      </c>
      <c r="W167" s="193" t="e">
        <f>VLOOKUP(V166,Preenchimento!$A:$BV,12,0)</f>
        <v>#N/A</v>
      </c>
      <c r="X167" s="194" t="e">
        <f>VLOOKUP(W166,Preenchimento!$A:$BV,12,0)</f>
        <v>#N/A</v>
      </c>
    </row>
    <row r="168" spans="1:24" ht="9.75" customHeight="1" x14ac:dyDescent="0.15">
      <c r="A168" s="123" t="s">
        <v>301</v>
      </c>
      <c r="B168" s="195" t="e">
        <f>IF(VLOOKUP(B166,Preenchimento!$A:$BV,11,0)=0,"",VLOOKUP(B166,Preenchimento!$A:$BV,11,0))</f>
        <v>#N/A</v>
      </c>
      <c r="C168" s="195"/>
      <c r="D168" s="195"/>
      <c r="E168" s="195"/>
      <c r="F168" s="196"/>
      <c r="G168" s="123" t="s">
        <v>301</v>
      </c>
      <c r="H168" s="195" t="e">
        <f>IF(VLOOKUP(H166,Preenchimento!$A:$BV,11,0)=0,"",VLOOKUP(H166,Preenchimento!$A:$BV,11,0))</f>
        <v>#N/A</v>
      </c>
      <c r="I168" s="195"/>
      <c r="J168" s="195"/>
      <c r="K168" s="195"/>
      <c r="L168" s="196"/>
      <c r="M168" s="123" t="s">
        <v>301</v>
      </c>
      <c r="N168" s="195" t="e">
        <f>IF(VLOOKUP(N166,Preenchimento!$A:$BV,11,0)=0,"",VLOOKUP(N166,Preenchimento!$A:$BV,11,0))</f>
        <v>#N/A</v>
      </c>
      <c r="O168" s="195"/>
      <c r="P168" s="195"/>
      <c r="Q168" s="195"/>
      <c r="R168" s="196"/>
      <c r="S168" s="123" t="s">
        <v>301</v>
      </c>
      <c r="T168" s="195" t="e">
        <f>IF(VLOOKUP(T166,Preenchimento!$A:$BV,11,0)=0,"",VLOOKUP(T166,Preenchimento!$A:$BV,11,0))</f>
        <v>#N/A</v>
      </c>
      <c r="U168" s="195"/>
      <c r="V168" s="195"/>
      <c r="W168" s="195"/>
      <c r="X168" s="196"/>
    </row>
    <row r="169" spans="1:24" ht="33.950000000000003" customHeight="1" x14ac:dyDescent="0.15">
      <c r="A169" s="199" t="str">
        <f>Sitio!$A$3</f>
        <v>Projeto 01</v>
      </c>
      <c r="B169" s="200"/>
      <c r="C169" s="200"/>
      <c r="D169" s="200"/>
      <c r="E169" s="200"/>
      <c r="F169" s="201"/>
      <c r="G169" s="199" t="str">
        <f>Sitio!$A$3</f>
        <v>Projeto 01</v>
      </c>
      <c r="H169" s="200"/>
      <c r="I169" s="200"/>
      <c r="J169" s="200"/>
      <c r="K169" s="200"/>
      <c r="L169" s="201"/>
      <c r="M169" s="199" t="str">
        <f>Sitio!$A$3</f>
        <v>Projeto 01</v>
      </c>
      <c r="N169" s="200"/>
      <c r="O169" s="200"/>
      <c r="P169" s="200"/>
      <c r="Q169" s="200"/>
      <c r="R169" s="201"/>
      <c r="S169" s="199" t="str">
        <f>Sitio!$A$3</f>
        <v>Projeto 01</v>
      </c>
      <c r="T169" s="200"/>
      <c r="U169" s="200"/>
      <c r="V169" s="200"/>
      <c r="W169" s="200"/>
      <c r="X169" s="201"/>
    </row>
    <row r="170" spans="1:24" ht="9.75" customHeight="1" x14ac:dyDescent="0.15">
      <c r="A170" s="121" t="s">
        <v>294</v>
      </c>
      <c r="B170" s="193">
        <f>Sitio!$E$3</f>
        <v>0</v>
      </c>
      <c r="C170" s="193"/>
      <c r="D170" s="193"/>
      <c r="E170" s="193"/>
      <c r="F170" s="194"/>
      <c r="G170" s="121" t="s">
        <v>294</v>
      </c>
      <c r="H170" s="193">
        <f>Sitio!$E$3</f>
        <v>0</v>
      </c>
      <c r="I170" s="193"/>
      <c r="J170" s="193"/>
      <c r="K170" s="193"/>
      <c r="L170" s="194"/>
      <c r="M170" s="121" t="s">
        <v>294</v>
      </c>
      <c r="N170" s="193">
        <f>Sitio!$E$3</f>
        <v>0</v>
      </c>
      <c r="O170" s="193"/>
      <c r="P170" s="193"/>
      <c r="Q170" s="193"/>
      <c r="R170" s="194"/>
      <c r="S170" s="121" t="s">
        <v>294</v>
      </c>
      <c r="T170" s="193">
        <f>Sitio!$E$3</f>
        <v>0</v>
      </c>
      <c r="U170" s="193"/>
      <c r="V170" s="193"/>
      <c r="W170" s="193"/>
      <c r="X170" s="194"/>
    </row>
    <row r="171" spans="1:24" ht="9.75" customHeight="1" x14ac:dyDescent="0.15">
      <c r="A171" s="121" t="s">
        <v>295</v>
      </c>
      <c r="C171" s="193" t="e">
        <f>VLOOKUP(B173,Preenchimento!$A:$BV,2,0)</f>
        <v>#N/A</v>
      </c>
      <c r="D171" s="193" t="e">
        <f>VLOOKUP(C173,Preenchimento!$A:$BV,2,0)</f>
        <v>#N/A</v>
      </c>
      <c r="E171" s="193" t="e">
        <f>VLOOKUP(D173,Preenchimento!$A:$BV,2,0)</f>
        <v>#N/A</v>
      </c>
      <c r="F171" s="194" t="e">
        <f>VLOOKUP(E173,Preenchimento!$A:$BV,2,0)</f>
        <v>#N/A</v>
      </c>
      <c r="G171" s="121" t="s">
        <v>295</v>
      </c>
      <c r="I171" s="193" t="e">
        <f>VLOOKUP(H173,Preenchimento!$A:$BV,2,0)</f>
        <v>#N/A</v>
      </c>
      <c r="J171" s="193" t="e">
        <f>VLOOKUP(I173,Preenchimento!$A:$BV,2,0)</f>
        <v>#N/A</v>
      </c>
      <c r="K171" s="193" t="e">
        <f>VLOOKUP(J173,Preenchimento!$A:$BV,2,0)</f>
        <v>#N/A</v>
      </c>
      <c r="L171" s="194" t="e">
        <f>VLOOKUP(K173,Preenchimento!$A:$BV,2,0)</f>
        <v>#N/A</v>
      </c>
      <c r="M171" s="121" t="s">
        <v>295</v>
      </c>
      <c r="O171" s="193" t="e">
        <f>VLOOKUP(N173,Preenchimento!$A:$BV,2,0)</f>
        <v>#N/A</v>
      </c>
      <c r="P171" s="193" t="e">
        <f>VLOOKUP(O173,Preenchimento!$A:$BV,2,0)</f>
        <v>#N/A</v>
      </c>
      <c r="Q171" s="193" t="e">
        <f>VLOOKUP(P173,Preenchimento!$A:$BV,2,0)</f>
        <v>#N/A</v>
      </c>
      <c r="R171" s="194" t="e">
        <f>VLOOKUP(Q173,Preenchimento!$A:$BV,2,0)</f>
        <v>#N/A</v>
      </c>
      <c r="S171" s="121" t="s">
        <v>295</v>
      </c>
      <c r="U171" s="193" t="e">
        <f>VLOOKUP(T173,Preenchimento!$A:$BV,2,0)</f>
        <v>#N/A</v>
      </c>
      <c r="V171" s="193" t="e">
        <f>VLOOKUP(U173,Preenchimento!$A:$BV,2,0)</f>
        <v>#N/A</v>
      </c>
      <c r="W171" s="193" t="e">
        <f>VLOOKUP(V173,Preenchimento!$A:$BV,2,0)</f>
        <v>#N/A</v>
      </c>
      <c r="X171" s="194" t="e">
        <f>VLOOKUP(W173,Preenchimento!$A:$BV,2,0)</f>
        <v>#N/A</v>
      </c>
    </row>
    <row r="172" spans="1:24" ht="9.75" customHeight="1" x14ac:dyDescent="0.15">
      <c r="A172" s="121" t="s">
        <v>296</v>
      </c>
      <c r="B172" s="193" t="e">
        <f>VLOOKUP(B173,Preenchimento!$A:$BV,3,0)</f>
        <v>#N/A</v>
      </c>
      <c r="C172" s="193" t="e">
        <f>VLOOKUP(C173,Preenchimento!$A:$BV,3,0)</f>
        <v>#N/A</v>
      </c>
      <c r="D172" s="120" t="s">
        <v>297</v>
      </c>
      <c r="E172" s="197" t="e">
        <f>VLOOKUP(B173,Preenchimento!$A:$BV,5,0)</f>
        <v>#N/A</v>
      </c>
      <c r="F172" s="198" t="e">
        <f>VLOOKUP(C173,Preenchimento!$A:$BV,5,0)</f>
        <v>#N/A</v>
      </c>
      <c r="G172" s="121" t="s">
        <v>296</v>
      </c>
      <c r="H172" s="193" t="e">
        <f>VLOOKUP(H173,Preenchimento!$A:$BV,3,0)</f>
        <v>#N/A</v>
      </c>
      <c r="I172" s="193" t="e">
        <f>VLOOKUP(I173,Preenchimento!$A:$BV,3,0)</f>
        <v>#N/A</v>
      </c>
      <c r="J172" s="120" t="s">
        <v>297</v>
      </c>
      <c r="K172" s="197" t="e">
        <f>VLOOKUP(H173,Preenchimento!$A:$BV,5,0)</f>
        <v>#N/A</v>
      </c>
      <c r="L172" s="198" t="e">
        <f>VLOOKUP(I173,Preenchimento!$A:$BV,5,0)</f>
        <v>#N/A</v>
      </c>
      <c r="M172" s="121" t="s">
        <v>296</v>
      </c>
      <c r="N172" s="193" t="e">
        <f>VLOOKUP(N173,Preenchimento!$A:$BV,3,0)</f>
        <v>#N/A</v>
      </c>
      <c r="O172" s="193" t="e">
        <f>VLOOKUP(O173,Preenchimento!$A:$BV,3,0)</f>
        <v>#N/A</v>
      </c>
      <c r="P172" s="120" t="s">
        <v>297</v>
      </c>
      <c r="Q172" s="197" t="e">
        <f>VLOOKUP(N173,Preenchimento!$A:$BV,5,0)</f>
        <v>#N/A</v>
      </c>
      <c r="R172" s="198" t="e">
        <f>VLOOKUP(O173,Preenchimento!$A:$BV,5,0)</f>
        <v>#N/A</v>
      </c>
      <c r="S172" s="121" t="s">
        <v>296</v>
      </c>
      <c r="T172" s="193" t="e">
        <f>VLOOKUP(T173,Preenchimento!$A:$BV,3,0)</f>
        <v>#N/A</v>
      </c>
      <c r="U172" s="193" t="e">
        <f>VLOOKUP(U173,Preenchimento!$A:$BV,3,0)</f>
        <v>#N/A</v>
      </c>
      <c r="V172" s="120" t="s">
        <v>297</v>
      </c>
      <c r="W172" s="197" t="e">
        <f>VLOOKUP(T173,Preenchimento!$A:$BV,5,0)</f>
        <v>#N/A</v>
      </c>
      <c r="X172" s="198" t="e">
        <f>VLOOKUP(U173,Preenchimento!$A:$BV,5,0)</f>
        <v>#N/A</v>
      </c>
    </row>
    <row r="173" spans="1:24" ht="9.75" customHeight="1" x14ac:dyDescent="0.15">
      <c r="A173" s="121" t="s">
        <v>298</v>
      </c>
      <c r="B173" s="193"/>
      <c r="C173" s="193"/>
      <c r="D173" s="120" t="s">
        <v>299</v>
      </c>
      <c r="F173" s="131" t="e">
        <f>VLOOKUP(B173,Preenchimento!$A:$BV,10,0)</f>
        <v>#N/A</v>
      </c>
      <c r="G173" s="121" t="s">
        <v>298</v>
      </c>
      <c r="H173" s="193"/>
      <c r="I173" s="193"/>
      <c r="J173" s="120" t="s">
        <v>299</v>
      </c>
      <c r="L173" s="131" t="e">
        <f>VLOOKUP(H173,Preenchimento!$A:$BV,10,0)</f>
        <v>#N/A</v>
      </c>
      <c r="M173" s="121" t="s">
        <v>298</v>
      </c>
      <c r="N173" s="193"/>
      <c r="O173" s="193"/>
      <c r="P173" s="120" t="s">
        <v>299</v>
      </c>
      <c r="R173" s="131" t="e">
        <f>VLOOKUP(N173,Preenchimento!$A:$BV,10,0)</f>
        <v>#N/A</v>
      </c>
      <c r="S173" s="121" t="s">
        <v>298</v>
      </c>
      <c r="T173" s="193"/>
      <c r="U173" s="193"/>
      <c r="V173" s="120" t="s">
        <v>299</v>
      </c>
      <c r="X173" s="131" t="e">
        <f>VLOOKUP(T173,Preenchimento!$A:$BV,10,0)</f>
        <v>#N/A</v>
      </c>
    </row>
    <row r="174" spans="1:24" ht="9.75" customHeight="1" x14ac:dyDescent="0.15">
      <c r="A174" s="121" t="s">
        <v>300</v>
      </c>
      <c r="C174" s="193" t="e">
        <f>VLOOKUP(B173,Preenchimento!$A:$BV,12,0)</f>
        <v>#N/A</v>
      </c>
      <c r="D174" s="193" t="e">
        <f>VLOOKUP(C173,Preenchimento!$A:$BV,12,0)</f>
        <v>#N/A</v>
      </c>
      <c r="E174" s="193" t="e">
        <f>VLOOKUP(D173,Preenchimento!$A:$BV,12,0)</f>
        <v>#N/A</v>
      </c>
      <c r="F174" s="194" t="e">
        <f>VLOOKUP(E173,Preenchimento!$A:$BV,12,0)</f>
        <v>#N/A</v>
      </c>
      <c r="G174" s="121" t="s">
        <v>300</v>
      </c>
      <c r="I174" s="193" t="e">
        <f>VLOOKUP(H173,Preenchimento!$A:$BV,12,0)</f>
        <v>#N/A</v>
      </c>
      <c r="J174" s="193" t="e">
        <f>VLOOKUP(I173,Preenchimento!$A:$BV,12,0)</f>
        <v>#N/A</v>
      </c>
      <c r="K174" s="193" t="e">
        <f>VLOOKUP(J173,Preenchimento!$A:$BV,12,0)</f>
        <v>#N/A</v>
      </c>
      <c r="L174" s="194" t="e">
        <f>VLOOKUP(K173,Preenchimento!$A:$BV,12,0)</f>
        <v>#N/A</v>
      </c>
      <c r="M174" s="121" t="s">
        <v>300</v>
      </c>
      <c r="O174" s="193" t="e">
        <f>VLOOKUP(N173,Preenchimento!$A:$BV,12,0)</f>
        <v>#N/A</v>
      </c>
      <c r="P174" s="193" t="e">
        <f>VLOOKUP(O173,Preenchimento!$A:$BV,12,0)</f>
        <v>#N/A</v>
      </c>
      <c r="Q174" s="193" t="e">
        <f>VLOOKUP(P173,Preenchimento!$A:$BV,12,0)</f>
        <v>#N/A</v>
      </c>
      <c r="R174" s="194" t="e">
        <f>VLOOKUP(Q173,Preenchimento!$A:$BV,12,0)</f>
        <v>#N/A</v>
      </c>
      <c r="S174" s="121" t="s">
        <v>300</v>
      </c>
      <c r="U174" s="193" t="e">
        <f>VLOOKUP(T173,Preenchimento!$A:$BV,12,0)</f>
        <v>#N/A</v>
      </c>
      <c r="V174" s="193" t="e">
        <f>VLOOKUP(U173,Preenchimento!$A:$BV,12,0)</f>
        <v>#N/A</v>
      </c>
      <c r="W174" s="193" t="e">
        <f>VLOOKUP(V173,Preenchimento!$A:$BV,12,0)</f>
        <v>#N/A</v>
      </c>
      <c r="X174" s="194" t="e">
        <f>VLOOKUP(W173,Preenchimento!$A:$BV,12,0)</f>
        <v>#N/A</v>
      </c>
    </row>
    <row r="175" spans="1:24" ht="9.75" customHeight="1" x14ac:dyDescent="0.15">
      <c r="A175" s="123" t="s">
        <v>301</v>
      </c>
      <c r="B175" s="195" t="e">
        <f>IF(VLOOKUP(B173,Preenchimento!$A:$BV,11,0)=0,"",VLOOKUP(B173,Preenchimento!$A:$BV,11,0))</f>
        <v>#N/A</v>
      </c>
      <c r="C175" s="195"/>
      <c r="D175" s="195"/>
      <c r="E175" s="195"/>
      <c r="F175" s="196"/>
      <c r="G175" s="123" t="s">
        <v>301</v>
      </c>
      <c r="H175" s="195" t="e">
        <f>IF(VLOOKUP(H173,Preenchimento!$A:$BV,11,0)=0,"",VLOOKUP(H173,Preenchimento!$A:$BV,11,0))</f>
        <v>#N/A</v>
      </c>
      <c r="I175" s="195"/>
      <c r="J175" s="195"/>
      <c r="K175" s="195"/>
      <c r="L175" s="196"/>
      <c r="M175" s="123" t="s">
        <v>301</v>
      </c>
      <c r="N175" s="195" t="e">
        <f>IF(VLOOKUP(N173,Preenchimento!$A:$BV,11,0)=0,"",VLOOKUP(N173,Preenchimento!$A:$BV,11,0))</f>
        <v>#N/A</v>
      </c>
      <c r="O175" s="195"/>
      <c r="P175" s="195"/>
      <c r="Q175" s="195"/>
      <c r="R175" s="196"/>
      <c r="S175" s="123" t="s">
        <v>301</v>
      </c>
      <c r="T175" s="195" t="e">
        <f>IF(VLOOKUP(T173,Preenchimento!$A:$BV,11,0)=0,"",VLOOKUP(T173,Preenchimento!$A:$BV,11,0))</f>
        <v>#N/A</v>
      </c>
      <c r="U175" s="195"/>
      <c r="V175" s="195"/>
      <c r="W175" s="195"/>
      <c r="X175" s="196"/>
    </row>
    <row r="176" spans="1:24" s="130" customFormat="1" ht="33.950000000000003" customHeight="1" x14ac:dyDescent="0.25">
      <c r="A176" s="199" t="str">
        <f>Sitio!$A$3</f>
        <v>Projeto 01</v>
      </c>
      <c r="B176" s="200"/>
      <c r="C176" s="200"/>
      <c r="D176" s="200"/>
      <c r="E176" s="200"/>
      <c r="F176" s="201"/>
      <c r="G176" s="199" t="str">
        <f>Sitio!$A$3</f>
        <v>Projeto 01</v>
      </c>
      <c r="H176" s="200"/>
      <c r="I176" s="200"/>
      <c r="J176" s="200"/>
      <c r="K176" s="200"/>
      <c r="L176" s="201"/>
      <c r="M176" s="199" t="str">
        <f>Sitio!$A$3</f>
        <v>Projeto 01</v>
      </c>
      <c r="N176" s="200"/>
      <c r="O176" s="200"/>
      <c r="P176" s="200"/>
      <c r="Q176" s="200"/>
      <c r="R176" s="201"/>
      <c r="S176" s="199" t="str">
        <f>Sitio!$A$3</f>
        <v>Projeto 01</v>
      </c>
      <c r="T176" s="200"/>
      <c r="U176" s="200"/>
      <c r="V176" s="200"/>
      <c r="W176" s="200"/>
      <c r="X176" s="201"/>
    </row>
    <row r="177" spans="1:24" ht="9.75" customHeight="1" x14ac:dyDescent="0.15">
      <c r="A177" s="121" t="s">
        <v>294</v>
      </c>
      <c r="B177" s="193">
        <f>Sitio!$E$3</f>
        <v>0</v>
      </c>
      <c r="C177" s="193"/>
      <c r="D177" s="193"/>
      <c r="E177" s="193"/>
      <c r="F177" s="194"/>
      <c r="G177" s="121" t="s">
        <v>294</v>
      </c>
      <c r="H177" s="193">
        <f>Sitio!$E$3</f>
        <v>0</v>
      </c>
      <c r="I177" s="193"/>
      <c r="J177" s="193"/>
      <c r="K177" s="193"/>
      <c r="L177" s="194"/>
      <c r="M177" s="121" t="s">
        <v>294</v>
      </c>
      <c r="N177" s="193">
        <f>Sitio!$E$3</f>
        <v>0</v>
      </c>
      <c r="O177" s="193"/>
      <c r="P177" s="193"/>
      <c r="Q177" s="193"/>
      <c r="R177" s="194"/>
      <c r="S177" s="121" t="s">
        <v>294</v>
      </c>
      <c r="T177" s="193">
        <f>Sitio!$E$3</f>
        <v>0</v>
      </c>
      <c r="U177" s="193"/>
      <c r="V177" s="193"/>
      <c r="W177" s="193"/>
      <c r="X177" s="194"/>
    </row>
    <row r="178" spans="1:24" ht="9.75" customHeight="1" x14ac:dyDescent="0.15">
      <c r="A178" s="121" t="s">
        <v>295</v>
      </c>
      <c r="C178" s="193" t="e">
        <f>VLOOKUP(B180,Preenchimento!$A:$BV,2,0)</f>
        <v>#N/A</v>
      </c>
      <c r="D178" s="193" t="e">
        <f>VLOOKUP(C180,Preenchimento!$A:$BV,2,0)</f>
        <v>#N/A</v>
      </c>
      <c r="E178" s="193" t="e">
        <f>VLOOKUP(D180,Preenchimento!$A:$BV,2,0)</f>
        <v>#N/A</v>
      </c>
      <c r="F178" s="194" t="e">
        <f>VLOOKUP(E180,Preenchimento!$A:$BV,2,0)</f>
        <v>#N/A</v>
      </c>
      <c r="G178" s="121" t="s">
        <v>295</v>
      </c>
      <c r="I178" s="193" t="e">
        <f>VLOOKUP(H180,Preenchimento!$A:$BV,2,0)</f>
        <v>#N/A</v>
      </c>
      <c r="J178" s="193" t="e">
        <f>VLOOKUP(I180,Preenchimento!$A:$BV,2,0)</f>
        <v>#N/A</v>
      </c>
      <c r="K178" s="193" t="e">
        <f>VLOOKUP(J180,Preenchimento!$A:$BV,2,0)</f>
        <v>#N/A</v>
      </c>
      <c r="L178" s="194" t="e">
        <f>VLOOKUP(K180,Preenchimento!$A:$BV,2,0)</f>
        <v>#N/A</v>
      </c>
      <c r="M178" s="121" t="s">
        <v>295</v>
      </c>
      <c r="O178" s="193" t="e">
        <f>VLOOKUP(N180,Preenchimento!$A:$BV,2,0)</f>
        <v>#N/A</v>
      </c>
      <c r="P178" s="193" t="e">
        <f>VLOOKUP(O180,Preenchimento!$A:$BV,2,0)</f>
        <v>#N/A</v>
      </c>
      <c r="Q178" s="193" t="e">
        <f>VLOOKUP(P180,Preenchimento!$A:$BV,2,0)</f>
        <v>#N/A</v>
      </c>
      <c r="R178" s="194" t="e">
        <f>VLOOKUP(Q180,Preenchimento!$A:$BV,2,0)</f>
        <v>#N/A</v>
      </c>
      <c r="S178" s="121" t="s">
        <v>295</v>
      </c>
      <c r="U178" s="193" t="e">
        <f>VLOOKUP(T180,Preenchimento!$A:$BV,2,0)</f>
        <v>#N/A</v>
      </c>
      <c r="V178" s="193" t="e">
        <f>VLOOKUP(U180,Preenchimento!$A:$BV,2,0)</f>
        <v>#N/A</v>
      </c>
      <c r="W178" s="193" t="e">
        <f>VLOOKUP(V180,Preenchimento!$A:$BV,2,0)</f>
        <v>#N/A</v>
      </c>
      <c r="X178" s="194" t="e">
        <f>VLOOKUP(W180,Preenchimento!$A:$BV,2,0)</f>
        <v>#N/A</v>
      </c>
    </row>
    <row r="179" spans="1:24" ht="9.75" customHeight="1" x14ac:dyDescent="0.15">
      <c r="A179" s="121" t="s">
        <v>296</v>
      </c>
      <c r="B179" s="193" t="e">
        <f>VLOOKUP(B180,Preenchimento!$A:$BV,3,0)</f>
        <v>#N/A</v>
      </c>
      <c r="C179" s="193" t="e">
        <f>VLOOKUP(C180,Preenchimento!$A:$BV,3,0)</f>
        <v>#N/A</v>
      </c>
      <c r="D179" s="120" t="s">
        <v>297</v>
      </c>
      <c r="E179" s="197" t="e">
        <f>VLOOKUP(B180,Preenchimento!$A:$BV,5,0)</f>
        <v>#N/A</v>
      </c>
      <c r="F179" s="198" t="e">
        <f>VLOOKUP(C180,Preenchimento!$A:$BV,5,0)</f>
        <v>#N/A</v>
      </c>
      <c r="G179" s="121" t="s">
        <v>296</v>
      </c>
      <c r="H179" s="193" t="e">
        <f>VLOOKUP(H180,Preenchimento!$A:$BV,3,0)</f>
        <v>#N/A</v>
      </c>
      <c r="I179" s="193" t="e">
        <f>VLOOKUP(I180,Preenchimento!$A:$BV,3,0)</f>
        <v>#N/A</v>
      </c>
      <c r="J179" s="120" t="s">
        <v>297</v>
      </c>
      <c r="K179" s="197" t="e">
        <f>VLOOKUP(H180,Preenchimento!$A:$BV,5,0)</f>
        <v>#N/A</v>
      </c>
      <c r="L179" s="198" t="e">
        <f>VLOOKUP(I180,Preenchimento!$A:$BV,5,0)</f>
        <v>#N/A</v>
      </c>
      <c r="M179" s="121" t="s">
        <v>296</v>
      </c>
      <c r="N179" s="193" t="e">
        <f>VLOOKUP(N180,Preenchimento!$A:$BV,3,0)</f>
        <v>#N/A</v>
      </c>
      <c r="O179" s="193" t="e">
        <f>VLOOKUP(O180,Preenchimento!$A:$BV,3,0)</f>
        <v>#N/A</v>
      </c>
      <c r="P179" s="120" t="s">
        <v>297</v>
      </c>
      <c r="Q179" s="197" t="e">
        <f>VLOOKUP(N180,Preenchimento!$A:$BV,5,0)</f>
        <v>#N/A</v>
      </c>
      <c r="R179" s="198" t="e">
        <f>VLOOKUP(O180,Preenchimento!$A:$BV,5,0)</f>
        <v>#N/A</v>
      </c>
      <c r="S179" s="121" t="s">
        <v>296</v>
      </c>
      <c r="T179" s="193" t="e">
        <f>VLOOKUP(T180,Preenchimento!$A:$BV,3,0)</f>
        <v>#N/A</v>
      </c>
      <c r="U179" s="193" t="e">
        <f>VLOOKUP(U180,Preenchimento!$A:$BV,3,0)</f>
        <v>#N/A</v>
      </c>
      <c r="V179" s="120" t="s">
        <v>297</v>
      </c>
      <c r="W179" s="197" t="e">
        <f>VLOOKUP(T180,Preenchimento!$A:$BV,5,0)</f>
        <v>#N/A</v>
      </c>
      <c r="X179" s="198" t="e">
        <f>VLOOKUP(U180,Preenchimento!$A:$BV,5,0)</f>
        <v>#N/A</v>
      </c>
    </row>
    <row r="180" spans="1:24" ht="9.75" customHeight="1" x14ac:dyDescent="0.15">
      <c r="A180" s="121" t="s">
        <v>298</v>
      </c>
      <c r="B180" s="193"/>
      <c r="C180" s="193"/>
      <c r="D180" s="120" t="s">
        <v>299</v>
      </c>
      <c r="F180" s="131" t="e">
        <f>VLOOKUP(B180,Preenchimento!$A:$BV,10,0)</f>
        <v>#N/A</v>
      </c>
      <c r="G180" s="121" t="s">
        <v>298</v>
      </c>
      <c r="H180" s="193"/>
      <c r="I180" s="193"/>
      <c r="J180" s="120" t="s">
        <v>299</v>
      </c>
      <c r="L180" s="131" t="e">
        <f>VLOOKUP(H180,Preenchimento!$A:$BV,10,0)</f>
        <v>#N/A</v>
      </c>
      <c r="M180" s="121" t="s">
        <v>298</v>
      </c>
      <c r="N180" s="193"/>
      <c r="O180" s="193"/>
      <c r="P180" s="120" t="s">
        <v>299</v>
      </c>
      <c r="R180" s="131" t="e">
        <f>VLOOKUP(N180,Preenchimento!$A:$BV,10,0)</f>
        <v>#N/A</v>
      </c>
      <c r="S180" s="121" t="s">
        <v>298</v>
      </c>
      <c r="T180" s="193"/>
      <c r="U180" s="193"/>
      <c r="V180" s="120" t="s">
        <v>299</v>
      </c>
      <c r="X180" s="131" t="e">
        <f>VLOOKUP(T180,Preenchimento!$A:$BV,10,0)</f>
        <v>#N/A</v>
      </c>
    </row>
    <row r="181" spans="1:24" ht="9.75" customHeight="1" x14ac:dyDescent="0.15">
      <c r="A181" s="121" t="s">
        <v>300</v>
      </c>
      <c r="C181" s="193" t="e">
        <f>VLOOKUP(B180,Preenchimento!$A:$BV,12,0)</f>
        <v>#N/A</v>
      </c>
      <c r="D181" s="193" t="e">
        <f>VLOOKUP(C180,Preenchimento!$A:$BV,12,0)</f>
        <v>#N/A</v>
      </c>
      <c r="E181" s="193" t="e">
        <f>VLOOKUP(D180,Preenchimento!$A:$BV,12,0)</f>
        <v>#N/A</v>
      </c>
      <c r="F181" s="194" t="e">
        <f>VLOOKUP(E180,Preenchimento!$A:$BV,12,0)</f>
        <v>#N/A</v>
      </c>
      <c r="G181" s="121" t="s">
        <v>300</v>
      </c>
      <c r="I181" s="193" t="e">
        <f>VLOOKUP(H180,Preenchimento!$A:$BV,12,0)</f>
        <v>#N/A</v>
      </c>
      <c r="J181" s="193" t="e">
        <f>VLOOKUP(I180,Preenchimento!$A:$BV,12,0)</f>
        <v>#N/A</v>
      </c>
      <c r="K181" s="193" t="e">
        <f>VLOOKUP(J180,Preenchimento!$A:$BV,12,0)</f>
        <v>#N/A</v>
      </c>
      <c r="L181" s="194" t="e">
        <f>VLOOKUP(K180,Preenchimento!$A:$BV,12,0)</f>
        <v>#N/A</v>
      </c>
      <c r="M181" s="121" t="s">
        <v>300</v>
      </c>
      <c r="O181" s="193" t="e">
        <f>VLOOKUP(N180,Preenchimento!$A:$BV,12,0)</f>
        <v>#N/A</v>
      </c>
      <c r="P181" s="193" t="e">
        <f>VLOOKUP(O180,Preenchimento!$A:$BV,12,0)</f>
        <v>#N/A</v>
      </c>
      <c r="Q181" s="193" t="e">
        <f>VLOOKUP(P180,Preenchimento!$A:$BV,12,0)</f>
        <v>#N/A</v>
      </c>
      <c r="R181" s="194" t="e">
        <f>VLOOKUP(Q180,Preenchimento!$A:$BV,12,0)</f>
        <v>#N/A</v>
      </c>
      <c r="S181" s="121" t="s">
        <v>300</v>
      </c>
      <c r="U181" s="193" t="e">
        <f>VLOOKUP(T180,Preenchimento!$A:$BV,12,0)</f>
        <v>#N/A</v>
      </c>
      <c r="V181" s="193" t="e">
        <f>VLOOKUP(U180,Preenchimento!$A:$BV,12,0)</f>
        <v>#N/A</v>
      </c>
      <c r="W181" s="193" t="e">
        <f>VLOOKUP(V180,Preenchimento!$A:$BV,12,0)</f>
        <v>#N/A</v>
      </c>
      <c r="X181" s="194" t="e">
        <f>VLOOKUP(W180,Preenchimento!$A:$BV,12,0)</f>
        <v>#N/A</v>
      </c>
    </row>
    <row r="182" spans="1:24" ht="9.75" customHeight="1" x14ac:dyDescent="0.15">
      <c r="A182" s="123" t="s">
        <v>301</v>
      </c>
      <c r="B182" s="195" t="e">
        <f>IF(VLOOKUP(B180,Preenchimento!$A:$BV,11,0)=0,"",VLOOKUP(B180,Preenchimento!$A:$BV,11,0))</f>
        <v>#N/A</v>
      </c>
      <c r="C182" s="195"/>
      <c r="D182" s="195"/>
      <c r="E182" s="195"/>
      <c r="F182" s="196"/>
      <c r="G182" s="123" t="s">
        <v>301</v>
      </c>
      <c r="H182" s="195" t="e">
        <f>IF(VLOOKUP(H180,Preenchimento!$A:$BV,11,0)=0,"",VLOOKUP(H180,Preenchimento!$A:$BV,11,0))</f>
        <v>#N/A</v>
      </c>
      <c r="I182" s="195"/>
      <c r="J182" s="195"/>
      <c r="K182" s="195"/>
      <c r="L182" s="196"/>
      <c r="M182" s="123" t="s">
        <v>301</v>
      </c>
      <c r="N182" s="195" t="e">
        <f>IF(VLOOKUP(N180,Preenchimento!$A:$BV,11,0)=0,"",VLOOKUP(N180,Preenchimento!$A:$BV,11,0))</f>
        <v>#N/A</v>
      </c>
      <c r="O182" s="195"/>
      <c r="P182" s="195"/>
      <c r="Q182" s="195"/>
      <c r="R182" s="196"/>
      <c r="S182" s="123" t="s">
        <v>301</v>
      </c>
      <c r="T182" s="195" t="e">
        <f>IF(VLOOKUP(T180,Preenchimento!$A:$BV,11,0)=0,"",VLOOKUP(T180,Preenchimento!$A:$BV,11,0))</f>
        <v>#N/A</v>
      </c>
      <c r="U182" s="195"/>
      <c r="V182" s="195"/>
      <c r="W182" s="195"/>
      <c r="X182" s="196"/>
    </row>
    <row r="183" spans="1:24" s="130" customFormat="1" ht="33.950000000000003" customHeight="1" x14ac:dyDescent="0.25">
      <c r="A183" s="199" t="str">
        <f>Sitio!$A$3</f>
        <v>Projeto 01</v>
      </c>
      <c r="B183" s="200"/>
      <c r="C183" s="200"/>
      <c r="D183" s="200"/>
      <c r="E183" s="200"/>
      <c r="F183" s="201"/>
      <c r="G183" s="199" t="str">
        <f>Sitio!$A$3</f>
        <v>Projeto 01</v>
      </c>
      <c r="H183" s="200"/>
      <c r="I183" s="200"/>
      <c r="J183" s="200"/>
      <c r="K183" s="200"/>
      <c r="L183" s="201"/>
      <c r="M183" s="199" t="str">
        <f>Sitio!$A$3</f>
        <v>Projeto 01</v>
      </c>
      <c r="N183" s="200"/>
      <c r="O183" s="200"/>
      <c r="P183" s="200"/>
      <c r="Q183" s="200"/>
      <c r="R183" s="201"/>
      <c r="S183" s="199" t="str">
        <f>Sitio!$A$3</f>
        <v>Projeto 01</v>
      </c>
      <c r="T183" s="200"/>
      <c r="U183" s="200"/>
      <c r="V183" s="200"/>
      <c r="W183" s="200"/>
      <c r="X183" s="201"/>
    </row>
    <row r="184" spans="1:24" ht="9.75" customHeight="1" x14ac:dyDescent="0.15">
      <c r="A184" s="121" t="s">
        <v>294</v>
      </c>
      <c r="B184" s="193">
        <f>Sitio!$E$3</f>
        <v>0</v>
      </c>
      <c r="C184" s="193"/>
      <c r="D184" s="193"/>
      <c r="E184" s="193"/>
      <c r="F184" s="194"/>
      <c r="G184" s="121" t="s">
        <v>294</v>
      </c>
      <c r="H184" s="193">
        <f>Sitio!$E$3</f>
        <v>0</v>
      </c>
      <c r="I184" s="193"/>
      <c r="J184" s="193"/>
      <c r="K184" s="193"/>
      <c r="L184" s="194"/>
      <c r="M184" s="121" t="s">
        <v>294</v>
      </c>
      <c r="N184" s="193">
        <f>Sitio!$E$3</f>
        <v>0</v>
      </c>
      <c r="O184" s="193"/>
      <c r="P184" s="193"/>
      <c r="Q184" s="193"/>
      <c r="R184" s="194"/>
      <c r="S184" s="121" t="s">
        <v>294</v>
      </c>
      <c r="T184" s="193">
        <f>Sitio!$E$3</f>
        <v>0</v>
      </c>
      <c r="U184" s="193"/>
      <c r="V184" s="193"/>
      <c r="W184" s="193"/>
      <c r="X184" s="194"/>
    </row>
    <row r="185" spans="1:24" ht="9.75" customHeight="1" x14ac:dyDescent="0.15">
      <c r="A185" s="121" t="s">
        <v>295</v>
      </c>
      <c r="C185" s="193" t="e">
        <f>VLOOKUP(B187,Preenchimento!$A:$BV,2,0)</f>
        <v>#N/A</v>
      </c>
      <c r="D185" s="193" t="e">
        <f>VLOOKUP(C187,Preenchimento!$A:$BV,2,0)</f>
        <v>#N/A</v>
      </c>
      <c r="E185" s="193" t="e">
        <f>VLOOKUP(D187,Preenchimento!$A:$BV,2,0)</f>
        <v>#N/A</v>
      </c>
      <c r="F185" s="194" t="e">
        <f>VLOOKUP(E187,Preenchimento!$A:$BV,2,0)</f>
        <v>#N/A</v>
      </c>
      <c r="G185" s="121" t="s">
        <v>295</v>
      </c>
      <c r="I185" s="193" t="e">
        <f>VLOOKUP(H187,Preenchimento!$A:$BV,2,0)</f>
        <v>#N/A</v>
      </c>
      <c r="J185" s="193" t="e">
        <f>VLOOKUP(I187,Preenchimento!$A:$BV,2,0)</f>
        <v>#N/A</v>
      </c>
      <c r="K185" s="193" t="e">
        <f>VLOOKUP(J187,Preenchimento!$A:$BV,2,0)</f>
        <v>#N/A</v>
      </c>
      <c r="L185" s="194" t="e">
        <f>VLOOKUP(K187,Preenchimento!$A:$BV,2,0)</f>
        <v>#N/A</v>
      </c>
      <c r="M185" s="121" t="s">
        <v>295</v>
      </c>
      <c r="O185" s="193" t="e">
        <f>VLOOKUP(N187,Preenchimento!$A:$BV,2,0)</f>
        <v>#N/A</v>
      </c>
      <c r="P185" s="193" t="e">
        <f>VLOOKUP(O187,Preenchimento!$A:$BV,2,0)</f>
        <v>#N/A</v>
      </c>
      <c r="Q185" s="193" t="e">
        <f>VLOOKUP(P187,Preenchimento!$A:$BV,2,0)</f>
        <v>#N/A</v>
      </c>
      <c r="R185" s="194" t="e">
        <f>VLOOKUP(Q187,Preenchimento!$A:$BV,2,0)</f>
        <v>#N/A</v>
      </c>
      <c r="S185" s="121" t="s">
        <v>295</v>
      </c>
      <c r="U185" s="193" t="e">
        <f>VLOOKUP(T187,Preenchimento!$A:$BV,2,0)</f>
        <v>#N/A</v>
      </c>
      <c r="V185" s="193" t="e">
        <f>VLOOKUP(U187,Preenchimento!$A:$BV,2,0)</f>
        <v>#N/A</v>
      </c>
      <c r="W185" s="193" t="e">
        <f>VLOOKUP(V187,Preenchimento!$A:$BV,2,0)</f>
        <v>#N/A</v>
      </c>
      <c r="X185" s="194" t="e">
        <f>VLOOKUP(W187,Preenchimento!$A:$BV,2,0)</f>
        <v>#N/A</v>
      </c>
    </row>
    <row r="186" spans="1:24" ht="9.75" customHeight="1" x14ac:dyDescent="0.15">
      <c r="A186" s="121" t="s">
        <v>296</v>
      </c>
      <c r="B186" s="193" t="e">
        <f>VLOOKUP(B187,Preenchimento!$A:$BV,3,0)</f>
        <v>#N/A</v>
      </c>
      <c r="C186" s="193" t="e">
        <f>VLOOKUP(C187,Preenchimento!$A:$BV,3,0)</f>
        <v>#N/A</v>
      </c>
      <c r="D186" s="120" t="s">
        <v>297</v>
      </c>
      <c r="E186" s="197" t="e">
        <f>VLOOKUP(B187,Preenchimento!$A:$BV,5,0)</f>
        <v>#N/A</v>
      </c>
      <c r="F186" s="198" t="e">
        <f>VLOOKUP(C187,Preenchimento!$A:$BV,5,0)</f>
        <v>#N/A</v>
      </c>
      <c r="G186" s="121" t="s">
        <v>296</v>
      </c>
      <c r="H186" s="193" t="e">
        <f>VLOOKUP(H187,Preenchimento!$A:$BV,3,0)</f>
        <v>#N/A</v>
      </c>
      <c r="I186" s="193" t="e">
        <f>VLOOKUP(I187,Preenchimento!$A:$BV,3,0)</f>
        <v>#N/A</v>
      </c>
      <c r="J186" s="120" t="s">
        <v>297</v>
      </c>
      <c r="K186" s="197" t="e">
        <f>VLOOKUP(H187,Preenchimento!$A:$BV,5,0)</f>
        <v>#N/A</v>
      </c>
      <c r="L186" s="198" t="e">
        <f>VLOOKUP(I187,Preenchimento!$A:$BV,5,0)</f>
        <v>#N/A</v>
      </c>
      <c r="M186" s="121" t="s">
        <v>296</v>
      </c>
      <c r="N186" s="193" t="e">
        <f>VLOOKUP(N187,Preenchimento!$A:$BV,3,0)</f>
        <v>#N/A</v>
      </c>
      <c r="O186" s="193" t="e">
        <f>VLOOKUP(O187,Preenchimento!$A:$BV,3,0)</f>
        <v>#N/A</v>
      </c>
      <c r="P186" s="120" t="s">
        <v>297</v>
      </c>
      <c r="Q186" s="197" t="e">
        <f>VLOOKUP(N187,Preenchimento!$A:$BV,5,0)</f>
        <v>#N/A</v>
      </c>
      <c r="R186" s="198" t="e">
        <f>VLOOKUP(O187,Preenchimento!$A:$BV,5,0)</f>
        <v>#N/A</v>
      </c>
      <c r="S186" s="121" t="s">
        <v>296</v>
      </c>
      <c r="T186" s="193" t="e">
        <f>VLOOKUP(T187,Preenchimento!$A:$BV,3,0)</f>
        <v>#N/A</v>
      </c>
      <c r="U186" s="193" t="e">
        <f>VLOOKUP(U187,Preenchimento!$A:$BV,3,0)</f>
        <v>#N/A</v>
      </c>
      <c r="V186" s="120" t="s">
        <v>297</v>
      </c>
      <c r="W186" s="197" t="e">
        <f>VLOOKUP(T187,Preenchimento!$A:$BV,5,0)</f>
        <v>#N/A</v>
      </c>
      <c r="X186" s="198" t="e">
        <f>VLOOKUP(U187,Preenchimento!$A:$BV,5,0)</f>
        <v>#N/A</v>
      </c>
    </row>
    <row r="187" spans="1:24" ht="9.75" customHeight="1" x14ac:dyDescent="0.15">
      <c r="A187" s="121" t="s">
        <v>298</v>
      </c>
      <c r="B187" s="193"/>
      <c r="C187" s="193"/>
      <c r="D187" s="120" t="s">
        <v>299</v>
      </c>
      <c r="F187" s="131" t="e">
        <f>VLOOKUP(B187,Preenchimento!$A:$BV,10,0)</f>
        <v>#N/A</v>
      </c>
      <c r="G187" s="121" t="s">
        <v>298</v>
      </c>
      <c r="H187" s="193"/>
      <c r="I187" s="193"/>
      <c r="J187" s="120" t="s">
        <v>299</v>
      </c>
      <c r="L187" s="131" t="e">
        <f>VLOOKUP(H187,Preenchimento!$A:$BV,10,0)</f>
        <v>#N/A</v>
      </c>
      <c r="M187" s="121" t="s">
        <v>298</v>
      </c>
      <c r="N187" s="193"/>
      <c r="O187" s="193"/>
      <c r="P187" s="120" t="s">
        <v>299</v>
      </c>
      <c r="R187" s="131" t="e">
        <f>VLOOKUP(N187,Preenchimento!$A:$BV,10,0)</f>
        <v>#N/A</v>
      </c>
      <c r="S187" s="121" t="s">
        <v>298</v>
      </c>
      <c r="T187" s="193"/>
      <c r="U187" s="193"/>
      <c r="V187" s="120" t="s">
        <v>299</v>
      </c>
      <c r="X187" s="131" t="e">
        <f>VLOOKUP(T187,Preenchimento!$A:$BV,10,0)</f>
        <v>#N/A</v>
      </c>
    </row>
    <row r="188" spans="1:24" ht="9.75" customHeight="1" x14ac:dyDescent="0.15">
      <c r="A188" s="121" t="s">
        <v>300</v>
      </c>
      <c r="C188" s="193" t="e">
        <f>VLOOKUP(B187,Preenchimento!$A:$BV,12,0)</f>
        <v>#N/A</v>
      </c>
      <c r="D188" s="193" t="e">
        <f>VLOOKUP(C187,Preenchimento!$A:$BV,12,0)</f>
        <v>#N/A</v>
      </c>
      <c r="E188" s="193" t="e">
        <f>VLOOKUP(D187,Preenchimento!$A:$BV,12,0)</f>
        <v>#N/A</v>
      </c>
      <c r="F188" s="194" t="e">
        <f>VLOOKUP(E187,Preenchimento!$A:$BV,12,0)</f>
        <v>#N/A</v>
      </c>
      <c r="G188" s="121" t="s">
        <v>300</v>
      </c>
      <c r="I188" s="193" t="e">
        <f>VLOOKUP(H187,Preenchimento!$A:$BV,12,0)</f>
        <v>#N/A</v>
      </c>
      <c r="J188" s="193" t="e">
        <f>VLOOKUP(I187,Preenchimento!$A:$BV,12,0)</f>
        <v>#N/A</v>
      </c>
      <c r="K188" s="193" t="e">
        <f>VLOOKUP(J187,Preenchimento!$A:$BV,12,0)</f>
        <v>#N/A</v>
      </c>
      <c r="L188" s="194" t="e">
        <f>VLOOKUP(K187,Preenchimento!$A:$BV,12,0)</f>
        <v>#N/A</v>
      </c>
      <c r="M188" s="121" t="s">
        <v>300</v>
      </c>
      <c r="O188" s="193" t="e">
        <f>VLOOKUP(N187,Preenchimento!$A:$BV,12,0)</f>
        <v>#N/A</v>
      </c>
      <c r="P188" s="193" t="e">
        <f>VLOOKUP(O187,Preenchimento!$A:$BV,12,0)</f>
        <v>#N/A</v>
      </c>
      <c r="Q188" s="193" t="e">
        <f>VLOOKUP(P187,Preenchimento!$A:$BV,12,0)</f>
        <v>#N/A</v>
      </c>
      <c r="R188" s="194" t="e">
        <f>VLOOKUP(Q187,Preenchimento!$A:$BV,12,0)</f>
        <v>#N/A</v>
      </c>
      <c r="S188" s="121" t="s">
        <v>300</v>
      </c>
      <c r="U188" s="193" t="e">
        <f>VLOOKUP(T187,Preenchimento!$A:$BV,12,0)</f>
        <v>#N/A</v>
      </c>
      <c r="V188" s="193" t="e">
        <f>VLOOKUP(U187,Preenchimento!$A:$BV,12,0)</f>
        <v>#N/A</v>
      </c>
      <c r="W188" s="193" t="e">
        <f>VLOOKUP(V187,Preenchimento!$A:$BV,12,0)</f>
        <v>#N/A</v>
      </c>
      <c r="X188" s="194" t="e">
        <f>VLOOKUP(W187,Preenchimento!$A:$BV,12,0)</f>
        <v>#N/A</v>
      </c>
    </row>
    <row r="189" spans="1:24" ht="9.75" customHeight="1" x14ac:dyDescent="0.15">
      <c r="A189" s="123" t="s">
        <v>301</v>
      </c>
      <c r="B189" s="195" t="e">
        <f>IF(VLOOKUP(B187,Preenchimento!$A:$BV,11,0)=0,"",VLOOKUP(B187,Preenchimento!$A:$BV,11,0))</f>
        <v>#N/A</v>
      </c>
      <c r="C189" s="195"/>
      <c r="D189" s="195"/>
      <c r="E189" s="195"/>
      <c r="F189" s="196"/>
      <c r="G189" s="123" t="s">
        <v>301</v>
      </c>
      <c r="H189" s="195" t="e">
        <f>IF(VLOOKUP(H187,Preenchimento!$A:$BV,11,0)=0,"",VLOOKUP(H187,Preenchimento!$A:$BV,11,0))</f>
        <v>#N/A</v>
      </c>
      <c r="I189" s="195"/>
      <c r="J189" s="195"/>
      <c r="K189" s="195"/>
      <c r="L189" s="196"/>
      <c r="M189" s="123" t="s">
        <v>301</v>
      </c>
      <c r="N189" s="195" t="e">
        <f>IF(VLOOKUP(N187,Preenchimento!$A:$BV,11,0)=0,"",VLOOKUP(N187,Preenchimento!$A:$BV,11,0))</f>
        <v>#N/A</v>
      </c>
      <c r="O189" s="195"/>
      <c r="P189" s="195"/>
      <c r="Q189" s="195"/>
      <c r="R189" s="196"/>
      <c r="S189" s="123" t="s">
        <v>301</v>
      </c>
      <c r="T189" s="195" t="e">
        <f>IF(VLOOKUP(T187,Preenchimento!$A:$BV,11,0)=0,"",VLOOKUP(T187,Preenchimento!$A:$BV,11,0))</f>
        <v>#N/A</v>
      </c>
      <c r="U189" s="195"/>
      <c r="V189" s="195"/>
      <c r="W189" s="195"/>
      <c r="X189" s="196"/>
    </row>
    <row r="190" spans="1:24" s="130" customFormat="1" ht="33.950000000000003" customHeight="1" x14ac:dyDescent="0.25">
      <c r="A190" s="199" t="str">
        <f>Sitio!$A$3</f>
        <v>Projeto 01</v>
      </c>
      <c r="B190" s="200"/>
      <c r="C190" s="200"/>
      <c r="D190" s="200"/>
      <c r="E190" s="200"/>
      <c r="F190" s="201"/>
      <c r="G190" s="199" t="str">
        <f>Sitio!$A$3</f>
        <v>Projeto 01</v>
      </c>
      <c r="H190" s="200"/>
      <c r="I190" s="200"/>
      <c r="J190" s="200"/>
      <c r="K190" s="200"/>
      <c r="L190" s="201"/>
      <c r="M190" s="199" t="str">
        <f>Sitio!$A$3</f>
        <v>Projeto 01</v>
      </c>
      <c r="N190" s="200"/>
      <c r="O190" s="200"/>
      <c r="P190" s="200"/>
      <c r="Q190" s="200"/>
      <c r="R190" s="201"/>
      <c r="S190" s="199" t="str">
        <f>Sitio!$A$3</f>
        <v>Projeto 01</v>
      </c>
      <c r="T190" s="200"/>
      <c r="U190" s="200"/>
      <c r="V190" s="200"/>
      <c r="W190" s="200"/>
      <c r="X190" s="201"/>
    </row>
    <row r="191" spans="1:24" ht="9.75" customHeight="1" x14ac:dyDescent="0.15">
      <c r="A191" s="121" t="s">
        <v>294</v>
      </c>
      <c r="B191" s="193">
        <f>Sitio!$E$3</f>
        <v>0</v>
      </c>
      <c r="C191" s="193"/>
      <c r="D191" s="193"/>
      <c r="E191" s="193"/>
      <c r="F191" s="194"/>
      <c r="G191" s="121" t="s">
        <v>294</v>
      </c>
      <c r="H191" s="193">
        <f>Sitio!$E$3</f>
        <v>0</v>
      </c>
      <c r="I191" s="193"/>
      <c r="J191" s="193"/>
      <c r="K191" s="193"/>
      <c r="L191" s="194"/>
      <c r="M191" s="121" t="s">
        <v>294</v>
      </c>
      <c r="N191" s="193">
        <f>Sitio!$E$3</f>
        <v>0</v>
      </c>
      <c r="O191" s="193"/>
      <c r="P191" s="193"/>
      <c r="Q191" s="193"/>
      <c r="R191" s="194"/>
      <c r="S191" s="121" t="s">
        <v>294</v>
      </c>
      <c r="T191" s="193">
        <f>Sitio!$E$3</f>
        <v>0</v>
      </c>
      <c r="U191" s="193"/>
      <c r="V191" s="193"/>
      <c r="W191" s="193"/>
      <c r="X191" s="194"/>
    </row>
    <row r="192" spans="1:24" ht="9.75" customHeight="1" x14ac:dyDescent="0.15">
      <c r="A192" s="121" t="s">
        <v>295</v>
      </c>
      <c r="C192" s="193" t="e">
        <f>VLOOKUP(B194,Preenchimento!$A:$BV,2,0)</f>
        <v>#N/A</v>
      </c>
      <c r="D192" s="193" t="e">
        <f>VLOOKUP(C194,Preenchimento!$A:$BV,2,0)</f>
        <v>#N/A</v>
      </c>
      <c r="E192" s="193" t="e">
        <f>VLOOKUP(D194,Preenchimento!$A:$BV,2,0)</f>
        <v>#N/A</v>
      </c>
      <c r="F192" s="194" t="e">
        <f>VLOOKUP(E194,Preenchimento!$A:$BV,2,0)</f>
        <v>#N/A</v>
      </c>
      <c r="G192" s="121" t="s">
        <v>295</v>
      </c>
      <c r="I192" s="193" t="e">
        <f>VLOOKUP(H194,Preenchimento!$A:$BV,2,0)</f>
        <v>#N/A</v>
      </c>
      <c r="J192" s="193" t="e">
        <f>VLOOKUP(I194,Preenchimento!$A:$BV,2,0)</f>
        <v>#N/A</v>
      </c>
      <c r="K192" s="193" t="e">
        <f>VLOOKUP(J194,Preenchimento!$A:$BV,2,0)</f>
        <v>#N/A</v>
      </c>
      <c r="L192" s="194" t="e">
        <f>VLOOKUP(K194,Preenchimento!$A:$BV,2,0)</f>
        <v>#N/A</v>
      </c>
      <c r="M192" s="121" t="s">
        <v>295</v>
      </c>
      <c r="O192" s="193" t="e">
        <f>VLOOKUP(N194,Preenchimento!$A:$BV,2,0)</f>
        <v>#N/A</v>
      </c>
      <c r="P192" s="193" t="e">
        <f>VLOOKUP(O194,Preenchimento!$A:$BV,2,0)</f>
        <v>#N/A</v>
      </c>
      <c r="Q192" s="193" t="e">
        <f>VLOOKUP(P194,Preenchimento!$A:$BV,2,0)</f>
        <v>#N/A</v>
      </c>
      <c r="R192" s="194" t="e">
        <f>VLOOKUP(Q194,Preenchimento!$A:$BV,2,0)</f>
        <v>#N/A</v>
      </c>
      <c r="S192" s="121" t="s">
        <v>295</v>
      </c>
      <c r="U192" s="193" t="e">
        <f>VLOOKUP(T194,Preenchimento!$A:$BV,2,0)</f>
        <v>#N/A</v>
      </c>
      <c r="V192" s="193" t="e">
        <f>VLOOKUP(U194,Preenchimento!$A:$BV,2,0)</f>
        <v>#N/A</v>
      </c>
      <c r="W192" s="193" t="e">
        <f>VLOOKUP(V194,Preenchimento!$A:$BV,2,0)</f>
        <v>#N/A</v>
      </c>
      <c r="X192" s="194" t="e">
        <f>VLOOKUP(W194,Preenchimento!$A:$BV,2,0)</f>
        <v>#N/A</v>
      </c>
    </row>
    <row r="193" spans="1:24" ht="9.75" customHeight="1" x14ac:dyDescent="0.15">
      <c r="A193" s="121" t="s">
        <v>296</v>
      </c>
      <c r="B193" s="193" t="e">
        <f>VLOOKUP(B194,Preenchimento!$A:$BV,3,0)</f>
        <v>#N/A</v>
      </c>
      <c r="C193" s="193" t="e">
        <f>VLOOKUP(C194,Preenchimento!$A:$BV,3,0)</f>
        <v>#N/A</v>
      </c>
      <c r="D193" s="120" t="s">
        <v>297</v>
      </c>
      <c r="E193" s="197" t="e">
        <f>VLOOKUP(B194,Preenchimento!$A:$BV,5,0)</f>
        <v>#N/A</v>
      </c>
      <c r="F193" s="198" t="e">
        <f>VLOOKUP(C194,Preenchimento!$A:$BV,5,0)</f>
        <v>#N/A</v>
      </c>
      <c r="G193" s="121" t="s">
        <v>296</v>
      </c>
      <c r="H193" s="193" t="e">
        <f>VLOOKUP(H194,Preenchimento!$A:$BV,3,0)</f>
        <v>#N/A</v>
      </c>
      <c r="I193" s="193" t="e">
        <f>VLOOKUP(I194,Preenchimento!$A:$BV,3,0)</f>
        <v>#N/A</v>
      </c>
      <c r="J193" s="120" t="s">
        <v>297</v>
      </c>
      <c r="K193" s="197" t="e">
        <f>VLOOKUP(H194,Preenchimento!$A:$BV,5,0)</f>
        <v>#N/A</v>
      </c>
      <c r="L193" s="198" t="e">
        <f>VLOOKUP(I194,Preenchimento!$A:$BV,5,0)</f>
        <v>#N/A</v>
      </c>
      <c r="M193" s="121" t="s">
        <v>296</v>
      </c>
      <c r="N193" s="193" t="e">
        <f>VLOOKUP(N194,Preenchimento!$A:$BV,3,0)</f>
        <v>#N/A</v>
      </c>
      <c r="O193" s="193" t="e">
        <f>VLOOKUP(O194,Preenchimento!$A:$BV,3,0)</f>
        <v>#N/A</v>
      </c>
      <c r="P193" s="120" t="s">
        <v>297</v>
      </c>
      <c r="Q193" s="197" t="e">
        <f>VLOOKUP(N194,Preenchimento!$A:$BV,5,0)</f>
        <v>#N/A</v>
      </c>
      <c r="R193" s="198" t="e">
        <f>VLOOKUP(O194,Preenchimento!$A:$BV,5,0)</f>
        <v>#N/A</v>
      </c>
      <c r="S193" s="121" t="s">
        <v>296</v>
      </c>
      <c r="T193" s="193" t="e">
        <f>VLOOKUP(T194,Preenchimento!$A:$BV,3,0)</f>
        <v>#N/A</v>
      </c>
      <c r="U193" s="193" t="e">
        <f>VLOOKUP(U194,Preenchimento!$A:$BV,3,0)</f>
        <v>#N/A</v>
      </c>
      <c r="V193" s="120" t="s">
        <v>297</v>
      </c>
      <c r="W193" s="197" t="e">
        <f>VLOOKUP(T194,Preenchimento!$A:$BV,5,0)</f>
        <v>#N/A</v>
      </c>
      <c r="X193" s="198" t="e">
        <f>VLOOKUP(U194,Preenchimento!$A:$BV,5,0)</f>
        <v>#N/A</v>
      </c>
    </row>
    <row r="194" spans="1:24" ht="9.75" customHeight="1" x14ac:dyDescent="0.15">
      <c r="A194" s="121" t="s">
        <v>298</v>
      </c>
      <c r="B194" s="193"/>
      <c r="C194" s="193"/>
      <c r="D194" s="120" t="s">
        <v>299</v>
      </c>
      <c r="F194" s="131" t="e">
        <f>VLOOKUP(B194,Preenchimento!$A:$BV,10,0)</f>
        <v>#N/A</v>
      </c>
      <c r="G194" s="121" t="s">
        <v>298</v>
      </c>
      <c r="H194" s="193"/>
      <c r="I194" s="193"/>
      <c r="J194" s="120" t="s">
        <v>299</v>
      </c>
      <c r="L194" s="131" t="e">
        <f>VLOOKUP(H194,Preenchimento!$A:$BV,10,0)</f>
        <v>#N/A</v>
      </c>
      <c r="M194" s="121" t="s">
        <v>298</v>
      </c>
      <c r="N194" s="193"/>
      <c r="O194" s="193"/>
      <c r="P194" s="120" t="s">
        <v>299</v>
      </c>
      <c r="R194" s="131" t="e">
        <f>VLOOKUP(N194,Preenchimento!$A:$BV,10,0)</f>
        <v>#N/A</v>
      </c>
      <c r="S194" s="121" t="s">
        <v>298</v>
      </c>
      <c r="T194" s="193"/>
      <c r="U194" s="193"/>
      <c r="V194" s="120" t="s">
        <v>299</v>
      </c>
      <c r="X194" s="131" t="e">
        <f>VLOOKUP(T194,Preenchimento!$A:$BV,10,0)</f>
        <v>#N/A</v>
      </c>
    </row>
    <row r="195" spans="1:24" ht="9.75" customHeight="1" x14ac:dyDescent="0.15">
      <c r="A195" s="121" t="s">
        <v>300</v>
      </c>
      <c r="C195" s="193" t="e">
        <f>VLOOKUP(B194,Preenchimento!$A:$BV,12,0)</f>
        <v>#N/A</v>
      </c>
      <c r="D195" s="193" t="e">
        <f>VLOOKUP(C194,Preenchimento!$A:$BV,12,0)</f>
        <v>#N/A</v>
      </c>
      <c r="E195" s="193" t="e">
        <f>VLOOKUP(D194,Preenchimento!$A:$BV,12,0)</f>
        <v>#N/A</v>
      </c>
      <c r="F195" s="194" t="e">
        <f>VLOOKUP(E194,Preenchimento!$A:$BV,12,0)</f>
        <v>#N/A</v>
      </c>
      <c r="G195" s="121" t="s">
        <v>300</v>
      </c>
      <c r="I195" s="193" t="e">
        <f>VLOOKUP(H194,Preenchimento!$A:$BV,12,0)</f>
        <v>#N/A</v>
      </c>
      <c r="J195" s="193" t="e">
        <f>VLOOKUP(I194,Preenchimento!$A:$BV,12,0)</f>
        <v>#N/A</v>
      </c>
      <c r="K195" s="193" t="e">
        <f>VLOOKUP(J194,Preenchimento!$A:$BV,12,0)</f>
        <v>#N/A</v>
      </c>
      <c r="L195" s="194" t="e">
        <f>VLOOKUP(K194,Preenchimento!$A:$BV,12,0)</f>
        <v>#N/A</v>
      </c>
      <c r="M195" s="121" t="s">
        <v>300</v>
      </c>
      <c r="O195" s="193" t="e">
        <f>VLOOKUP(N194,Preenchimento!$A:$BV,12,0)</f>
        <v>#N/A</v>
      </c>
      <c r="P195" s="193" t="e">
        <f>VLOOKUP(O194,Preenchimento!$A:$BV,12,0)</f>
        <v>#N/A</v>
      </c>
      <c r="Q195" s="193" t="e">
        <f>VLOOKUP(P194,Preenchimento!$A:$BV,12,0)</f>
        <v>#N/A</v>
      </c>
      <c r="R195" s="194" t="e">
        <f>VLOOKUP(Q194,Preenchimento!$A:$BV,12,0)</f>
        <v>#N/A</v>
      </c>
      <c r="S195" s="121" t="s">
        <v>300</v>
      </c>
      <c r="U195" s="193" t="e">
        <f>VLOOKUP(T194,Preenchimento!$A:$BV,12,0)</f>
        <v>#N/A</v>
      </c>
      <c r="V195" s="193" t="e">
        <f>VLOOKUP(U194,Preenchimento!$A:$BV,12,0)</f>
        <v>#N/A</v>
      </c>
      <c r="W195" s="193" t="e">
        <f>VLOOKUP(V194,Preenchimento!$A:$BV,12,0)</f>
        <v>#N/A</v>
      </c>
      <c r="X195" s="194" t="e">
        <f>VLOOKUP(W194,Preenchimento!$A:$BV,12,0)</f>
        <v>#N/A</v>
      </c>
    </row>
    <row r="196" spans="1:24" ht="9.75" customHeight="1" x14ac:dyDescent="0.15">
      <c r="A196" s="123" t="s">
        <v>301</v>
      </c>
      <c r="B196" s="195" t="e">
        <f>IF(VLOOKUP(B194,Preenchimento!$A:$BV,11,0)=0,"",VLOOKUP(B194,Preenchimento!$A:$BV,11,0))</f>
        <v>#N/A</v>
      </c>
      <c r="C196" s="195"/>
      <c r="D196" s="195"/>
      <c r="E196" s="195"/>
      <c r="F196" s="196"/>
      <c r="G196" s="123" t="s">
        <v>301</v>
      </c>
      <c r="H196" s="195" t="e">
        <f>IF(VLOOKUP(H194,Preenchimento!$A:$BV,11,0)=0,"",VLOOKUP(H194,Preenchimento!$A:$BV,11,0))</f>
        <v>#N/A</v>
      </c>
      <c r="I196" s="195"/>
      <c r="J196" s="195"/>
      <c r="K196" s="195"/>
      <c r="L196" s="196"/>
      <c r="M196" s="123" t="s">
        <v>301</v>
      </c>
      <c r="N196" s="195" t="e">
        <f>IF(VLOOKUP(N194,Preenchimento!$A:$BV,11,0)=0,"",VLOOKUP(N194,Preenchimento!$A:$BV,11,0))</f>
        <v>#N/A</v>
      </c>
      <c r="O196" s="195"/>
      <c r="P196" s="195"/>
      <c r="Q196" s="195"/>
      <c r="R196" s="196"/>
      <c r="S196" s="123" t="s">
        <v>301</v>
      </c>
      <c r="T196" s="195" t="e">
        <f>IF(VLOOKUP(T194,Preenchimento!$A:$BV,11,0)=0,"",VLOOKUP(T194,Preenchimento!$A:$BV,11,0))</f>
        <v>#N/A</v>
      </c>
      <c r="U196" s="195"/>
      <c r="V196" s="195"/>
      <c r="W196" s="195"/>
      <c r="X196" s="196"/>
    </row>
    <row r="197" spans="1:24" s="130" customFormat="1" ht="33.950000000000003" customHeight="1" x14ac:dyDescent="0.25">
      <c r="A197" s="199" t="str">
        <f>Sitio!$A$3</f>
        <v>Projeto 01</v>
      </c>
      <c r="B197" s="200"/>
      <c r="C197" s="200"/>
      <c r="D197" s="200"/>
      <c r="E197" s="200"/>
      <c r="F197" s="201"/>
      <c r="G197" s="199" t="str">
        <f>Sitio!$A$3</f>
        <v>Projeto 01</v>
      </c>
      <c r="H197" s="200"/>
      <c r="I197" s="200"/>
      <c r="J197" s="200"/>
      <c r="K197" s="200"/>
      <c r="L197" s="201"/>
      <c r="M197" s="199" t="str">
        <f>Sitio!$A$3</f>
        <v>Projeto 01</v>
      </c>
      <c r="N197" s="200"/>
      <c r="O197" s="200"/>
      <c r="P197" s="200"/>
      <c r="Q197" s="200"/>
      <c r="R197" s="201"/>
      <c r="S197" s="199" t="str">
        <f>Sitio!$A$3</f>
        <v>Projeto 01</v>
      </c>
      <c r="T197" s="200"/>
      <c r="U197" s="200"/>
      <c r="V197" s="200"/>
      <c r="W197" s="200"/>
      <c r="X197" s="201"/>
    </row>
    <row r="198" spans="1:24" ht="9.75" customHeight="1" x14ac:dyDescent="0.15">
      <c r="A198" s="121" t="s">
        <v>294</v>
      </c>
      <c r="B198" s="193">
        <f>Sitio!$E$3</f>
        <v>0</v>
      </c>
      <c r="C198" s="193"/>
      <c r="D198" s="193"/>
      <c r="E198" s="193"/>
      <c r="F198" s="194"/>
      <c r="G198" s="121" t="s">
        <v>294</v>
      </c>
      <c r="H198" s="193">
        <f>Sitio!$E$3</f>
        <v>0</v>
      </c>
      <c r="I198" s="193"/>
      <c r="J198" s="193"/>
      <c r="K198" s="193"/>
      <c r="L198" s="194"/>
      <c r="M198" s="121" t="s">
        <v>294</v>
      </c>
      <c r="N198" s="193">
        <f>Sitio!$E$3</f>
        <v>0</v>
      </c>
      <c r="O198" s="193"/>
      <c r="P198" s="193"/>
      <c r="Q198" s="193"/>
      <c r="R198" s="194"/>
      <c r="S198" s="121" t="s">
        <v>294</v>
      </c>
      <c r="T198" s="193">
        <f>Sitio!$E$3</f>
        <v>0</v>
      </c>
      <c r="U198" s="193"/>
      <c r="V198" s="193"/>
      <c r="W198" s="193"/>
      <c r="X198" s="194"/>
    </row>
    <row r="199" spans="1:24" ht="9.75" customHeight="1" x14ac:dyDescent="0.15">
      <c r="A199" s="121" t="s">
        <v>295</v>
      </c>
      <c r="C199" s="193" t="e">
        <f>VLOOKUP(B201,Preenchimento!$A:$BV,2,0)</f>
        <v>#N/A</v>
      </c>
      <c r="D199" s="193" t="e">
        <f>VLOOKUP(C201,Preenchimento!$A:$BV,2,0)</f>
        <v>#N/A</v>
      </c>
      <c r="E199" s="193" t="e">
        <f>VLOOKUP(D201,Preenchimento!$A:$BV,2,0)</f>
        <v>#N/A</v>
      </c>
      <c r="F199" s="194" t="e">
        <f>VLOOKUP(E201,Preenchimento!$A:$BV,2,0)</f>
        <v>#N/A</v>
      </c>
      <c r="G199" s="121" t="s">
        <v>295</v>
      </c>
      <c r="I199" s="193" t="e">
        <f>VLOOKUP(H201,Preenchimento!$A:$BV,2,0)</f>
        <v>#N/A</v>
      </c>
      <c r="J199" s="193" t="e">
        <f>VLOOKUP(I201,Preenchimento!$A:$BV,2,0)</f>
        <v>#N/A</v>
      </c>
      <c r="K199" s="193" t="e">
        <f>VLOOKUP(J201,Preenchimento!$A:$BV,2,0)</f>
        <v>#N/A</v>
      </c>
      <c r="L199" s="194" t="e">
        <f>VLOOKUP(K201,Preenchimento!$A:$BV,2,0)</f>
        <v>#N/A</v>
      </c>
      <c r="M199" s="121" t="s">
        <v>295</v>
      </c>
      <c r="O199" s="193" t="e">
        <f>VLOOKUP(N201,Preenchimento!$A:$BV,2,0)</f>
        <v>#N/A</v>
      </c>
      <c r="P199" s="193" t="e">
        <f>VLOOKUP(O201,Preenchimento!$A:$BV,2,0)</f>
        <v>#N/A</v>
      </c>
      <c r="Q199" s="193" t="e">
        <f>VLOOKUP(P201,Preenchimento!$A:$BV,2,0)</f>
        <v>#N/A</v>
      </c>
      <c r="R199" s="194" t="e">
        <f>VLOOKUP(Q201,Preenchimento!$A:$BV,2,0)</f>
        <v>#N/A</v>
      </c>
      <c r="S199" s="121" t="s">
        <v>295</v>
      </c>
      <c r="U199" s="193" t="e">
        <f>VLOOKUP(T201,Preenchimento!$A:$BV,2,0)</f>
        <v>#N/A</v>
      </c>
      <c r="V199" s="193" t="e">
        <f>VLOOKUP(U201,Preenchimento!$A:$BV,2,0)</f>
        <v>#N/A</v>
      </c>
      <c r="W199" s="193" t="e">
        <f>VLOOKUP(V201,Preenchimento!$A:$BV,2,0)</f>
        <v>#N/A</v>
      </c>
      <c r="X199" s="194" t="e">
        <f>VLOOKUP(W201,Preenchimento!$A:$BV,2,0)</f>
        <v>#N/A</v>
      </c>
    </row>
    <row r="200" spans="1:24" ht="9.75" customHeight="1" x14ac:dyDescent="0.15">
      <c r="A200" s="121" t="s">
        <v>296</v>
      </c>
      <c r="B200" s="193" t="e">
        <f>VLOOKUP(B201,Preenchimento!$A:$BV,3,0)</f>
        <v>#N/A</v>
      </c>
      <c r="C200" s="193" t="e">
        <f>VLOOKUP(C201,Preenchimento!$A:$BV,3,0)</f>
        <v>#N/A</v>
      </c>
      <c r="D200" s="120" t="s">
        <v>297</v>
      </c>
      <c r="E200" s="197" t="e">
        <f>VLOOKUP(B201,Preenchimento!$A:$BV,5,0)</f>
        <v>#N/A</v>
      </c>
      <c r="F200" s="198" t="e">
        <f>VLOOKUP(C201,Preenchimento!$A:$BV,5,0)</f>
        <v>#N/A</v>
      </c>
      <c r="G200" s="121" t="s">
        <v>296</v>
      </c>
      <c r="H200" s="193" t="e">
        <f>VLOOKUP(H201,Preenchimento!$A:$BV,3,0)</f>
        <v>#N/A</v>
      </c>
      <c r="I200" s="193" t="e">
        <f>VLOOKUP(I201,Preenchimento!$A:$BV,3,0)</f>
        <v>#N/A</v>
      </c>
      <c r="J200" s="120" t="s">
        <v>297</v>
      </c>
      <c r="K200" s="197" t="e">
        <f>VLOOKUP(H201,Preenchimento!$A:$BV,5,0)</f>
        <v>#N/A</v>
      </c>
      <c r="L200" s="198" t="e">
        <f>VLOOKUP(I201,Preenchimento!$A:$BV,5,0)</f>
        <v>#N/A</v>
      </c>
      <c r="M200" s="121" t="s">
        <v>296</v>
      </c>
      <c r="N200" s="193" t="e">
        <f>VLOOKUP(N201,Preenchimento!$A:$BV,3,0)</f>
        <v>#N/A</v>
      </c>
      <c r="O200" s="193" t="e">
        <f>VLOOKUP(O201,Preenchimento!$A:$BV,3,0)</f>
        <v>#N/A</v>
      </c>
      <c r="P200" s="120" t="s">
        <v>297</v>
      </c>
      <c r="Q200" s="197" t="e">
        <f>VLOOKUP(N201,Preenchimento!$A:$BV,5,0)</f>
        <v>#N/A</v>
      </c>
      <c r="R200" s="198" t="e">
        <f>VLOOKUP(O201,Preenchimento!$A:$BV,5,0)</f>
        <v>#N/A</v>
      </c>
      <c r="S200" s="121" t="s">
        <v>296</v>
      </c>
      <c r="T200" s="193" t="e">
        <f>VLOOKUP(T201,Preenchimento!$A:$BV,3,0)</f>
        <v>#N/A</v>
      </c>
      <c r="U200" s="193" t="e">
        <f>VLOOKUP(U201,Preenchimento!$A:$BV,3,0)</f>
        <v>#N/A</v>
      </c>
      <c r="V200" s="120" t="s">
        <v>297</v>
      </c>
      <c r="W200" s="197" t="e">
        <f>VLOOKUP(T201,Preenchimento!$A:$BV,5,0)</f>
        <v>#N/A</v>
      </c>
      <c r="X200" s="198" t="e">
        <f>VLOOKUP(U201,Preenchimento!$A:$BV,5,0)</f>
        <v>#N/A</v>
      </c>
    </row>
    <row r="201" spans="1:24" ht="9.75" customHeight="1" x14ac:dyDescent="0.15">
      <c r="A201" s="121" t="s">
        <v>298</v>
      </c>
      <c r="B201" s="193"/>
      <c r="C201" s="193"/>
      <c r="D201" s="120" t="s">
        <v>299</v>
      </c>
      <c r="F201" s="131" t="e">
        <f>VLOOKUP(B201,Preenchimento!$A:$BV,10,0)</f>
        <v>#N/A</v>
      </c>
      <c r="G201" s="121" t="s">
        <v>298</v>
      </c>
      <c r="H201" s="193"/>
      <c r="I201" s="193"/>
      <c r="J201" s="120" t="s">
        <v>299</v>
      </c>
      <c r="L201" s="131" t="e">
        <f>VLOOKUP(H201,Preenchimento!$A:$BV,10,0)</f>
        <v>#N/A</v>
      </c>
      <c r="M201" s="121" t="s">
        <v>298</v>
      </c>
      <c r="N201" s="193"/>
      <c r="O201" s="193"/>
      <c r="P201" s="120" t="s">
        <v>299</v>
      </c>
      <c r="R201" s="131" t="e">
        <f>VLOOKUP(N201,Preenchimento!$A:$BV,10,0)</f>
        <v>#N/A</v>
      </c>
      <c r="S201" s="121" t="s">
        <v>298</v>
      </c>
      <c r="T201" s="193"/>
      <c r="U201" s="193"/>
      <c r="V201" s="120" t="s">
        <v>299</v>
      </c>
      <c r="X201" s="131" t="e">
        <f>VLOOKUP(T201,Preenchimento!$A:$BV,10,0)</f>
        <v>#N/A</v>
      </c>
    </row>
    <row r="202" spans="1:24" ht="9.75" customHeight="1" x14ac:dyDescent="0.15">
      <c r="A202" s="121" t="s">
        <v>300</v>
      </c>
      <c r="C202" s="193" t="e">
        <f>VLOOKUP(B201,Preenchimento!$A:$BV,12,0)</f>
        <v>#N/A</v>
      </c>
      <c r="D202" s="193" t="e">
        <f>VLOOKUP(C201,Preenchimento!$A:$BV,12,0)</f>
        <v>#N/A</v>
      </c>
      <c r="E202" s="193" t="e">
        <f>VLOOKUP(D201,Preenchimento!$A:$BV,12,0)</f>
        <v>#N/A</v>
      </c>
      <c r="F202" s="194" t="e">
        <f>VLOOKUP(E201,Preenchimento!$A:$BV,12,0)</f>
        <v>#N/A</v>
      </c>
      <c r="G202" s="121" t="s">
        <v>300</v>
      </c>
      <c r="I202" s="193" t="e">
        <f>VLOOKUP(H201,Preenchimento!$A:$BV,12,0)</f>
        <v>#N/A</v>
      </c>
      <c r="J202" s="193" t="e">
        <f>VLOOKUP(I201,Preenchimento!$A:$BV,12,0)</f>
        <v>#N/A</v>
      </c>
      <c r="K202" s="193" t="e">
        <f>VLOOKUP(J201,Preenchimento!$A:$BV,12,0)</f>
        <v>#N/A</v>
      </c>
      <c r="L202" s="194" t="e">
        <f>VLOOKUP(K201,Preenchimento!$A:$BV,12,0)</f>
        <v>#N/A</v>
      </c>
      <c r="M202" s="121" t="s">
        <v>300</v>
      </c>
      <c r="O202" s="193" t="e">
        <f>VLOOKUP(N201,Preenchimento!$A:$BV,12,0)</f>
        <v>#N/A</v>
      </c>
      <c r="P202" s="193" t="e">
        <f>VLOOKUP(O201,Preenchimento!$A:$BV,12,0)</f>
        <v>#N/A</v>
      </c>
      <c r="Q202" s="193" t="e">
        <f>VLOOKUP(P201,Preenchimento!$A:$BV,12,0)</f>
        <v>#N/A</v>
      </c>
      <c r="R202" s="194" t="e">
        <f>VLOOKUP(Q201,Preenchimento!$A:$BV,12,0)</f>
        <v>#N/A</v>
      </c>
      <c r="S202" s="121" t="s">
        <v>300</v>
      </c>
      <c r="U202" s="193" t="e">
        <f>VLOOKUP(T201,Preenchimento!$A:$BV,12,0)</f>
        <v>#N/A</v>
      </c>
      <c r="V202" s="193" t="e">
        <f>VLOOKUP(U201,Preenchimento!$A:$BV,12,0)</f>
        <v>#N/A</v>
      </c>
      <c r="W202" s="193" t="e">
        <f>VLOOKUP(V201,Preenchimento!$A:$BV,12,0)</f>
        <v>#N/A</v>
      </c>
      <c r="X202" s="194" t="e">
        <f>VLOOKUP(W201,Preenchimento!$A:$BV,12,0)</f>
        <v>#N/A</v>
      </c>
    </row>
    <row r="203" spans="1:24" ht="9.75" customHeight="1" x14ac:dyDescent="0.15">
      <c r="A203" s="123" t="s">
        <v>301</v>
      </c>
      <c r="B203" s="195" t="e">
        <f>IF(VLOOKUP(B201,Preenchimento!$A:$BV,11,0)=0,"",VLOOKUP(B201,Preenchimento!$A:$BV,11,0))</f>
        <v>#N/A</v>
      </c>
      <c r="C203" s="195"/>
      <c r="D203" s="195"/>
      <c r="E203" s="195"/>
      <c r="F203" s="196"/>
      <c r="G203" s="123" t="s">
        <v>301</v>
      </c>
      <c r="H203" s="195" t="e">
        <f>IF(VLOOKUP(H201,Preenchimento!$A:$BV,11,0)=0,"",VLOOKUP(H201,Preenchimento!$A:$BV,11,0))</f>
        <v>#N/A</v>
      </c>
      <c r="I203" s="195"/>
      <c r="J203" s="195"/>
      <c r="K203" s="195"/>
      <c r="L203" s="196"/>
      <c r="M203" s="123" t="s">
        <v>301</v>
      </c>
      <c r="N203" s="195" t="e">
        <f>IF(VLOOKUP(N201,Preenchimento!$A:$BV,11,0)=0,"",VLOOKUP(N201,Preenchimento!$A:$BV,11,0))</f>
        <v>#N/A</v>
      </c>
      <c r="O203" s="195"/>
      <c r="P203" s="195"/>
      <c r="Q203" s="195"/>
      <c r="R203" s="196"/>
      <c r="S203" s="123" t="s">
        <v>301</v>
      </c>
      <c r="T203" s="195" t="e">
        <f>IF(VLOOKUP(T201,Preenchimento!$A:$BV,11,0)=0,"",VLOOKUP(T201,Preenchimento!$A:$BV,11,0))</f>
        <v>#N/A</v>
      </c>
      <c r="U203" s="195"/>
      <c r="V203" s="195"/>
      <c r="W203" s="195"/>
      <c r="X203" s="196"/>
    </row>
    <row r="204" spans="1:24" s="130" customFormat="1" ht="33.950000000000003" customHeight="1" x14ac:dyDescent="0.25">
      <c r="A204" s="199" t="str">
        <f>Sitio!$A$3</f>
        <v>Projeto 01</v>
      </c>
      <c r="B204" s="200"/>
      <c r="C204" s="200"/>
      <c r="D204" s="200"/>
      <c r="E204" s="200"/>
      <c r="F204" s="201"/>
      <c r="G204" s="199" t="str">
        <f>Sitio!$A$3</f>
        <v>Projeto 01</v>
      </c>
      <c r="H204" s="200"/>
      <c r="I204" s="200"/>
      <c r="J204" s="200"/>
      <c r="K204" s="200"/>
      <c r="L204" s="201"/>
      <c r="M204" s="199" t="str">
        <f>Sitio!$A$3</f>
        <v>Projeto 01</v>
      </c>
      <c r="N204" s="200"/>
      <c r="O204" s="200"/>
      <c r="P204" s="200"/>
      <c r="Q204" s="200"/>
      <c r="R204" s="201"/>
      <c r="S204" s="199" t="str">
        <f>Sitio!$A$3</f>
        <v>Projeto 01</v>
      </c>
      <c r="T204" s="200"/>
      <c r="U204" s="200"/>
      <c r="V204" s="200"/>
      <c r="W204" s="200"/>
      <c r="X204" s="201"/>
    </row>
    <row r="205" spans="1:24" ht="9.75" customHeight="1" x14ac:dyDescent="0.15">
      <c r="A205" s="121" t="s">
        <v>294</v>
      </c>
      <c r="B205" s="193">
        <f>Sitio!$E$3</f>
        <v>0</v>
      </c>
      <c r="C205" s="193"/>
      <c r="D205" s="193"/>
      <c r="E205" s="193"/>
      <c r="F205" s="194"/>
      <c r="G205" s="121" t="s">
        <v>294</v>
      </c>
      <c r="H205" s="193">
        <f>Sitio!$E$3</f>
        <v>0</v>
      </c>
      <c r="I205" s="193"/>
      <c r="J205" s="193"/>
      <c r="K205" s="193"/>
      <c r="L205" s="194"/>
      <c r="M205" s="121" t="s">
        <v>294</v>
      </c>
      <c r="N205" s="193">
        <f>Sitio!$E$3</f>
        <v>0</v>
      </c>
      <c r="O205" s="193"/>
      <c r="P205" s="193"/>
      <c r="Q205" s="193"/>
      <c r="R205" s="194"/>
      <c r="S205" s="121" t="s">
        <v>294</v>
      </c>
      <c r="T205" s="193">
        <f>Sitio!$E$3</f>
        <v>0</v>
      </c>
      <c r="U205" s="193"/>
      <c r="V205" s="193"/>
      <c r="W205" s="193"/>
      <c r="X205" s="194"/>
    </row>
    <row r="206" spans="1:24" ht="9.75" customHeight="1" x14ac:dyDescent="0.15">
      <c r="A206" s="121" t="s">
        <v>295</v>
      </c>
      <c r="C206" s="193" t="e">
        <f>VLOOKUP(B208,Preenchimento!$A:$BV,2,0)</f>
        <v>#N/A</v>
      </c>
      <c r="D206" s="193" t="e">
        <f>VLOOKUP(C208,Preenchimento!$A:$BV,2,0)</f>
        <v>#N/A</v>
      </c>
      <c r="E206" s="193" t="e">
        <f>VLOOKUP(D208,Preenchimento!$A:$BV,2,0)</f>
        <v>#N/A</v>
      </c>
      <c r="F206" s="194" t="e">
        <f>VLOOKUP(E208,Preenchimento!$A:$BV,2,0)</f>
        <v>#N/A</v>
      </c>
      <c r="G206" s="121" t="s">
        <v>295</v>
      </c>
      <c r="I206" s="193" t="e">
        <f>VLOOKUP(H208,Preenchimento!$A:$BV,2,0)</f>
        <v>#N/A</v>
      </c>
      <c r="J206" s="193" t="e">
        <f>VLOOKUP(I208,Preenchimento!$A:$BV,2,0)</f>
        <v>#N/A</v>
      </c>
      <c r="K206" s="193" t="e">
        <f>VLOOKUP(J208,Preenchimento!$A:$BV,2,0)</f>
        <v>#N/A</v>
      </c>
      <c r="L206" s="194" t="e">
        <f>VLOOKUP(K208,Preenchimento!$A:$BV,2,0)</f>
        <v>#N/A</v>
      </c>
      <c r="M206" s="121" t="s">
        <v>295</v>
      </c>
      <c r="O206" s="193" t="e">
        <f>VLOOKUP(N208,Preenchimento!$A:$BV,2,0)</f>
        <v>#N/A</v>
      </c>
      <c r="P206" s="193" t="e">
        <f>VLOOKUP(O208,Preenchimento!$A:$BV,2,0)</f>
        <v>#N/A</v>
      </c>
      <c r="Q206" s="193" t="e">
        <f>VLOOKUP(P208,Preenchimento!$A:$BV,2,0)</f>
        <v>#N/A</v>
      </c>
      <c r="R206" s="194" t="e">
        <f>VLOOKUP(Q208,Preenchimento!$A:$BV,2,0)</f>
        <v>#N/A</v>
      </c>
      <c r="S206" s="121" t="s">
        <v>295</v>
      </c>
      <c r="U206" s="193" t="e">
        <f>VLOOKUP(T208,Preenchimento!$A:$BV,2,0)</f>
        <v>#N/A</v>
      </c>
      <c r="V206" s="193" t="e">
        <f>VLOOKUP(U208,Preenchimento!$A:$BV,2,0)</f>
        <v>#N/A</v>
      </c>
      <c r="W206" s="193" t="e">
        <f>VLOOKUP(V208,Preenchimento!$A:$BV,2,0)</f>
        <v>#N/A</v>
      </c>
      <c r="X206" s="194" t="e">
        <f>VLOOKUP(W208,Preenchimento!$A:$BV,2,0)</f>
        <v>#N/A</v>
      </c>
    </row>
    <row r="207" spans="1:24" ht="9.75" customHeight="1" x14ac:dyDescent="0.15">
      <c r="A207" s="121" t="s">
        <v>296</v>
      </c>
      <c r="B207" s="193" t="e">
        <f>VLOOKUP(B208,Preenchimento!$A:$BV,3,0)</f>
        <v>#N/A</v>
      </c>
      <c r="C207" s="193" t="e">
        <f>VLOOKUP(C208,Preenchimento!$A:$BV,3,0)</f>
        <v>#N/A</v>
      </c>
      <c r="D207" s="120" t="s">
        <v>297</v>
      </c>
      <c r="E207" s="197" t="e">
        <f>VLOOKUP(B208,Preenchimento!$A:$BV,5,0)</f>
        <v>#N/A</v>
      </c>
      <c r="F207" s="198" t="e">
        <f>VLOOKUP(C208,Preenchimento!$A:$BV,5,0)</f>
        <v>#N/A</v>
      </c>
      <c r="G207" s="121" t="s">
        <v>296</v>
      </c>
      <c r="H207" s="193" t="e">
        <f>VLOOKUP(H208,Preenchimento!$A:$BV,3,0)</f>
        <v>#N/A</v>
      </c>
      <c r="I207" s="193" t="e">
        <f>VLOOKUP(I208,Preenchimento!$A:$BV,3,0)</f>
        <v>#N/A</v>
      </c>
      <c r="J207" s="120" t="s">
        <v>297</v>
      </c>
      <c r="K207" s="197" t="e">
        <f>VLOOKUP(H208,Preenchimento!$A:$BV,5,0)</f>
        <v>#N/A</v>
      </c>
      <c r="L207" s="198" t="e">
        <f>VLOOKUP(I208,Preenchimento!$A:$BV,5,0)</f>
        <v>#N/A</v>
      </c>
      <c r="M207" s="121" t="s">
        <v>296</v>
      </c>
      <c r="N207" s="193" t="e">
        <f>VLOOKUP(N208,Preenchimento!$A:$BV,3,0)</f>
        <v>#N/A</v>
      </c>
      <c r="O207" s="193" t="e">
        <f>VLOOKUP(O208,Preenchimento!$A:$BV,3,0)</f>
        <v>#N/A</v>
      </c>
      <c r="P207" s="120" t="s">
        <v>297</v>
      </c>
      <c r="Q207" s="197" t="e">
        <f>VLOOKUP(N208,Preenchimento!$A:$BV,5,0)</f>
        <v>#N/A</v>
      </c>
      <c r="R207" s="198" t="e">
        <f>VLOOKUP(O208,Preenchimento!$A:$BV,5,0)</f>
        <v>#N/A</v>
      </c>
      <c r="S207" s="121" t="s">
        <v>296</v>
      </c>
      <c r="T207" s="193" t="e">
        <f>VLOOKUP(T208,Preenchimento!$A:$BV,3,0)</f>
        <v>#N/A</v>
      </c>
      <c r="U207" s="193" t="e">
        <f>VLOOKUP(U208,Preenchimento!$A:$BV,3,0)</f>
        <v>#N/A</v>
      </c>
      <c r="V207" s="120" t="s">
        <v>297</v>
      </c>
      <c r="W207" s="197" t="e">
        <f>VLOOKUP(T208,Preenchimento!$A:$BV,5,0)</f>
        <v>#N/A</v>
      </c>
      <c r="X207" s="198" t="e">
        <f>VLOOKUP(U208,Preenchimento!$A:$BV,5,0)</f>
        <v>#N/A</v>
      </c>
    </row>
    <row r="208" spans="1:24" ht="9.75" customHeight="1" x14ac:dyDescent="0.15">
      <c r="A208" s="121" t="s">
        <v>298</v>
      </c>
      <c r="B208" s="193"/>
      <c r="C208" s="193"/>
      <c r="D208" s="120" t="s">
        <v>299</v>
      </c>
      <c r="F208" s="131" t="e">
        <f>VLOOKUP(B208,Preenchimento!$A:$BV,10,0)</f>
        <v>#N/A</v>
      </c>
      <c r="G208" s="121" t="s">
        <v>298</v>
      </c>
      <c r="H208" s="193"/>
      <c r="I208" s="193"/>
      <c r="J208" s="120" t="s">
        <v>299</v>
      </c>
      <c r="L208" s="131" t="e">
        <f>VLOOKUP(H208,Preenchimento!$A:$BV,10,0)</f>
        <v>#N/A</v>
      </c>
      <c r="M208" s="121" t="s">
        <v>298</v>
      </c>
      <c r="N208" s="193"/>
      <c r="O208" s="193"/>
      <c r="P208" s="120" t="s">
        <v>299</v>
      </c>
      <c r="R208" s="131" t="e">
        <f>VLOOKUP(N208,Preenchimento!$A:$BV,10,0)</f>
        <v>#N/A</v>
      </c>
      <c r="S208" s="121" t="s">
        <v>298</v>
      </c>
      <c r="T208" s="193"/>
      <c r="U208" s="193"/>
      <c r="V208" s="120" t="s">
        <v>299</v>
      </c>
      <c r="X208" s="131" t="e">
        <f>VLOOKUP(T208,Preenchimento!$A:$BV,10,0)</f>
        <v>#N/A</v>
      </c>
    </row>
    <row r="209" spans="1:24" ht="9.75" customHeight="1" x14ac:dyDescent="0.15">
      <c r="A209" s="121" t="s">
        <v>300</v>
      </c>
      <c r="C209" s="193" t="e">
        <f>VLOOKUP(B208,Preenchimento!$A:$BV,12,0)</f>
        <v>#N/A</v>
      </c>
      <c r="D209" s="193" t="e">
        <f>VLOOKUP(C208,Preenchimento!$A:$BV,12,0)</f>
        <v>#N/A</v>
      </c>
      <c r="E209" s="193" t="e">
        <f>VLOOKUP(D208,Preenchimento!$A:$BV,12,0)</f>
        <v>#N/A</v>
      </c>
      <c r="F209" s="194" t="e">
        <f>VLOOKUP(E208,Preenchimento!$A:$BV,12,0)</f>
        <v>#N/A</v>
      </c>
      <c r="G209" s="121" t="s">
        <v>300</v>
      </c>
      <c r="I209" s="193" t="e">
        <f>VLOOKUP(H208,Preenchimento!$A:$BV,12,0)</f>
        <v>#N/A</v>
      </c>
      <c r="J209" s="193" t="e">
        <f>VLOOKUP(I208,Preenchimento!$A:$BV,12,0)</f>
        <v>#N/A</v>
      </c>
      <c r="K209" s="193" t="e">
        <f>VLOOKUP(J208,Preenchimento!$A:$BV,12,0)</f>
        <v>#N/A</v>
      </c>
      <c r="L209" s="194" t="e">
        <f>VLOOKUP(K208,Preenchimento!$A:$BV,12,0)</f>
        <v>#N/A</v>
      </c>
      <c r="M209" s="121" t="s">
        <v>300</v>
      </c>
      <c r="O209" s="193" t="e">
        <f>VLOOKUP(N208,Preenchimento!$A:$BV,12,0)</f>
        <v>#N/A</v>
      </c>
      <c r="P209" s="193" t="e">
        <f>VLOOKUP(O208,Preenchimento!$A:$BV,12,0)</f>
        <v>#N/A</v>
      </c>
      <c r="Q209" s="193" t="e">
        <f>VLOOKUP(P208,Preenchimento!$A:$BV,12,0)</f>
        <v>#N/A</v>
      </c>
      <c r="R209" s="194" t="e">
        <f>VLOOKUP(Q208,Preenchimento!$A:$BV,12,0)</f>
        <v>#N/A</v>
      </c>
      <c r="S209" s="121" t="s">
        <v>300</v>
      </c>
      <c r="U209" s="193" t="e">
        <f>VLOOKUP(T208,Preenchimento!$A:$BV,12,0)</f>
        <v>#N/A</v>
      </c>
      <c r="V209" s="193" t="e">
        <f>VLOOKUP(U208,Preenchimento!$A:$BV,12,0)</f>
        <v>#N/A</v>
      </c>
      <c r="W209" s="193" t="e">
        <f>VLOOKUP(V208,Preenchimento!$A:$BV,12,0)</f>
        <v>#N/A</v>
      </c>
      <c r="X209" s="194" t="e">
        <f>VLOOKUP(W208,Preenchimento!$A:$BV,12,0)</f>
        <v>#N/A</v>
      </c>
    </row>
    <row r="210" spans="1:24" ht="9.75" customHeight="1" x14ac:dyDescent="0.15">
      <c r="A210" s="123" t="s">
        <v>301</v>
      </c>
      <c r="B210" s="195" t="e">
        <f>IF(VLOOKUP(B208,Preenchimento!$A:$BV,11,0)=0,"",VLOOKUP(B208,Preenchimento!$A:$BV,11,0))</f>
        <v>#N/A</v>
      </c>
      <c r="C210" s="195"/>
      <c r="D210" s="195"/>
      <c r="E210" s="195"/>
      <c r="F210" s="196"/>
      <c r="G210" s="123" t="s">
        <v>301</v>
      </c>
      <c r="H210" s="195" t="e">
        <f>IF(VLOOKUP(H208,Preenchimento!$A:$BV,11,0)=0,"",VLOOKUP(H208,Preenchimento!$A:$BV,11,0))</f>
        <v>#N/A</v>
      </c>
      <c r="I210" s="195"/>
      <c r="J210" s="195"/>
      <c r="K210" s="195"/>
      <c r="L210" s="196"/>
      <c r="M210" s="123" t="s">
        <v>301</v>
      </c>
      <c r="N210" s="195" t="e">
        <f>IF(VLOOKUP(N208,Preenchimento!$A:$BV,11,0)=0,"",VLOOKUP(N208,Preenchimento!$A:$BV,11,0))</f>
        <v>#N/A</v>
      </c>
      <c r="O210" s="195"/>
      <c r="P210" s="195"/>
      <c r="Q210" s="195"/>
      <c r="R210" s="196"/>
      <c r="S210" s="123" t="s">
        <v>301</v>
      </c>
      <c r="T210" s="195" t="e">
        <f>IF(VLOOKUP(T208,Preenchimento!$A:$BV,11,0)=0,"",VLOOKUP(T208,Preenchimento!$A:$BV,11,0))</f>
        <v>#N/A</v>
      </c>
      <c r="U210" s="195"/>
      <c r="V210" s="195"/>
      <c r="W210" s="195"/>
      <c r="X210" s="196"/>
    </row>
    <row r="211" spans="1:24" s="130" customFormat="1" ht="33.950000000000003" customHeight="1" x14ac:dyDescent="0.25">
      <c r="A211" s="199" t="str">
        <f>Sitio!$A$3</f>
        <v>Projeto 01</v>
      </c>
      <c r="B211" s="200"/>
      <c r="C211" s="200"/>
      <c r="D211" s="200"/>
      <c r="E211" s="200"/>
      <c r="F211" s="201"/>
      <c r="G211" s="199" t="str">
        <f>Sitio!$A$3</f>
        <v>Projeto 01</v>
      </c>
      <c r="H211" s="200"/>
      <c r="I211" s="200"/>
      <c r="J211" s="200"/>
      <c r="K211" s="200"/>
      <c r="L211" s="201"/>
      <c r="M211" s="199" t="str">
        <f>Sitio!$A$3</f>
        <v>Projeto 01</v>
      </c>
      <c r="N211" s="200"/>
      <c r="O211" s="200"/>
      <c r="P211" s="200"/>
      <c r="Q211" s="200"/>
      <c r="R211" s="201"/>
      <c r="S211" s="199" t="str">
        <f>Sitio!$A$3</f>
        <v>Projeto 01</v>
      </c>
      <c r="T211" s="200"/>
      <c r="U211" s="200"/>
      <c r="V211" s="200"/>
      <c r="W211" s="200"/>
      <c r="X211" s="201"/>
    </row>
    <row r="212" spans="1:24" ht="9.75" customHeight="1" x14ac:dyDescent="0.15">
      <c r="A212" s="121" t="s">
        <v>294</v>
      </c>
      <c r="B212" s="193">
        <f>Sitio!$E$3</f>
        <v>0</v>
      </c>
      <c r="C212" s="193"/>
      <c r="D212" s="193"/>
      <c r="E212" s="193"/>
      <c r="F212" s="194"/>
      <c r="G212" s="121" t="s">
        <v>294</v>
      </c>
      <c r="H212" s="193">
        <f>Sitio!$E$3</f>
        <v>0</v>
      </c>
      <c r="I212" s="193"/>
      <c r="J212" s="193"/>
      <c r="K212" s="193"/>
      <c r="L212" s="194"/>
      <c r="M212" s="121" t="s">
        <v>294</v>
      </c>
      <c r="N212" s="193">
        <f>Sitio!$E$3</f>
        <v>0</v>
      </c>
      <c r="O212" s="193"/>
      <c r="P212" s="193"/>
      <c r="Q212" s="193"/>
      <c r="R212" s="194"/>
      <c r="S212" s="121" t="s">
        <v>294</v>
      </c>
      <c r="T212" s="193">
        <f>Sitio!$E$3</f>
        <v>0</v>
      </c>
      <c r="U212" s="193"/>
      <c r="V212" s="193"/>
      <c r="W212" s="193"/>
      <c r="X212" s="194"/>
    </row>
    <row r="213" spans="1:24" ht="9.75" customHeight="1" x14ac:dyDescent="0.15">
      <c r="A213" s="121" t="s">
        <v>295</v>
      </c>
      <c r="C213" s="193" t="e">
        <f>VLOOKUP(B215,Preenchimento!$A:$BV,2,0)</f>
        <v>#N/A</v>
      </c>
      <c r="D213" s="193" t="e">
        <f>VLOOKUP(C215,Preenchimento!$A:$BV,2,0)</f>
        <v>#N/A</v>
      </c>
      <c r="E213" s="193" t="e">
        <f>VLOOKUP(D215,Preenchimento!$A:$BV,2,0)</f>
        <v>#N/A</v>
      </c>
      <c r="F213" s="194" t="e">
        <f>VLOOKUP(E215,Preenchimento!$A:$BV,2,0)</f>
        <v>#N/A</v>
      </c>
      <c r="G213" s="121" t="s">
        <v>295</v>
      </c>
      <c r="I213" s="193" t="e">
        <f>VLOOKUP(H215,Preenchimento!$A:$BV,2,0)</f>
        <v>#N/A</v>
      </c>
      <c r="J213" s="193" t="e">
        <f>VLOOKUP(I215,Preenchimento!$A:$BV,2,0)</f>
        <v>#N/A</v>
      </c>
      <c r="K213" s="193" t="e">
        <f>VLOOKUP(J215,Preenchimento!$A:$BV,2,0)</f>
        <v>#N/A</v>
      </c>
      <c r="L213" s="194" t="e">
        <f>VLOOKUP(K215,Preenchimento!$A:$BV,2,0)</f>
        <v>#N/A</v>
      </c>
      <c r="M213" s="121" t="s">
        <v>295</v>
      </c>
      <c r="O213" s="193" t="e">
        <f>VLOOKUP(N215,Preenchimento!$A:$BV,2,0)</f>
        <v>#N/A</v>
      </c>
      <c r="P213" s="193" t="e">
        <f>VLOOKUP(O215,Preenchimento!$A:$BV,2,0)</f>
        <v>#N/A</v>
      </c>
      <c r="Q213" s="193" t="e">
        <f>VLOOKUP(P215,Preenchimento!$A:$BV,2,0)</f>
        <v>#N/A</v>
      </c>
      <c r="R213" s="194" t="e">
        <f>VLOOKUP(Q215,Preenchimento!$A:$BV,2,0)</f>
        <v>#N/A</v>
      </c>
      <c r="S213" s="121" t="s">
        <v>295</v>
      </c>
      <c r="U213" s="193" t="e">
        <f>VLOOKUP(T215,Preenchimento!$A:$BV,2,0)</f>
        <v>#N/A</v>
      </c>
      <c r="V213" s="193" t="e">
        <f>VLOOKUP(U215,Preenchimento!$A:$BV,2,0)</f>
        <v>#N/A</v>
      </c>
      <c r="W213" s="193" t="e">
        <f>VLOOKUP(V215,Preenchimento!$A:$BV,2,0)</f>
        <v>#N/A</v>
      </c>
      <c r="X213" s="194" t="e">
        <f>VLOOKUP(W215,Preenchimento!$A:$BV,2,0)</f>
        <v>#N/A</v>
      </c>
    </row>
    <row r="214" spans="1:24" ht="9.75" customHeight="1" x14ac:dyDescent="0.15">
      <c r="A214" s="121" t="s">
        <v>296</v>
      </c>
      <c r="B214" s="193" t="e">
        <f>VLOOKUP(B215,Preenchimento!$A:$BV,3,0)</f>
        <v>#N/A</v>
      </c>
      <c r="C214" s="193" t="e">
        <f>VLOOKUP(C215,Preenchimento!$A:$BV,3,0)</f>
        <v>#N/A</v>
      </c>
      <c r="D214" s="120" t="s">
        <v>297</v>
      </c>
      <c r="E214" s="197" t="e">
        <f>VLOOKUP(B215,Preenchimento!$A:$BV,5,0)</f>
        <v>#N/A</v>
      </c>
      <c r="F214" s="198" t="e">
        <f>VLOOKUP(C215,Preenchimento!$A:$BV,5,0)</f>
        <v>#N/A</v>
      </c>
      <c r="G214" s="121" t="s">
        <v>296</v>
      </c>
      <c r="H214" s="193" t="e">
        <f>VLOOKUP(H215,Preenchimento!$A:$BV,3,0)</f>
        <v>#N/A</v>
      </c>
      <c r="I214" s="193" t="e">
        <f>VLOOKUP(I215,Preenchimento!$A:$BV,3,0)</f>
        <v>#N/A</v>
      </c>
      <c r="J214" s="120" t="s">
        <v>297</v>
      </c>
      <c r="K214" s="197" t="e">
        <f>VLOOKUP(H215,Preenchimento!$A:$BV,5,0)</f>
        <v>#N/A</v>
      </c>
      <c r="L214" s="198" t="e">
        <f>VLOOKUP(I215,Preenchimento!$A:$BV,5,0)</f>
        <v>#N/A</v>
      </c>
      <c r="M214" s="121" t="s">
        <v>296</v>
      </c>
      <c r="N214" s="193" t="e">
        <f>VLOOKUP(N215,Preenchimento!$A:$BV,3,0)</f>
        <v>#N/A</v>
      </c>
      <c r="O214" s="193" t="e">
        <f>VLOOKUP(O215,Preenchimento!$A:$BV,3,0)</f>
        <v>#N/A</v>
      </c>
      <c r="P214" s="120" t="s">
        <v>297</v>
      </c>
      <c r="Q214" s="197" t="e">
        <f>VLOOKUP(N215,Preenchimento!$A:$BV,5,0)</f>
        <v>#N/A</v>
      </c>
      <c r="R214" s="198" t="e">
        <f>VLOOKUP(O215,Preenchimento!$A:$BV,5,0)</f>
        <v>#N/A</v>
      </c>
      <c r="S214" s="121" t="s">
        <v>296</v>
      </c>
      <c r="T214" s="193" t="e">
        <f>VLOOKUP(T215,Preenchimento!$A:$BV,3,0)</f>
        <v>#N/A</v>
      </c>
      <c r="U214" s="193" t="e">
        <f>VLOOKUP(U215,Preenchimento!$A:$BV,3,0)</f>
        <v>#N/A</v>
      </c>
      <c r="V214" s="120" t="s">
        <v>297</v>
      </c>
      <c r="W214" s="197" t="e">
        <f>VLOOKUP(T215,Preenchimento!$A:$BV,5,0)</f>
        <v>#N/A</v>
      </c>
      <c r="X214" s="198" t="e">
        <f>VLOOKUP(U215,Preenchimento!$A:$BV,5,0)</f>
        <v>#N/A</v>
      </c>
    </row>
    <row r="215" spans="1:24" ht="9.75" customHeight="1" x14ac:dyDescent="0.15">
      <c r="A215" s="121" t="s">
        <v>298</v>
      </c>
      <c r="B215" s="193"/>
      <c r="C215" s="193"/>
      <c r="D215" s="120" t="s">
        <v>299</v>
      </c>
      <c r="F215" s="131" t="e">
        <f>VLOOKUP(B215,Preenchimento!$A:$BV,10,0)</f>
        <v>#N/A</v>
      </c>
      <c r="G215" s="121" t="s">
        <v>298</v>
      </c>
      <c r="H215" s="193"/>
      <c r="I215" s="193"/>
      <c r="J215" s="120" t="s">
        <v>299</v>
      </c>
      <c r="L215" s="131" t="e">
        <f>VLOOKUP(H215,Preenchimento!$A:$BV,10,0)</f>
        <v>#N/A</v>
      </c>
      <c r="M215" s="121" t="s">
        <v>298</v>
      </c>
      <c r="N215" s="193"/>
      <c r="O215" s="193"/>
      <c r="P215" s="120" t="s">
        <v>299</v>
      </c>
      <c r="R215" s="131" t="e">
        <f>VLOOKUP(N215,Preenchimento!$A:$BV,10,0)</f>
        <v>#N/A</v>
      </c>
      <c r="S215" s="121" t="s">
        <v>298</v>
      </c>
      <c r="T215" s="193"/>
      <c r="U215" s="193"/>
      <c r="V215" s="120" t="s">
        <v>299</v>
      </c>
      <c r="X215" s="131" t="e">
        <f>VLOOKUP(T215,Preenchimento!$A:$BV,10,0)</f>
        <v>#N/A</v>
      </c>
    </row>
    <row r="216" spans="1:24" ht="9.75" customHeight="1" x14ac:dyDescent="0.15">
      <c r="A216" s="121" t="s">
        <v>300</v>
      </c>
      <c r="C216" s="193" t="e">
        <f>VLOOKUP(B215,Preenchimento!$A:$BV,12,0)</f>
        <v>#N/A</v>
      </c>
      <c r="D216" s="193" t="e">
        <f>VLOOKUP(C215,Preenchimento!$A:$BV,12,0)</f>
        <v>#N/A</v>
      </c>
      <c r="E216" s="193" t="e">
        <f>VLOOKUP(D215,Preenchimento!$A:$BV,12,0)</f>
        <v>#N/A</v>
      </c>
      <c r="F216" s="194" t="e">
        <f>VLOOKUP(E215,Preenchimento!$A:$BV,12,0)</f>
        <v>#N/A</v>
      </c>
      <c r="G216" s="121" t="s">
        <v>300</v>
      </c>
      <c r="I216" s="193" t="e">
        <f>VLOOKUP(H215,Preenchimento!$A:$BV,12,0)</f>
        <v>#N/A</v>
      </c>
      <c r="J216" s="193" t="e">
        <f>VLOOKUP(I215,Preenchimento!$A:$BV,12,0)</f>
        <v>#N/A</v>
      </c>
      <c r="K216" s="193" t="e">
        <f>VLOOKUP(J215,Preenchimento!$A:$BV,12,0)</f>
        <v>#N/A</v>
      </c>
      <c r="L216" s="194" t="e">
        <f>VLOOKUP(K215,Preenchimento!$A:$BV,12,0)</f>
        <v>#N/A</v>
      </c>
      <c r="M216" s="121" t="s">
        <v>300</v>
      </c>
      <c r="O216" s="193" t="e">
        <f>VLOOKUP(N215,Preenchimento!$A:$BV,12,0)</f>
        <v>#N/A</v>
      </c>
      <c r="P216" s="193" t="e">
        <f>VLOOKUP(O215,Preenchimento!$A:$BV,12,0)</f>
        <v>#N/A</v>
      </c>
      <c r="Q216" s="193" t="e">
        <f>VLOOKUP(P215,Preenchimento!$A:$BV,12,0)</f>
        <v>#N/A</v>
      </c>
      <c r="R216" s="194" t="e">
        <f>VLOOKUP(Q215,Preenchimento!$A:$BV,12,0)</f>
        <v>#N/A</v>
      </c>
      <c r="S216" s="121" t="s">
        <v>300</v>
      </c>
      <c r="U216" s="193" t="e">
        <f>VLOOKUP(T215,Preenchimento!$A:$BV,12,0)</f>
        <v>#N/A</v>
      </c>
      <c r="V216" s="193" t="e">
        <f>VLOOKUP(U215,Preenchimento!$A:$BV,12,0)</f>
        <v>#N/A</v>
      </c>
      <c r="W216" s="193" t="e">
        <f>VLOOKUP(V215,Preenchimento!$A:$BV,12,0)</f>
        <v>#N/A</v>
      </c>
      <c r="X216" s="194" t="e">
        <f>VLOOKUP(W215,Preenchimento!$A:$BV,12,0)</f>
        <v>#N/A</v>
      </c>
    </row>
    <row r="217" spans="1:24" ht="9.75" customHeight="1" x14ac:dyDescent="0.15">
      <c r="A217" s="123" t="s">
        <v>301</v>
      </c>
      <c r="B217" s="195" t="e">
        <f>IF(VLOOKUP(B215,Preenchimento!$A:$BV,11,0)=0,"",VLOOKUP(B215,Preenchimento!$A:$BV,11,0))</f>
        <v>#N/A</v>
      </c>
      <c r="C217" s="195"/>
      <c r="D217" s="195"/>
      <c r="E217" s="195"/>
      <c r="F217" s="196"/>
      <c r="G217" s="123" t="s">
        <v>301</v>
      </c>
      <c r="H217" s="195" t="e">
        <f>IF(VLOOKUP(H215,Preenchimento!$A:$BV,11,0)=0,"",VLOOKUP(H215,Preenchimento!$A:$BV,11,0))</f>
        <v>#N/A</v>
      </c>
      <c r="I217" s="195"/>
      <c r="J217" s="195"/>
      <c r="K217" s="195"/>
      <c r="L217" s="196"/>
      <c r="M217" s="123" t="s">
        <v>301</v>
      </c>
      <c r="N217" s="195" t="e">
        <f>IF(VLOOKUP(N215,Preenchimento!$A:$BV,11,0)=0,"",VLOOKUP(N215,Preenchimento!$A:$BV,11,0))</f>
        <v>#N/A</v>
      </c>
      <c r="O217" s="195"/>
      <c r="P217" s="195"/>
      <c r="Q217" s="195"/>
      <c r="R217" s="196"/>
      <c r="S217" s="123" t="s">
        <v>301</v>
      </c>
      <c r="T217" s="195" t="e">
        <f>IF(VLOOKUP(T215,Preenchimento!$A:$BV,11,0)=0,"",VLOOKUP(T215,Preenchimento!$A:$BV,11,0))</f>
        <v>#N/A</v>
      </c>
      <c r="U217" s="195"/>
      <c r="V217" s="195"/>
      <c r="W217" s="195"/>
      <c r="X217" s="196"/>
    </row>
    <row r="218" spans="1:24" s="130" customFormat="1" ht="33.950000000000003" customHeight="1" x14ac:dyDescent="0.25">
      <c r="A218" s="199" t="str">
        <f>Sitio!$A$3</f>
        <v>Projeto 01</v>
      </c>
      <c r="B218" s="200"/>
      <c r="C218" s="200"/>
      <c r="D218" s="200"/>
      <c r="E218" s="200"/>
      <c r="F218" s="201"/>
      <c r="G218" s="199" t="str">
        <f>Sitio!$A$3</f>
        <v>Projeto 01</v>
      </c>
      <c r="H218" s="200"/>
      <c r="I218" s="200"/>
      <c r="J218" s="200"/>
      <c r="K218" s="200"/>
      <c r="L218" s="201"/>
      <c r="M218" s="199" t="str">
        <f>Sitio!$A$3</f>
        <v>Projeto 01</v>
      </c>
      <c r="N218" s="200"/>
      <c r="O218" s="200"/>
      <c r="P218" s="200"/>
      <c r="Q218" s="200"/>
      <c r="R218" s="201"/>
      <c r="S218" s="199" t="str">
        <f>Sitio!$A$3</f>
        <v>Projeto 01</v>
      </c>
      <c r="T218" s="200"/>
      <c r="U218" s="200"/>
      <c r="V218" s="200"/>
      <c r="W218" s="200"/>
      <c r="X218" s="201"/>
    </row>
    <row r="219" spans="1:24" ht="9.75" customHeight="1" x14ac:dyDescent="0.15">
      <c r="A219" s="121" t="s">
        <v>294</v>
      </c>
      <c r="B219" s="193">
        <f>Sitio!$E$3</f>
        <v>0</v>
      </c>
      <c r="C219" s="193"/>
      <c r="D219" s="193"/>
      <c r="E219" s="193"/>
      <c r="F219" s="194"/>
      <c r="G219" s="121" t="s">
        <v>294</v>
      </c>
      <c r="H219" s="193">
        <f>Sitio!$E$3</f>
        <v>0</v>
      </c>
      <c r="I219" s="193"/>
      <c r="J219" s="193"/>
      <c r="K219" s="193"/>
      <c r="L219" s="194"/>
      <c r="M219" s="121" t="s">
        <v>294</v>
      </c>
      <c r="N219" s="193">
        <f>Sitio!$E$3</f>
        <v>0</v>
      </c>
      <c r="O219" s="193"/>
      <c r="P219" s="193"/>
      <c r="Q219" s="193"/>
      <c r="R219" s="194"/>
      <c r="S219" s="121" t="s">
        <v>294</v>
      </c>
      <c r="T219" s="193">
        <f>Sitio!$E$3</f>
        <v>0</v>
      </c>
      <c r="U219" s="193"/>
      <c r="V219" s="193"/>
      <c r="W219" s="193"/>
      <c r="X219" s="194"/>
    </row>
    <row r="220" spans="1:24" ht="9.75" customHeight="1" x14ac:dyDescent="0.15">
      <c r="A220" s="121" t="s">
        <v>295</v>
      </c>
      <c r="C220" s="193" t="e">
        <f>VLOOKUP(B222,Preenchimento!$A:$BV,2,0)</f>
        <v>#N/A</v>
      </c>
      <c r="D220" s="193" t="e">
        <f>VLOOKUP(C222,Preenchimento!$A:$BV,2,0)</f>
        <v>#N/A</v>
      </c>
      <c r="E220" s="193" t="e">
        <f>VLOOKUP(D222,Preenchimento!$A:$BV,2,0)</f>
        <v>#N/A</v>
      </c>
      <c r="F220" s="194" t="e">
        <f>VLOOKUP(E222,Preenchimento!$A:$BV,2,0)</f>
        <v>#N/A</v>
      </c>
      <c r="G220" s="121" t="s">
        <v>295</v>
      </c>
      <c r="I220" s="193" t="e">
        <f>VLOOKUP(H222,Preenchimento!$A:$BV,2,0)</f>
        <v>#N/A</v>
      </c>
      <c r="J220" s="193" t="e">
        <f>VLOOKUP(I222,Preenchimento!$A:$BV,2,0)</f>
        <v>#N/A</v>
      </c>
      <c r="K220" s="193" t="e">
        <f>VLOOKUP(J222,Preenchimento!$A:$BV,2,0)</f>
        <v>#N/A</v>
      </c>
      <c r="L220" s="194" t="e">
        <f>VLOOKUP(K222,Preenchimento!$A:$BV,2,0)</f>
        <v>#N/A</v>
      </c>
      <c r="M220" s="121" t="s">
        <v>295</v>
      </c>
      <c r="O220" s="193" t="e">
        <f>VLOOKUP(N222,Preenchimento!$A:$BV,2,0)</f>
        <v>#N/A</v>
      </c>
      <c r="P220" s="193" t="e">
        <f>VLOOKUP(O222,Preenchimento!$A:$BV,2,0)</f>
        <v>#N/A</v>
      </c>
      <c r="Q220" s="193" t="e">
        <f>VLOOKUP(P222,Preenchimento!$A:$BV,2,0)</f>
        <v>#N/A</v>
      </c>
      <c r="R220" s="194" t="e">
        <f>VLOOKUP(Q222,Preenchimento!$A:$BV,2,0)</f>
        <v>#N/A</v>
      </c>
      <c r="S220" s="121" t="s">
        <v>295</v>
      </c>
      <c r="U220" s="193" t="e">
        <f>VLOOKUP(T222,Preenchimento!$A:$BV,2,0)</f>
        <v>#N/A</v>
      </c>
      <c r="V220" s="193" t="e">
        <f>VLOOKUP(U222,Preenchimento!$A:$BV,2,0)</f>
        <v>#N/A</v>
      </c>
      <c r="W220" s="193" t="e">
        <f>VLOOKUP(V222,Preenchimento!$A:$BV,2,0)</f>
        <v>#N/A</v>
      </c>
      <c r="X220" s="194" t="e">
        <f>VLOOKUP(W222,Preenchimento!$A:$BV,2,0)</f>
        <v>#N/A</v>
      </c>
    </row>
    <row r="221" spans="1:24" ht="9.75" customHeight="1" x14ac:dyDescent="0.15">
      <c r="A221" s="121" t="s">
        <v>296</v>
      </c>
      <c r="B221" s="193" t="e">
        <f>VLOOKUP(B222,Preenchimento!$A:$BV,3,0)</f>
        <v>#N/A</v>
      </c>
      <c r="C221" s="193" t="e">
        <f>VLOOKUP(C222,Preenchimento!$A:$BV,3,0)</f>
        <v>#N/A</v>
      </c>
      <c r="D221" s="120" t="s">
        <v>297</v>
      </c>
      <c r="E221" s="197" t="e">
        <f>VLOOKUP(B222,Preenchimento!$A:$BV,5,0)</f>
        <v>#N/A</v>
      </c>
      <c r="F221" s="198" t="e">
        <f>VLOOKUP(C222,Preenchimento!$A:$BV,5,0)</f>
        <v>#N/A</v>
      </c>
      <c r="G221" s="121" t="s">
        <v>296</v>
      </c>
      <c r="H221" s="193" t="e">
        <f>VLOOKUP(H222,Preenchimento!$A:$BV,3,0)</f>
        <v>#N/A</v>
      </c>
      <c r="I221" s="193" t="e">
        <f>VLOOKUP(I222,Preenchimento!$A:$BV,3,0)</f>
        <v>#N/A</v>
      </c>
      <c r="J221" s="120" t="s">
        <v>297</v>
      </c>
      <c r="K221" s="197" t="e">
        <f>VLOOKUP(H222,Preenchimento!$A:$BV,5,0)</f>
        <v>#N/A</v>
      </c>
      <c r="L221" s="198" t="e">
        <f>VLOOKUP(I222,Preenchimento!$A:$BV,5,0)</f>
        <v>#N/A</v>
      </c>
      <c r="M221" s="121" t="s">
        <v>296</v>
      </c>
      <c r="N221" s="193" t="e">
        <f>VLOOKUP(N222,Preenchimento!$A:$BV,3,0)</f>
        <v>#N/A</v>
      </c>
      <c r="O221" s="193" t="e">
        <f>VLOOKUP(O222,Preenchimento!$A:$BV,3,0)</f>
        <v>#N/A</v>
      </c>
      <c r="P221" s="120" t="s">
        <v>297</v>
      </c>
      <c r="Q221" s="197" t="e">
        <f>VLOOKUP(N222,Preenchimento!$A:$BV,5,0)</f>
        <v>#N/A</v>
      </c>
      <c r="R221" s="198" t="e">
        <f>VLOOKUP(O222,Preenchimento!$A:$BV,5,0)</f>
        <v>#N/A</v>
      </c>
      <c r="S221" s="121" t="s">
        <v>296</v>
      </c>
      <c r="T221" s="193" t="e">
        <f>VLOOKUP(T222,Preenchimento!$A:$BV,3,0)</f>
        <v>#N/A</v>
      </c>
      <c r="U221" s="193" t="e">
        <f>VLOOKUP(U222,Preenchimento!$A:$BV,3,0)</f>
        <v>#N/A</v>
      </c>
      <c r="V221" s="120" t="s">
        <v>297</v>
      </c>
      <c r="W221" s="197" t="e">
        <f>VLOOKUP(T222,Preenchimento!$A:$BV,5,0)</f>
        <v>#N/A</v>
      </c>
      <c r="X221" s="198" t="e">
        <f>VLOOKUP(U222,Preenchimento!$A:$BV,5,0)</f>
        <v>#N/A</v>
      </c>
    </row>
    <row r="222" spans="1:24" ht="9.75" customHeight="1" x14ac:dyDescent="0.15">
      <c r="A222" s="121" t="s">
        <v>298</v>
      </c>
      <c r="B222" s="193"/>
      <c r="C222" s="193"/>
      <c r="D222" s="120" t="s">
        <v>299</v>
      </c>
      <c r="F222" s="131" t="e">
        <f>VLOOKUP(B222,Preenchimento!$A:$BV,10,0)</f>
        <v>#N/A</v>
      </c>
      <c r="G222" s="121" t="s">
        <v>298</v>
      </c>
      <c r="H222" s="193"/>
      <c r="I222" s="193"/>
      <c r="J222" s="120" t="s">
        <v>299</v>
      </c>
      <c r="L222" s="131" t="e">
        <f>VLOOKUP(H222,Preenchimento!$A:$BV,10,0)</f>
        <v>#N/A</v>
      </c>
      <c r="M222" s="121" t="s">
        <v>298</v>
      </c>
      <c r="N222" s="193"/>
      <c r="O222" s="193"/>
      <c r="P222" s="120" t="s">
        <v>299</v>
      </c>
      <c r="R222" s="131" t="e">
        <f>VLOOKUP(N222,Preenchimento!$A:$BV,10,0)</f>
        <v>#N/A</v>
      </c>
      <c r="S222" s="121" t="s">
        <v>298</v>
      </c>
      <c r="T222" s="193"/>
      <c r="U222" s="193"/>
      <c r="V222" s="120" t="s">
        <v>299</v>
      </c>
      <c r="X222" s="131" t="e">
        <f>VLOOKUP(T222,Preenchimento!$A:$BV,10,0)</f>
        <v>#N/A</v>
      </c>
    </row>
    <row r="223" spans="1:24" ht="9.75" customHeight="1" x14ac:dyDescent="0.15">
      <c r="A223" s="121" t="s">
        <v>300</v>
      </c>
      <c r="C223" s="193" t="e">
        <f>VLOOKUP(B222,Preenchimento!$A:$BV,12,0)</f>
        <v>#N/A</v>
      </c>
      <c r="D223" s="193" t="e">
        <f>VLOOKUP(C222,Preenchimento!$A:$BV,12,0)</f>
        <v>#N/A</v>
      </c>
      <c r="E223" s="193" t="e">
        <f>VLOOKUP(D222,Preenchimento!$A:$BV,12,0)</f>
        <v>#N/A</v>
      </c>
      <c r="F223" s="194" t="e">
        <f>VLOOKUP(E222,Preenchimento!$A:$BV,12,0)</f>
        <v>#N/A</v>
      </c>
      <c r="G223" s="121" t="s">
        <v>300</v>
      </c>
      <c r="I223" s="193" t="e">
        <f>VLOOKUP(H222,Preenchimento!$A:$BV,12,0)</f>
        <v>#N/A</v>
      </c>
      <c r="J223" s="193" t="e">
        <f>VLOOKUP(I222,Preenchimento!$A:$BV,12,0)</f>
        <v>#N/A</v>
      </c>
      <c r="K223" s="193" t="e">
        <f>VLOOKUP(J222,Preenchimento!$A:$BV,12,0)</f>
        <v>#N/A</v>
      </c>
      <c r="L223" s="194" t="e">
        <f>VLOOKUP(K222,Preenchimento!$A:$BV,12,0)</f>
        <v>#N/A</v>
      </c>
      <c r="M223" s="121" t="s">
        <v>300</v>
      </c>
      <c r="O223" s="193" t="e">
        <f>VLOOKUP(N222,Preenchimento!$A:$BV,12,0)</f>
        <v>#N/A</v>
      </c>
      <c r="P223" s="193" t="e">
        <f>VLOOKUP(O222,Preenchimento!$A:$BV,12,0)</f>
        <v>#N/A</v>
      </c>
      <c r="Q223" s="193" t="e">
        <f>VLOOKUP(P222,Preenchimento!$A:$BV,12,0)</f>
        <v>#N/A</v>
      </c>
      <c r="R223" s="194" t="e">
        <f>VLOOKUP(Q222,Preenchimento!$A:$BV,12,0)</f>
        <v>#N/A</v>
      </c>
      <c r="S223" s="121" t="s">
        <v>300</v>
      </c>
      <c r="U223" s="193" t="e">
        <f>VLOOKUP(T222,Preenchimento!$A:$BV,12,0)</f>
        <v>#N/A</v>
      </c>
      <c r="V223" s="193" t="e">
        <f>VLOOKUP(U222,Preenchimento!$A:$BV,12,0)</f>
        <v>#N/A</v>
      </c>
      <c r="W223" s="193" t="e">
        <f>VLOOKUP(V222,Preenchimento!$A:$BV,12,0)</f>
        <v>#N/A</v>
      </c>
      <c r="X223" s="194" t="e">
        <f>VLOOKUP(W222,Preenchimento!$A:$BV,12,0)</f>
        <v>#N/A</v>
      </c>
    </row>
    <row r="224" spans="1:24" ht="9.75" customHeight="1" x14ac:dyDescent="0.15">
      <c r="A224" s="123" t="s">
        <v>301</v>
      </c>
      <c r="B224" s="195" t="e">
        <f>IF(VLOOKUP(B222,Preenchimento!$A:$BV,11,0)=0,"",VLOOKUP(B222,Preenchimento!$A:$BV,11,0))</f>
        <v>#N/A</v>
      </c>
      <c r="C224" s="195"/>
      <c r="D224" s="195"/>
      <c r="E224" s="195"/>
      <c r="F224" s="196"/>
      <c r="G224" s="123" t="s">
        <v>301</v>
      </c>
      <c r="H224" s="195" t="e">
        <f>IF(VLOOKUP(H222,Preenchimento!$A:$BV,11,0)=0,"",VLOOKUP(H222,Preenchimento!$A:$BV,11,0))</f>
        <v>#N/A</v>
      </c>
      <c r="I224" s="195"/>
      <c r="J224" s="195"/>
      <c r="K224" s="195"/>
      <c r="L224" s="196"/>
      <c r="M224" s="123" t="s">
        <v>301</v>
      </c>
      <c r="N224" s="195" t="e">
        <f>IF(VLOOKUP(N222,Preenchimento!$A:$BV,11,0)=0,"",VLOOKUP(N222,Preenchimento!$A:$BV,11,0))</f>
        <v>#N/A</v>
      </c>
      <c r="O224" s="195"/>
      <c r="P224" s="195"/>
      <c r="Q224" s="195"/>
      <c r="R224" s="196"/>
      <c r="S224" s="123" t="s">
        <v>301</v>
      </c>
      <c r="T224" s="195" t="e">
        <f>IF(VLOOKUP(T222,Preenchimento!$A:$BV,11,0)=0,"",VLOOKUP(T222,Preenchimento!$A:$BV,11,0))</f>
        <v>#N/A</v>
      </c>
      <c r="U224" s="195"/>
      <c r="V224" s="195"/>
      <c r="W224" s="195"/>
      <c r="X224" s="196"/>
    </row>
    <row r="225" spans="1:24" s="130" customFormat="1" ht="33.950000000000003" customHeight="1" x14ac:dyDescent="0.25">
      <c r="A225" s="199" t="str">
        <f>Sitio!$A$3</f>
        <v>Projeto 01</v>
      </c>
      <c r="B225" s="200"/>
      <c r="C225" s="200"/>
      <c r="D225" s="200"/>
      <c r="E225" s="200"/>
      <c r="F225" s="201"/>
      <c r="G225" s="199" t="str">
        <f>Sitio!$A$3</f>
        <v>Projeto 01</v>
      </c>
      <c r="H225" s="200"/>
      <c r="I225" s="200"/>
      <c r="J225" s="200"/>
      <c r="K225" s="200"/>
      <c r="L225" s="201"/>
      <c r="M225" s="199" t="str">
        <f>Sitio!$A$3</f>
        <v>Projeto 01</v>
      </c>
      <c r="N225" s="200"/>
      <c r="O225" s="200"/>
      <c r="P225" s="200"/>
      <c r="Q225" s="200"/>
      <c r="R225" s="201"/>
      <c r="S225" s="199" t="str">
        <f>Sitio!$A$3</f>
        <v>Projeto 01</v>
      </c>
      <c r="T225" s="200"/>
      <c r="U225" s="200"/>
      <c r="V225" s="200"/>
      <c r="W225" s="200"/>
      <c r="X225" s="201"/>
    </row>
    <row r="226" spans="1:24" ht="9.75" customHeight="1" x14ac:dyDescent="0.15">
      <c r="A226" s="121" t="s">
        <v>294</v>
      </c>
      <c r="B226" s="193">
        <f>Sitio!$E$3</f>
        <v>0</v>
      </c>
      <c r="C226" s="193"/>
      <c r="D226" s="193"/>
      <c r="E226" s="193"/>
      <c r="F226" s="194"/>
      <c r="G226" s="121" t="s">
        <v>294</v>
      </c>
      <c r="H226" s="193">
        <f>Sitio!$E$3</f>
        <v>0</v>
      </c>
      <c r="I226" s="193"/>
      <c r="J226" s="193"/>
      <c r="K226" s="193"/>
      <c r="L226" s="194"/>
      <c r="M226" s="121" t="s">
        <v>294</v>
      </c>
      <c r="N226" s="193">
        <f>Sitio!$E$3</f>
        <v>0</v>
      </c>
      <c r="O226" s="193"/>
      <c r="P226" s="193"/>
      <c r="Q226" s="193"/>
      <c r="R226" s="194"/>
      <c r="S226" s="121" t="s">
        <v>294</v>
      </c>
      <c r="T226" s="193">
        <f>Sitio!$E$3</f>
        <v>0</v>
      </c>
      <c r="U226" s="193"/>
      <c r="V226" s="193"/>
      <c r="W226" s="193"/>
      <c r="X226" s="194"/>
    </row>
    <row r="227" spans="1:24" ht="9.75" customHeight="1" x14ac:dyDescent="0.15">
      <c r="A227" s="121" t="s">
        <v>295</v>
      </c>
      <c r="C227" s="193" t="e">
        <f>VLOOKUP(B229,Preenchimento!$A:$BV,2,0)</f>
        <v>#N/A</v>
      </c>
      <c r="D227" s="193" t="e">
        <f>VLOOKUP(C229,Preenchimento!$A:$BV,2,0)</f>
        <v>#N/A</v>
      </c>
      <c r="E227" s="193" t="e">
        <f>VLOOKUP(D229,Preenchimento!$A:$BV,2,0)</f>
        <v>#N/A</v>
      </c>
      <c r="F227" s="194" t="e">
        <f>VLOOKUP(E229,Preenchimento!$A:$BV,2,0)</f>
        <v>#N/A</v>
      </c>
      <c r="G227" s="121" t="s">
        <v>295</v>
      </c>
      <c r="I227" s="193" t="e">
        <f>VLOOKUP(H229,Preenchimento!$A:$BV,2,0)</f>
        <v>#N/A</v>
      </c>
      <c r="J227" s="193" t="e">
        <f>VLOOKUP(I229,Preenchimento!$A:$BV,2,0)</f>
        <v>#N/A</v>
      </c>
      <c r="K227" s="193" t="e">
        <f>VLOOKUP(J229,Preenchimento!$A:$BV,2,0)</f>
        <v>#N/A</v>
      </c>
      <c r="L227" s="194" t="e">
        <f>VLOOKUP(K229,Preenchimento!$A:$BV,2,0)</f>
        <v>#N/A</v>
      </c>
      <c r="M227" s="121" t="s">
        <v>295</v>
      </c>
      <c r="O227" s="193" t="e">
        <f>VLOOKUP(N229,Preenchimento!$A:$BV,2,0)</f>
        <v>#N/A</v>
      </c>
      <c r="P227" s="193" t="e">
        <f>VLOOKUP(O229,Preenchimento!$A:$BV,2,0)</f>
        <v>#N/A</v>
      </c>
      <c r="Q227" s="193" t="e">
        <f>VLOOKUP(P229,Preenchimento!$A:$BV,2,0)</f>
        <v>#N/A</v>
      </c>
      <c r="R227" s="194" t="e">
        <f>VLOOKUP(Q229,Preenchimento!$A:$BV,2,0)</f>
        <v>#N/A</v>
      </c>
      <c r="S227" s="121" t="s">
        <v>295</v>
      </c>
      <c r="U227" s="193" t="e">
        <f>VLOOKUP(T229,Preenchimento!$A:$BV,2,0)</f>
        <v>#N/A</v>
      </c>
      <c r="V227" s="193" t="e">
        <f>VLOOKUP(U229,Preenchimento!$A:$BV,2,0)</f>
        <v>#N/A</v>
      </c>
      <c r="W227" s="193" t="e">
        <f>VLOOKUP(V229,Preenchimento!$A:$BV,2,0)</f>
        <v>#N/A</v>
      </c>
      <c r="X227" s="194" t="e">
        <f>VLOOKUP(W229,Preenchimento!$A:$BV,2,0)</f>
        <v>#N/A</v>
      </c>
    </row>
    <row r="228" spans="1:24" ht="9.75" customHeight="1" x14ac:dyDescent="0.15">
      <c r="A228" s="121" t="s">
        <v>296</v>
      </c>
      <c r="B228" s="193" t="e">
        <f>VLOOKUP(B229,Preenchimento!$A:$BV,3,0)</f>
        <v>#N/A</v>
      </c>
      <c r="C228" s="193" t="e">
        <f>VLOOKUP(C229,Preenchimento!$A:$BV,3,0)</f>
        <v>#N/A</v>
      </c>
      <c r="D228" s="120" t="s">
        <v>297</v>
      </c>
      <c r="E228" s="197" t="e">
        <f>VLOOKUP(B229,Preenchimento!$A:$BV,5,0)</f>
        <v>#N/A</v>
      </c>
      <c r="F228" s="198" t="e">
        <f>VLOOKUP(C229,Preenchimento!$A:$BV,5,0)</f>
        <v>#N/A</v>
      </c>
      <c r="G228" s="121" t="s">
        <v>296</v>
      </c>
      <c r="H228" s="193" t="e">
        <f>VLOOKUP(H229,Preenchimento!$A:$BV,3,0)</f>
        <v>#N/A</v>
      </c>
      <c r="I228" s="193" t="e">
        <f>VLOOKUP(I229,Preenchimento!$A:$BV,3,0)</f>
        <v>#N/A</v>
      </c>
      <c r="J228" s="120" t="s">
        <v>297</v>
      </c>
      <c r="K228" s="197" t="e">
        <f>VLOOKUP(H229,Preenchimento!$A:$BV,5,0)</f>
        <v>#N/A</v>
      </c>
      <c r="L228" s="198" t="e">
        <f>VLOOKUP(I229,Preenchimento!$A:$BV,5,0)</f>
        <v>#N/A</v>
      </c>
      <c r="M228" s="121" t="s">
        <v>296</v>
      </c>
      <c r="N228" s="193" t="e">
        <f>VLOOKUP(N229,Preenchimento!$A:$BV,3,0)</f>
        <v>#N/A</v>
      </c>
      <c r="O228" s="193" t="e">
        <f>VLOOKUP(O229,Preenchimento!$A:$BV,3,0)</f>
        <v>#N/A</v>
      </c>
      <c r="P228" s="120" t="s">
        <v>297</v>
      </c>
      <c r="Q228" s="197" t="e">
        <f>VLOOKUP(N229,Preenchimento!$A:$BV,5,0)</f>
        <v>#N/A</v>
      </c>
      <c r="R228" s="198" t="e">
        <f>VLOOKUP(O229,Preenchimento!$A:$BV,5,0)</f>
        <v>#N/A</v>
      </c>
      <c r="S228" s="121" t="s">
        <v>296</v>
      </c>
      <c r="T228" s="193" t="e">
        <f>VLOOKUP(T229,Preenchimento!$A:$BV,3,0)</f>
        <v>#N/A</v>
      </c>
      <c r="U228" s="193" t="e">
        <f>VLOOKUP(U229,Preenchimento!$A:$BV,3,0)</f>
        <v>#N/A</v>
      </c>
      <c r="V228" s="120" t="s">
        <v>297</v>
      </c>
      <c r="W228" s="197" t="e">
        <f>VLOOKUP(T229,Preenchimento!$A:$BV,5,0)</f>
        <v>#N/A</v>
      </c>
      <c r="X228" s="198" t="e">
        <f>VLOOKUP(U229,Preenchimento!$A:$BV,5,0)</f>
        <v>#N/A</v>
      </c>
    </row>
    <row r="229" spans="1:24" ht="9.75" customHeight="1" x14ac:dyDescent="0.15">
      <c r="A229" s="121" t="s">
        <v>298</v>
      </c>
      <c r="B229" s="193"/>
      <c r="C229" s="193"/>
      <c r="D229" s="120" t="s">
        <v>299</v>
      </c>
      <c r="F229" s="131" t="e">
        <f>VLOOKUP(B229,Preenchimento!$A:$BV,10,0)</f>
        <v>#N/A</v>
      </c>
      <c r="G229" s="121" t="s">
        <v>298</v>
      </c>
      <c r="H229" s="193"/>
      <c r="I229" s="193"/>
      <c r="J229" s="120" t="s">
        <v>299</v>
      </c>
      <c r="L229" s="131" t="e">
        <f>VLOOKUP(H229,Preenchimento!$A:$BV,10,0)</f>
        <v>#N/A</v>
      </c>
      <c r="M229" s="121" t="s">
        <v>298</v>
      </c>
      <c r="N229" s="193"/>
      <c r="O229" s="193"/>
      <c r="P229" s="120" t="s">
        <v>299</v>
      </c>
      <c r="R229" s="131" t="e">
        <f>VLOOKUP(N229,Preenchimento!$A:$BV,10,0)</f>
        <v>#N/A</v>
      </c>
      <c r="S229" s="121" t="s">
        <v>298</v>
      </c>
      <c r="T229" s="193"/>
      <c r="U229" s="193"/>
      <c r="V229" s="120" t="s">
        <v>299</v>
      </c>
      <c r="X229" s="131" t="e">
        <f>VLOOKUP(T229,Preenchimento!$A:$BV,10,0)</f>
        <v>#N/A</v>
      </c>
    </row>
    <row r="230" spans="1:24" ht="9.75" customHeight="1" x14ac:dyDescent="0.15">
      <c r="A230" s="121" t="s">
        <v>300</v>
      </c>
      <c r="C230" s="193" t="e">
        <f>VLOOKUP(B229,Preenchimento!$A:$BV,12,0)</f>
        <v>#N/A</v>
      </c>
      <c r="D230" s="193" t="e">
        <f>VLOOKUP(C229,Preenchimento!$A:$BV,12,0)</f>
        <v>#N/A</v>
      </c>
      <c r="E230" s="193" t="e">
        <f>VLOOKUP(D229,Preenchimento!$A:$BV,12,0)</f>
        <v>#N/A</v>
      </c>
      <c r="F230" s="194" t="e">
        <f>VLOOKUP(E229,Preenchimento!$A:$BV,12,0)</f>
        <v>#N/A</v>
      </c>
      <c r="G230" s="121" t="s">
        <v>300</v>
      </c>
      <c r="I230" s="193" t="e">
        <f>VLOOKUP(H229,Preenchimento!$A:$BV,12,0)</f>
        <v>#N/A</v>
      </c>
      <c r="J230" s="193" t="e">
        <f>VLOOKUP(I229,Preenchimento!$A:$BV,12,0)</f>
        <v>#N/A</v>
      </c>
      <c r="K230" s="193" t="e">
        <f>VLOOKUP(J229,Preenchimento!$A:$BV,12,0)</f>
        <v>#N/A</v>
      </c>
      <c r="L230" s="194" t="e">
        <f>VLOOKUP(K229,Preenchimento!$A:$BV,12,0)</f>
        <v>#N/A</v>
      </c>
      <c r="M230" s="121" t="s">
        <v>300</v>
      </c>
      <c r="O230" s="193" t="e">
        <f>VLOOKUP(N229,Preenchimento!$A:$BV,12,0)</f>
        <v>#N/A</v>
      </c>
      <c r="P230" s="193" t="e">
        <f>VLOOKUP(O229,Preenchimento!$A:$BV,12,0)</f>
        <v>#N/A</v>
      </c>
      <c r="Q230" s="193" t="e">
        <f>VLOOKUP(P229,Preenchimento!$A:$BV,12,0)</f>
        <v>#N/A</v>
      </c>
      <c r="R230" s="194" t="e">
        <f>VLOOKUP(Q229,Preenchimento!$A:$BV,12,0)</f>
        <v>#N/A</v>
      </c>
      <c r="S230" s="121" t="s">
        <v>300</v>
      </c>
      <c r="U230" s="193" t="e">
        <f>VLOOKUP(T229,Preenchimento!$A:$BV,12,0)</f>
        <v>#N/A</v>
      </c>
      <c r="V230" s="193" t="e">
        <f>VLOOKUP(U229,Preenchimento!$A:$BV,12,0)</f>
        <v>#N/A</v>
      </c>
      <c r="W230" s="193" t="e">
        <f>VLOOKUP(V229,Preenchimento!$A:$BV,12,0)</f>
        <v>#N/A</v>
      </c>
      <c r="X230" s="194" t="e">
        <f>VLOOKUP(W229,Preenchimento!$A:$BV,12,0)</f>
        <v>#N/A</v>
      </c>
    </row>
    <row r="231" spans="1:24" ht="9.75" customHeight="1" x14ac:dyDescent="0.15">
      <c r="A231" s="123" t="s">
        <v>301</v>
      </c>
      <c r="B231" s="195" t="e">
        <f>IF(VLOOKUP(B229,Preenchimento!$A:$BV,11,0)=0,"",VLOOKUP(B229,Preenchimento!$A:$BV,11,0))</f>
        <v>#N/A</v>
      </c>
      <c r="C231" s="195"/>
      <c r="D231" s="195"/>
      <c r="E231" s="195"/>
      <c r="F231" s="196"/>
      <c r="G231" s="123" t="s">
        <v>301</v>
      </c>
      <c r="H231" s="195" t="e">
        <f>IF(VLOOKUP(H229,Preenchimento!$A:$BV,11,0)=0,"",VLOOKUP(H229,Preenchimento!$A:$BV,11,0))</f>
        <v>#N/A</v>
      </c>
      <c r="I231" s="195"/>
      <c r="J231" s="195"/>
      <c r="K231" s="195"/>
      <c r="L231" s="196"/>
      <c r="M231" s="123" t="s">
        <v>301</v>
      </c>
      <c r="N231" s="195" t="e">
        <f>IF(VLOOKUP(N229,Preenchimento!$A:$BV,11,0)=0,"",VLOOKUP(N229,Preenchimento!$A:$BV,11,0))</f>
        <v>#N/A</v>
      </c>
      <c r="O231" s="195"/>
      <c r="P231" s="195"/>
      <c r="Q231" s="195"/>
      <c r="R231" s="196"/>
      <c r="S231" s="123" t="s">
        <v>301</v>
      </c>
      <c r="T231" s="195" t="e">
        <f>IF(VLOOKUP(T229,Preenchimento!$A:$BV,11,0)=0,"",VLOOKUP(T229,Preenchimento!$A:$BV,11,0))</f>
        <v>#N/A</v>
      </c>
      <c r="U231" s="195"/>
      <c r="V231" s="195"/>
      <c r="W231" s="195"/>
      <c r="X231" s="196"/>
    </row>
    <row r="232" spans="1:24" s="130" customFormat="1" ht="33.950000000000003" customHeight="1" x14ac:dyDescent="0.25">
      <c r="A232" s="199" t="str">
        <f>Sitio!$A$3</f>
        <v>Projeto 01</v>
      </c>
      <c r="B232" s="200"/>
      <c r="C232" s="200"/>
      <c r="D232" s="200"/>
      <c r="E232" s="200"/>
      <c r="F232" s="201"/>
      <c r="G232" s="199" t="str">
        <f>Sitio!$A$3</f>
        <v>Projeto 01</v>
      </c>
      <c r="H232" s="200"/>
      <c r="I232" s="200"/>
      <c r="J232" s="200"/>
      <c r="K232" s="200"/>
      <c r="L232" s="201"/>
      <c r="M232" s="199" t="str">
        <f>Sitio!$A$3</f>
        <v>Projeto 01</v>
      </c>
      <c r="N232" s="200"/>
      <c r="O232" s="200"/>
      <c r="P232" s="200"/>
      <c r="Q232" s="200"/>
      <c r="R232" s="201"/>
      <c r="S232" s="199" t="str">
        <f>Sitio!$A$3</f>
        <v>Projeto 01</v>
      </c>
      <c r="T232" s="200"/>
      <c r="U232" s="200"/>
      <c r="V232" s="200"/>
      <c r="W232" s="200"/>
      <c r="X232" s="201"/>
    </row>
    <row r="233" spans="1:24" ht="9.75" customHeight="1" x14ac:dyDescent="0.15">
      <c r="A233" s="121" t="s">
        <v>294</v>
      </c>
      <c r="B233" s="193">
        <f>Sitio!$E$3</f>
        <v>0</v>
      </c>
      <c r="C233" s="193"/>
      <c r="D233" s="193"/>
      <c r="E233" s="193"/>
      <c r="F233" s="194"/>
      <c r="G233" s="121" t="s">
        <v>294</v>
      </c>
      <c r="H233" s="193">
        <f>Sitio!$E$3</f>
        <v>0</v>
      </c>
      <c r="I233" s="193"/>
      <c r="J233" s="193"/>
      <c r="K233" s="193"/>
      <c r="L233" s="194"/>
      <c r="M233" s="121" t="s">
        <v>294</v>
      </c>
      <c r="N233" s="193">
        <f>Sitio!$E$3</f>
        <v>0</v>
      </c>
      <c r="O233" s="193"/>
      <c r="P233" s="193"/>
      <c r="Q233" s="193"/>
      <c r="R233" s="194"/>
      <c r="S233" s="121" t="s">
        <v>294</v>
      </c>
      <c r="T233" s="193">
        <f>Sitio!$E$3</f>
        <v>0</v>
      </c>
      <c r="U233" s="193"/>
      <c r="V233" s="193"/>
      <c r="W233" s="193"/>
      <c r="X233" s="194"/>
    </row>
    <row r="234" spans="1:24" ht="9.75" customHeight="1" x14ac:dyDescent="0.15">
      <c r="A234" s="121" t="s">
        <v>295</v>
      </c>
      <c r="C234" s="193" t="e">
        <f>VLOOKUP(B236,Preenchimento!$A:$BV,2,0)</f>
        <v>#N/A</v>
      </c>
      <c r="D234" s="193" t="e">
        <f>VLOOKUP(C236,Preenchimento!$A:$BV,2,0)</f>
        <v>#N/A</v>
      </c>
      <c r="E234" s="193" t="e">
        <f>VLOOKUP(D236,Preenchimento!$A:$BV,2,0)</f>
        <v>#N/A</v>
      </c>
      <c r="F234" s="194" t="e">
        <f>VLOOKUP(E236,Preenchimento!$A:$BV,2,0)</f>
        <v>#N/A</v>
      </c>
      <c r="G234" s="121" t="s">
        <v>295</v>
      </c>
      <c r="I234" s="193" t="e">
        <f>VLOOKUP(H236,Preenchimento!$A:$BV,2,0)</f>
        <v>#N/A</v>
      </c>
      <c r="J234" s="193" t="e">
        <f>VLOOKUP(I236,Preenchimento!$A:$BV,2,0)</f>
        <v>#N/A</v>
      </c>
      <c r="K234" s="193" t="e">
        <f>VLOOKUP(J236,Preenchimento!$A:$BV,2,0)</f>
        <v>#N/A</v>
      </c>
      <c r="L234" s="194" t="e">
        <f>VLOOKUP(K236,Preenchimento!$A:$BV,2,0)</f>
        <v>#N/A</v>
      </c>
      <c r="M234" s="121" t="s">
        <v>295</v>
      </c>
      <c r="O234" s="193" t="e">
        <f>VLOOKUP(N236,Preenchimento!$A:$BV,2,0)</f>
        <v>#N/A</v>
      </c>
      <c r="P234" s="193" t="e">
        <f>VLOOKUP(O236,Preenchimento!$A:$BV,2,0)</f>
        <v>#N/A</v>
      </c>
      <c r="Q234" s="193" t="e">
        <f>VLOOKUP(P236,Preenchimento!$A:$BV,2,0)</f>
        <v>#N/A</v>
      </c>
      <c r="R234" s="194" t="e">
        <f>VLOOKUP(Q236,Preenchimento!$A:$BV,2,0)</f>
        <v>#N/A</v>
      </c>
      <c r="S234" s="121" t="s">
        <v>295</v>
      </c>
      <c r="U234" s="193" t="e">
        <f>VLOOKUP(T236,Preenchimento!$A:$BV,2,0)</f>
        <v>#N/A</v>
      </c>
      <c r="V234" s="193" t="e">
        <f>VLOOKUP(U236,Preenchimento!$A:$BV,2,0)</f>
        <v>#N/A</v>
      </c>
      <c r="W234" s="193" t="e">
        <f>VLOOKUP(V236,Preenchimento!$A:$BV,2,0)</f>
        <v>#N/A</v>
      </c>
      <c r="X234" s="194" t="e">
        <f>VLOOKUP(W236,Preenchimento!$A:$BV,2,0)</f>
        <v>#N/A</v>
      </c>
    </row>
    <row r="235" spans="1:24" ht="9.75" customHeight="1" x14ac:dyDescent="0.15">
      <c r="A235" s="121" t="s">
        <v>296</v>
      </c>
      <c r="B235" s="193" t="e">
        <f>VLOOKUP(B236,Preenchimento!$A:$BV,3,0)</f>
        <v>#N/A</v>
      </c>
      <c r="C235" s="193" t="e">
        <f>VLOOKUP(C236,Preenchimento!$A:$BV,3,0)</f>
        <v>#N/A</v>
      </c>
      <c r="D235" s="120" t="s">
        <v>297</v>
      </c>
      <c r="E235" s="197" t="e">
        <f>VLOOKUP(B236,Preenchimento!$A:$BV,5,0)</f>
        <v>#N/A</v>
      </c>
      <c r="F235" s="198" t="e">
        <f>VLOOKUP(C236,Preenchimento!$A:$BV,5,0)</f>
        <v>#N/A</v>
      </c>
      <c r="G235" s="121" t="s">
        <v>296</v>
      </c>
      <c r="H235" s="193" t="e">
        <f>VLOOKUP(H236,Preenchimento!$A:$BV,3,0)</f>
        <v>#N/A</v>
      </c>
      <c r="I235" s="193" t="e">
        <f>VLOOKUP(I236,Preenchimento!$A:$BV,3,0)</f>
        <v>#N/A</v>
      </c>
      <c r="J235" s="120" t="s">
        <v>297</v>
      </c>
      <c r="K235" s="197" t="e">
        <f>VLOOKUP(H236,Preenchimento!$A:$BV,5,0)</f>
        <v>#N/A</v>
      </c>
      <c r="L235" s="198" t="e">
        <f>VLOOKUP(I236,Preenchimento!$A:$BV,5,0)</f>
        <v>#N/A</v>
      </c>
      <c r="M235" s="121" t="s">
        <v>296</v>
      </c>
      <c r="N235" s="193" t="e">
        <f>VLOOKUP(N236,Preenchimento!$A:$BV,3,0)</f>
        <v>#N/A</v>
      </c>
      <c r="O235" s="193" t="e">
        <f>VLOOKUP(O236,Preenchimento!$A:$BV,3,0)</f>
        <v>#N/A</v>
      </c>
      <c r="P235" s="120" t="s">
        <v>297</v>
      </c>
      <c r="Q235" s="197" t="e">
        <f>VLOOKUP(N236,Preenchimento!$A:$BV,5,0)</f>
        <v>#N/A</v>
      </c>
      <c r="R235" s="198" t="e">
        <f>VLOOKUP(O236,Preenchimento!$A:$BV,5,0)</f>
        <v>#N/A</v>
      </c>
      <c r="S235" s="121" t="s">
        <v>296</v>
      </c>
      <c r="T235" s="193" t="e">
        <f>VLOOKUP(T236,Preenchimento!$A:$BV,3,0)</f>
        <v>#N/A</v>
      </c>
      <c r="U235" s="193" t="e">
        <f>VLOOKUP(U236,Preenchimento!$A:$BV,3,0)</f>
        <v>#N/A</v>
      </c>
      <c r="V235" s="120" t="s">
        <v>297</v>
      </c>
      <c r="W235" s="197" t="e">
        <f>VLOOKUP(T236,Preenchimento!$A:$BV,5,0)</f>
        <v>#N/A</v>
      </c>
      <c r="X235" s="198" t="e">
        <f>VLOOKUP(U236,Preenchimento!$A:$BV,5,0)</f>
        <v>#N/A</v>
      </c>
    </row>
    <row r="236" spans="1:24" ht="9.75" customHeight="1" x14ac:dyDescent="0.15">
      <c r="A236" s="121" t="s">
        <v>298</v>
      </c>
      <c r="B236" s="193"/>
      <c r="C236" s="193"/>
      <c r="D236" s="120" t="s">
        <v>299</v>
      </c>
      <c r="F236" s="131" t="e">
        <f>VLOOKUP(B236,Preenchimento!$A:$BV,10,0)</f>
        <v>#N/A</v>
      </c>
      <c r="G236" s="121" t="s">
        <v>298</v>
      </c>
      <c r="H236" s="193"/>
      <c r="I236" s="193"/>
      <c r="J236" s="120" t="s">
        <v>299</v>
      </c>
      <c r="L236" s="131" t="e">
        <f>VLOOKUP(H236,Preenchimento!$A:$BV,10,0)</f>
        <v>#N/A</v>
      </c>
      <c r="M236" s="121" t="s">
        <v>298</v>
      </c>
      <c r="N236" s="193"/>
      <c r="O236" s="193"/>
      <c r="P236" s="120" t="s">
        <v>299</v>
      </c>
      <c r="R236" s="131" t="e">
        <f>VLOOKUP(N236,Preenchimento!$A:$BV,10,0)</f>
        <v>#N/A</v>
      </c>
      <c r="S236" s="121" t="s">
        <v>298</v>
      </c>
      <c r="T236" s="193"/>
      <c r="U236" s="193"/>
      <c r="V236" s="120" t="s">
        <v>299</v>
      </c>
      <c r="X236" s="131" t="e">
        <f>VLOOKUP(T236,Preenchimento!$A:$BV,10,0)</f>
        <v>#N/A</v>
      </c>
    </row>
    <row r="237" spans="1:24" ht="9.75" customHeight="1" x14ac:dyDescent="0.15">
      <c r="A237" s="121" t="s">
        <v>300</v>
      </c>
      <c r="C237" s="193" t="e">
        <f>VLOOKUP(B236,Preenchimento!$A:$BV,12,0)</f>
        <v>#N/A</v>
      </c>
      <c r="D237" s="193" t="e">
        <f>VLOOKUP(C236,Preenchimento!$A:$BV,12,0)</f>
        <v>#N/A</v>
      </c>
      <c r="E237" s="193" t="e">
        <f>VLOOKUP(D236,Preenchimento!$A:$BV,12,0)</f>
        <v>#N/A</v>
      </c>
      <c r="F237" s="194" t="e">
        <f>VLOOKUP(E236,Preenchimento!$A:$BV,12,0)</f>
        <v>#N/A</v>
      </c>
      <c r="G237" s="121" t="s">
        <v>300</v>
      </c>
      <c r="I237" s="193" t="e">
        <f>VLOOKUP(H236,Preenchimento!$A:$BV,12,0)</f>
        <v>#N/A</v>
      </c>
      <c r="J237" s="193" t="e">
        <f>VLOOKUP(I236,Preenchimento!$A:$BV,12,0)</f>
        <v>#N/A</v>
      </c>
      <c r="K237" s="193" t="e">
        <f>VLOOKUP(J236,Preenchimento!$A:$BV,12,0)</f>
        <v>#N/A</v>
      </c>
      <c r="L237" s="194" t="e">
        <f>VLOOKUP(K236,Preenchimento!$A:$BV,12,0)</f>
        <v>#N/A</v>
      </c>
      <c r="M237" s="121" t="s">
        <v>300</v>
      </c>
      <c r="O237" s="193" t="e">
        <f>VLOOKUP(N236,Preenchimento!$A:$BV,12,0)</f>
        <v>#N/A</v>
      </c>
      <c r="P237" s="193" t="e">
        <f>VLOOKUP(O236,Preenchimento!$A:$BV,12,0)</f>
        <v>#N/A</v>
      </c>
      <c r="Q237" s="193" t="e">
        <f>VLOOKUP(P236,Preenchimento!$A:$BV,12,0)</f>
        <v>#N/A</v>
      </c>
      <c r="R237" s="194" t="e">
        <f>VLOOKUP(Q236,Preenchimento!$A:$BV,12,0)</f>
        <v>#N/A</v>
      </c>
      <c r="S237" s="121" t="s">
        <v>300</v>
      </c>
      <c r="U237" s="193" t="e">
        <f>VLOOKUP(T236,Preenchimento!$A:$BV,12,0)</f>
        <v>#N/A</v>
      </c>
      <c r="V237" s="193" t="e">
        <f>VLOOKUP(U236,Preenchimento!$A:$BV,12,0)</f>
        <v>#N/A</v>
      </c>
      <c r="W237" s="193" t="e">
        <f>VLOOKUP(V236,Preenchimento!$A:$BV,12,0)</f>
        <v>#N/A</v>
      </c>
      <c r="X237" s="194" t="e">
        <f>VLOOKUP(W236,Preenchimento!$A:$BV,12,0)</f>
        <v>#N/A</v>
      </c>
    </row>
    <row r="238" spans="1:24" ht="9.75" customHeight="1" x14ac:dyDescent="0.15">
      <c r="A238" s="123" t="s">
        <v>301</v>
      </c>
      <c r="B238" s="195" t="e">
        <f>IF(VLOOKUP(B236,Preenchimento!$A:$BV,11,0)=0,"",VLOOKUP(B236,Preenchimento!$A:$BV,11,0))</f>
        <v>#N/A</v>
      </c>
      <c r="C238" s="195"/>
      <c r="D238" s="195"/>
      <c r="E238" s="195"/>
      <c r="F238" s="196"/>
      <c r="G238" s="123" t="s">
        <v>301</v>
      </c>
      <c r="H238" s="195" t="e">
        <f>IF(VLOOKUP(H236,Preenchimento!$A:$BV,11,0)=0,"",VLOOKUP(H236,Preenchimento!$A:$BV,11,0))</f>
        <v>#N/A</v>
      </c>
      <c r="I238" s="195"/>
      <c r="J238" s="195"/>
      <c r="K238" s="195"/>
      <c r="L238" s="196"/>
      <c r="M238" s="123" t="s">
        <v>301</v>
      </c>
      <c r="N238" s="195" t="e">
        <f>IF(VLOOKUP(N236,Preenchimento!$A:$BV,11,0)=0,"",VLOOKUP(N236,Preenchimento!$A:$BV,11,0))</f>
        <v>#N/A</v>
      </c>
      <c r="O238" s="195"/>
      <c r="P238" s="195"/>
      <c r="Q238" s="195"/>
      <c r="R238" s="196"/>
      <c r="S238" s="123" t="s">
        <v>301</v>
      </c>
      <c r="T238" s="195" t="e">
        <f>IF(VLOOKUP(T236,Preenchimento!$A:$BV,11,0)=0,"",VLOOKUP(T236,Preenchimento!$A:$BV,11,0))</f>
        <v>#N/A</v>
      </c>
      <c r="U238" s="195"/>
      <c r="V238" s="195"/>
      <c r="W238" s="195"/>
      <c r="X238" s="196"/>
    </row>
    <row r="239" spans="1:24" s="130" customFormat="1" ht="33.950000000000003" customHeight="1" x14ac:dyDescent="0.25">
      <c r="A239" s="199" t="str">
        <f>Sitio!$A$3</f>
        <v>Projeto 01</v>
      </c>
      <c r="B239" s="200"/>
      <c r="C239" s="200"/>
      <c r="D239" s="200"/>
      <c r="E239" s="200"/>
      <c r="F239" s="201"/>
      <c r="G239" s="199" t="str">
        <f>Sitio!$A$3</f>
        <v>Projeto 01</v>
      </c>
      <c r="H239" s="200"/>
      <c r="I239" s="200"/>
      <c r="J239" s="200"/>
      <c r="K239" s="200"/>
      <c r="L239" s="201"/>
      <c r="M239" s="199" t="str">
        <f>Sitio!$A$3</f>
        <v>Projeto 01</v>
      </c>
      <c r="N239" s="200"/>
      <c r="O239" s="200"/>
      <c r="P239" s="200"/>
      <c r="Q239" s="200"/>
      <c r="R239" s="201"/>
      <c r="S239" s="199" t="str">
        <f>Sitio!$A$3</f>
        <v>Projeto 01</v>
      </c>
      <c r="T239" s="200"/>
      <c r="U239" s="200"/>
      <c r="V239" s="200"/>
      <c r="W239" s="200"/>
      <c r="X239" s="201"/>
    </row>
    <row r="240" spans="1:24" ht="9.75" customHeight="1" x14ac:dyDescent="0.15">
      <c r="A240" s="121" t="s">
        <v>294</v>
      </c>
      <c r="B240" s="193">
        <f>Sitio!$E$3</f>
        <v>0</v>
      </c>
      <c r="C240" s="193"/>
      <c r="D240" s="193"/>
      <c r="E240" s="193"/>
      <c r="F240" s="194"/>
      <c r="G240" s="121" t="s">
        <v>294</v>
      </c>
      <c r="H240" s="193">
        <f>Sitio!$E$3</f>
        <v>0</v>
      </c>
      <c r="I240" s="193"/>
      <c r="J240" s="193"/>
      <c r="K240" s="193"/>
      <c r="L240" s="194"/>
      <c r="M240" s="121" t="s">
        <v>294</v>
      </c>
      <c r="N240" s="193">
        <f>Sitio!$E$3</f>
        <v>0</v>
      </c>
      <c r="O240" s="193"/>
      <c r="P240" s="193"/>
      <c r="Q240" s="193"/>
      <c r="R240" s="194"/>
      <c r="S240" s="121" t="s">
        <v>294</v>
      </c>
      <c r="T240" s="193">
        <f>Sitio!$E$3</f>
        <v>0</v>
      </c>
      <c r="U240" s="193"/>
      <c r="V240" s="193"/>
      <c r="W240" s="193"/>
      <c r="X240" s="194"/>
    </row>
    <row r="241" spans="1:24" ht="9.75" customHeight="1" x14ac:dyDescent="0.15">
      <c r="A241" s="121" t="s">
        <v>295</v>
      </c>
      <c r="C241" s="193" t="e">
        <f>VLOOKUP(B243,Preenchimento!$A:$BV,2,0)</f>
        <v>#N/A</v>
      </c>
      <c r="D241" s="193" t="e">
        <f>VLOOKUP(C243,Preenchimento!$A:$BV,2,0)</f>
        <v>#N/A</v>
      </c>
      <c r="E241" s="193" t="e">
        <f>VLOOKUP(D243,Preenchimento!$A:$BV,2,0)</f>
        <v>#N/A</v>
      </c>
      <c r="F241" s="194" t="e">
        <f>VLOOKUP(E243,Preenchimento!$A:$BV,2,0)</f>
        <v>#N/A</v>
      </c>
      <c r="G241" s="121" t="s">
        <v>295</v>
      </c>
      <c r="I241" s="193" t="e">
        <f>VLOOKUP(H243,Preenchimento!$A:$BV,2,0)</f>
        <v>#N/A</v>
      </c>
      <c r="J241" s="193" t="e">
        <f>VLOOKUP(I243,Preenchimento!$A:$BV,2,0)</f>
        <v>#N/A</v>
      </c>
      <c r="K241" s="193" t="e">
        <f>VLOOKUP(J243,Preenchimento!$A:$BV,2,0)</f>
        <v>#N/A</v>
      </c>
      <c r="L241" s="194" t="e">
        <f>VLOOKUP(K243,Preenchimento!$A:$BV,2,0)</f>
        <v>#N/A</v>
      </c>
      <c r="M241" s="121" t="s">
        <v>295</v>
      </c>
      <c r="O241" s="193" t="e">
        <f>VLOOKUP(N243,Preenchimento!$A:$BV,2,0)</f>
        <v>#N/A</v>
      </c>
      <c r="P241" s="193" t="e">
        <f>VLOOKUP(O243,Preenchimento!$A:$BV,2,0)</f>
        <v>#N/A</v>
      </c>
      <c r="Q241" s="193" t="e">
        <f>VLOOKUP(P243,Preenchimento!$A:$BV,2,0)</f>
        <v>#N/A</v>
      </c>
      <c r="R241" s="194" t="e">
        <f>VLOOKUP(Q243,Preenchimento!$A:$BV,2,0)</f>
        <v>#N/A</v>
      </c>
      <c r="S241" s="121" t="s">
        <v>295</v>
      </c>
      <c r="U241" s="193" t="e">
        <f>VLOOKUP(T243,Preenchimento!$A:$BV,2,0)</f>
        <v>#N/A</v>
      </c>
      <c r="V241" s="193" t="e">
        <f>VLOOKUP(U243,Preenchimento!$A:$BV,2,0)</f>
        <v>#N/A</v>
      </c>
      <c r="W241" s="193" t="e">
        <f>VLOOKUP(V243,Preenchimento!$A:$BV,2,0)</f>
        <v>#N/A</v>
      </c>
      <c r="X241" s="194" t="e">
        <f>VLOOKUP(W243,Preenchimento!$A:$BV,2,0)</f>
        <v>#N/A</v>
      </c>
    </row>
    <row r="242" spans="1:24" ht="9.75" customHeight="1" x14ac:dyDescent="0.15">
      <c r="A242" s="121" t="s">
        <v>296</v>
      </c>
      <c r="B242" s="193" t="e">
        <f>VLOOKUP(B243,Preenchimento!$A:$BV,3,0)</f>
        <v>#N/A</v>
      </c>
      <c r="C242" s="193" t="e">
        <f>VLOOKUP(C243,Preenchimento!$A:$BV,3,0)</f>
        <v>#N/A</v>
      </c>
      <c r="D242" s="120" t="s">
        <v>297</v>
      </c>
      <c r="E242" s="197" t="e">
        <f>VLOOKUP(B243,Preenchimento!$A:$BV,5,0)</f>
        <v>#N/A</v>
      </c>
      <c r="F242" s="198" t="e">
        <f>VLOOKUP(C243,Preenchimento!$A:$BV,5,0)</f>
        <v>#N/A</v>
      </c>
      <c r="G242" s="121" t="s">
        <v>296</v>
      </c>
      <c r="H242" s="193" t="e">
        <f>VLOOKUP(H243,Preenchimento!$A:$BV,3,0)</f>
        <v>#N/A</v>
      </c>
      <c r="I242" s="193" t="e">
        <f>VLOOKUP(I243,Preenchimento!$A:$BV,3,0)</f>
        <v>#N/A</v>
      </c>
      <c r="J242" s="120" t="s">
        <v>297</v>
      </c>
      <c r="K242" s="197" t="e">
        <f>VLOOKUP(H243,Preenchimento!$A:$BV,5,0)</f>
        <v>#N/A</v>
      </c>
      <c r="L242" s="198" t="e">
        <f>VLOOKUP(I243,Preenchimento!$A:$BV,5,0)</f>
        <v>#N/A</v>
      </c>
      <c r="M242" s="121" t="s">
        <v>296</v>
      </c>
      <c r="N242" s="193" t="e">
        <f>VLOOKUP(N243,Preenchimento!$A:$BV,3,0)</f>
        <v>#N/A</v>
      </c>
      <c r="O242" s="193" t="e">
        <f>VLOOKUP(O243,Preenchimento!$A:$BV,3,0)</f>
        <v>#N/A</v>
      </c>
      <c r="P242" s="120" t="s">
        <v>297</v>
      </c>
      <c r="Q242" s="197" t="e">
        <f>VLOOKUP(N243,Preenchimento!$A:$BV,5,0)</f>
        <v>#N/A</v>
      </c>
      <c r="R242" s="198" t="e">
        <f>VLOOKUP(O243,Preenchimento!$A:$BV,5,0)</f>
        <v>#N/A</v>
      </c>
      <c r="S242" s="121" t="s">
        <v>296</v>
      </c>
      <c r="T242" s="193" t="e">
        <f>VLOOKUP(T243,Preenchimento!$A:$BV,3,0)</f>
        <v>#N/A</v>
      </c>
      <c r="U242" s="193" t="e">
        <f>VLOOKUP(U243,Preenchimento!$A:$BV,3,0)</f>
        <v>#N/A</v>
      </c>
      <c r="V242" s="120" t="s">
        <v>297</v>
      </c>
      <c r="W242" s="197" t="e">
        <f>VLOOKUP(T243,Preenchimento!$A:$BV,5,0)</f>
        <v>#N/A</v>
      </c>
      <c r="X242" s="198" t="e">
        <f>VLOOKUP(U243,Preenchimento!$A:$BV,5,0)</f>
        <v>#N/A</v>
      </c>
    </row>
    <row r="243" spans="1:24" ht="9.75" customHeight="1" x14ac:dyDescent="0.15">
      <c r="A243" s="121" t="s">
        <v>298</v>
      </c>
      <c r="B243" s="193"/>
      <c r="C243" s="193"/>
      <c r="D243" s="120" t="s">
        <v>299</v>
      </c>
      <c r="F243" s="131" t="e">
        <f>VLOOKUP(B243,Preenchimento!$A:$BV,10,0)</f>
        <v>#N/A</v>
      </c>
      <c r="G243" s="121" t="s">
        <v>298</v>
      </c>
      <c r="H243" s="193"/>
      <c r="I243" s="193"/>
      <c r="J243" s="120" t="s">
        <v>299</v>
      </c>
      <c r="L243" s="131" t="e">
        <f>VLOOKUP(H243,Preenchimento!$A:$BV,10,0)</f>
        <v>#N/A</v>
      </c>
      <c r="M243" s="121" t="s">
        <v>298</v>
      </c>
      <c r="N243" s="193"/>
      <c r="O243" s="193"/>
      <c r="P243" s="120" t="s">
        <v>299</v>
      </c>
      <c r="R243" s="131" t="e">
        <f>VLOOKUP(N243,Preenchimento!$A:$BV,10,0)</f>
        <v>#N/A</v>
      </c>
      <c r="S243" s="121" t="s">
        <v>298</v>
      </c>
      <c r="T243" s="193"/>
      <c r="U243" s="193"/>
      <c r="V243" s="120" t="s">
        <v>299</v>
      </c>
      <c r="X243" s="131" t="e">
        <f>VLOOKUP(T243,Preenchimento!$A:$BV,10,0)</f>
        <v>#N/A</v>
      </c>
    </row>
    <row r="244" spans="1:24" ht="9.75" customHeight="1" x14ac:dyDescent="0.15">
      <c r="A244" s="121" t="s">
        <v>300</v>
      </c>
      <c r="C244" s="193" t="e">
        <f>VLOOKUP(B243,Preenchimento!$A:$BV,12,0)</f>
        <v>#N/A</v>
      </c>
      <c r="D244" s="193" t="e">
        <f>VLOOKUP(C243,Preenchimento!$A:$BV,12,0)</f>
        <v>#N/A</v>
      </c>
      <c r="E244" s="193" t="e">
        <f>VLOOKUP(D243,Preenchimento!$A:$BV,12,0)</f>
        <v>#N/A</v>
      </c>
      <c r="F244" s="194" t="e">
        <f>VLOOKUP(E243,Preenchimento!$A:$BV,12,0)</f>
        <v>#N/A</v>
      </c>
      <c r="G244" s="121" t="s">
        <v>300</v>
      </c>
      <c r="I244" s="193" t="e">
        <f>VLOOKUP(H243,Preenchimento!$A:$BV,12,0)</f>
        <v>#N/A</v>
      </c>
      <c r="J244" s="193" t="e">
        <f>VLOOKUP(I243,Preenchimento!$A:$BV,12,0)</f>
        <v>#N/A</v>
      </c>
      <c r="K244" s="193" t="e">
        <f>VLOOKUP(J243,Preenchimento!$A:$BV,12,0)</f>
        <v>#N/A</v>
      </c>
      <c r="L244" s="194" t="e">
        <f>VLOOKUP(K243,Preenchimento!$A:$BV,12,0)</f>
        <v>#N/A</v>
      </c>
      <c r="M244" s="121" t="s">
        <v>300</v>
      </c>
      <c r="O244" s="193" t="e">
        <f>VLOOKUP(N243,Preenchimento!$A:$BV,12,0)</f>
        <v>#N/A</v>
      </c>
      <c r="P244" s="193" t="e">
        <f>VLOOKUP(O243,Preenchimento!$A:$BV,12,0)</f>
        <v>#N/A</v>
      </c>
      <c r="Q244" s="193" t="e">
        <f>VLOOKUP(P243,Preenchimento!$A:$BV,12,0)</f>
        <v>#N/A</v>
      </c>
      <c r="R244" s="194" t="e">
        <f>VLOOKUP(Q243,Preenchimento!$A:$BV,12,0)</f>
        <v>#N/A</v>
      </c>
      <c r="S244" s="121" t="s">
        <v>300</v>
      </c>
      <c r="U244" s="193" t="e">
        <f>VLOOKUP(T243,Preenchimento!$A:$BV,12,0)</f>
        <v>#N/A</v>
      </c>
      <c r="V244" s="193" t="e">
        <f>VLOOKUP(U243,Preenchimento!$A:$BV,12,0)</f>
        <v>#N/A</v>
      </c>
      <c r="W244" s="193" t="e">
        <f>VLOOKUP(V243,Preenchimento!$A:$BV,12,0)</f>
        <v>#N/A</v>
      </c>
      <c r="X244" s="194" t="e">
        <f>VLOOKUP(W243,Preenchimento!$A:$BV,12,0)</f>
        <v>#N/A</v>
      </c>
    </row>
    <row r="245" spans="1:24" ht="9.75" customHeight="1" x14ac:dyDescent="0.15">
      <c r="A245" s="123" t="s">
        <v>301</v>
      </c>
      <c r="B245" s="195" t="e">
        <f>IF(VLOOKUP(B243,Preenchimento!$A:$BV,11,0)=0,"",VLOOKUP(B243,Preenchimento!$A:$BV,11,0))</f>
        <v>#N/A</v>
      </c>
      <c r="C245" s="195"/>
      <c r="D245" s="195"/>
      <c r="E245" s="195"/>
      <c r="F245" s="196"/>
      <c r="G245" s="123" t="s">
        <v>301</v>
      </c>
      <c r="H245" s="195" t="e">
        <f>IF(VLOOKUP(H243,Preenchimento!$A:$BV,11,0)=0,"",VLOOKUP(H243,Preenchimento!$A:$BV,11,0))</f>
        <v>#N/A</v>
      </c>
      <c r="I245" s="195"/>
      <c r="J245" s="195"/>
      <c r="K245" s="195"/>
      <c r="L245" s="196"/>
      <c r="M245" s="123" t="s">
        <v>301</v>
      </c>
      <c r="N245" s="195" t="e">
        <f>IF(VLOOKUP(N243,Preenchimento!$A:$BV,11,0)=0,"",VLOOKUP(N243,Preenchimento!$A:$BV,11,0))</f>
        <v>#N/A</v>
      </c>
      <c r="O245" s="195"/>
      <c r="P245" s="195"/>
      <c r="Q245" s="195"/>
      <c r="R245" s="196"/>
      <c r="S245" s="123" t="s">
        <v>301</v>
      </c>
      <c r="T245" s="195" t="e">
        <f>IF(VLOOKUP(T243,Preenchimento!$A:$BV,11,0)=0,"",VLOOKUP(T243,Preenchimento!$A:$BV,11,0))</f>
        <v>#N/A</v>
      </c>
      <c r="U245" s="195"/>
      <c r="V245" s="195"/>
      <c r="W245" s="195"/>
      <c r="X245" s="196"/>
    </row>
    <row r="246" spans="1:24" s="130" customFormat="1" ht="33.950000000000003" customHeight="1" x14ac:dyDescent="0.25">
      <c r="A246" s="199" t="str">
        <f>Sitio!$A$3</f>
        <v>Projeto 01</v>
      </c>
      <c r="B246" s="200"/>
      <c r="C246" s="200"/>
      <c r="D246" s="200"/>
      <c r="E246" s="200"/>
      <c r="F246" s="201"/>
      <c r="G246" s="199" t="str">
        <f>Sitio!$A$3</f>
        <v>Projeto 01</v>
      </c>
      <c r="H246" s="200"/>
      <c r="I246" s="200"/>
      <c r="J246" s="200"/>
      <c r="K246" s="200"/>
      <c r="L246" s="201"/>
      <c r="M246" s="199" t="str">
        <f>Sitio!$A$3</f>
        <v>Projeto 01</v>
      </c>
      <c r="N246" s="200"/>
      <c r="O246" s="200"/>
      <c r="P246" s="200"/>
      <c r="Q246" s="200"/>
      <c r="R246" s="201"/>
      <c r="S246" s="199" t="str">
        <f>Sitio!$A$3</f>
        <v>Projeto 01</v>
      </c>
      <c r="T246" s="200"/>
      <c r="U246" s="200"/>
      <c r="V246" s="200"/>
      <c r="W246" s="200"/>
      <c r="X246" s="201"/>
    </row>
    <row r="247" spans="1:24" ht="9.75" customHeight="1" x14ac:dyDescent="0.15">
      <c r="A247" s="121" t="s">
        <v>294</v>
      </c>
      <c r="B247" s="193">
        <f>Sitio!$E$3</f>
        <v>0</v>
      </c>
      <c r="C247" s="193"/>
      <c r="D247" s="193"/>
      <c r="E247" s="193"/>
      <c r="F247" s="194"/>
      <c r="G247" s="121" t="s">
        <v>294</v>
      </c>
      <c r="H247" s="193">
        <f>Sitio!$E$3</f>
        <v>0</v>
      </c>
      <c r="I247" s="193"/>
      <c r="J247" s="193"/>
      <c r="K247" s="193"/>
      <c r="L247" s="194"/>
      <c r="M247" s="121" t="s">
        <v>294</v>
      </c>
      <c r="N247" s="193">
        <f>Sitio!$E$3</f>
        <v>0</v>
      </c>
      <c r="O247" s="193"/>
      <c r="P247" s="193"/>
      <c r="Q247" s="193"/>
      <c r="R247" s="194"/>
      <c r="S247" s="121" t="s">
        <v>294</v>
      </c>
      <c r="T247" s="193">
        <f>Sitio!$E$3</f>
        <v>0</v>
      </c>
      <c r="U247" s="193"/>
      <c r="V247" s="193"/>
      <c r="W247" s="193"/>
      <c r="X247" s="194"/>
    </row>
    <row r="248" spans="1:24" ht="9.75" customHeight="1" x14ac:dyDescent="0.15">
      <c r="A248" s="121" t="s">
        <v>295</v>
      </c>
      <c r="C248" s="193" t="e">
        <f>VLOOKUP(B250,Preenchimento!$A:$BV,2,0)</f>
        <v>#N/A</v>
      </c>
      <c r="D248" s="193" t="e">
        <f>VLOOKUP(C250,Preenchimento!$A:$BV,2,0)</f>
        <v>#N/A</v>
      </c>
      <c r="E248" s="193" t="e">
        <f>VLOOKUP(D250,Preenchimento!$A:$BV,2,0)</f>
        <v>#N/A</v>
      </c>
      <c r="F248" s="194" t="e">
        <f>VLOOKUP(E250,Preenchimento!$A:$BV,2,0)</f>
        <v>#N/A</v>
      </c>
      <c r="G248" s="121" t="s">
        <v>295</v>
      </c>
      <c r="I248" s="193" t="e">
        <f>VLOOKUP(H250,Preenchimento!$A:$BV,2,0)</f>
        <v>#N/A</v>
      </c>
      <c r="J248" s="193" t="e">
        <f>VLOOKUP(I250,Preenchimento!$A:$BV,2,0)</f>
        <v>#N/A</v>
      </c>
      <c r="K248" s="193" t="e">
        <f>VLOOKUP(J250,Preenchimento!$A:$BV,2,0)</f>
        <v>#N/A</v>
      </c>
      <c r="L248" s="194" t="e">
        <f>VLOOKUP(K250,Preenchimento!$A:$BV,2,0)</f>
        <v>#N/A</v>
      </c>
      <c r="M248" s="121" t="s">
        <v>295</v>
      </c>
      <c r="O248" s="193" t="e">
        <f>VLOOKUP(N250,Preenchimento!$A:$BV,2,0)</f>
        <v>#N/A</v>
      </c>
      <c r="P248" s="193" t="e">
        <f>VLOOKUP(O250,Preenchimento!$A:$BV,2,0)</f>
        <v>#N/A</v>
      </c>
      <c r="Q248" s="193" t="e">
        <f>VLOOKUP(P250,Preenchimento!$A:$BV,2,0)</f>
        <v>#N/A</v>
      </c>
      <c r="R248" s="194" t="e">
        <f>VLOOKUP(Q250,Preenchimento!$A:$BV,2,0)</f>
        <v>#N/A</v>
      </c>
      <c r="S248" s="121" t="s">
        <v>295</v>
      </c>
      <c r="U248" s="193" t="e">
        <f>VLOOKUP(T250,Preenchimento!$A:$BV,2,0)</f>
        <v>#N/A</v>
      </c>
      <c r="V248" s="193" t="e">
        <f>VLOOKUP(U250,Preenchimento!$A:$BV,2,0)</f>
        <v>#N/A</v>
      </c>
      <c r="W248" s="193" t="e">
        <f>VLOOKUP(V250,Preenchimento!$A:$BV,2,0)</f>
        <v>#N/A</v>
      </c>
      <c r="X248" s="194" t="e">
        <f>VLOOKUP(W250,Preenchimento!$A:$BV,2,0)</f>
        <v>#N/A</v>
      </c>
    </row>
    <row r="249" spans="1:24" ht="9.75" customHeight="1" x14ac:dyDescent="0.15">
      <c r="A249" s="121" t="s">
        <v>296</v>
      </c>
      <c r="B249" s="193" t="e">
        <f>VLOOKUP(B250,Preenchimento!$A:$BV,3,0)</f>
        <v>#N/A</v>
      </c>
      <c r="C249" s="193" t="e">
        <f>VLOOKUP(C250,Preenchimento!$A:$BV,3,0)</f>
        <v>#N/A</v>
      </c>
      <c r="D249" s="120" t="s">
        <v>297</v>
      </c>
      <c r="E249" s="197" t="e">
        <f>VLOOKUP(B250,Preenchimento!$A:$BV,5,0)</f>
        <v>#N/A</v>
      </c>
      <c r="F249" s="198" t="e">
        <f>VLOOKUP(C250,Preenchimento!$A:$BV,5,0)</f>
        <v>#N/A</v>
      </c>
      <c r="G249" s="121" t="s">
        <v>296</v>
      </c>
      <c r="H249" s="193" t="e">
        <f>VLOOKUP(H250,Preenchimento!$A:$BV,3,0)</f>
        <v>#N/A</v>
      </c>
      <c r="I249" s="193" t="e">
        <f>VLOOKUP(I250,Preenchimento!$A:$BV,3,0)</f>
        <v>#N/A</v>
      </c>
      <c r="J249" s="120" t="s">
        <v>297</v>
      </c>
      <c r="K249" s="197" t="e">
        <f>VLOOKUP(H250,Preenchimento!$A:$BV,5,0)</f>
        <v>#N/A</v>
      </c>
      <c r="L249" s="198" t="e">
        <f>VLOOKUP(I250,Preenchimento!$A:$BV,5,0)</f>
        <v>#N/A</v>
      </c>
      <c r="M249" s="121" t="s">
        <v>296</v>
      </c>
      <c r="N249" s="193" t="e">
        <f>VLOOKUP(N250,Preenchimento!$A:$BV,3,0)</f>
        <v>#N/A</v>
      </c>
      <c r="O249" s="193" t="e">
        <f>VLOOKUP(O250,Preenchimento!$A:$BV,3,0)</f>
        <v>#N/A</v>
      </c>
      <c r="P249" s="120" t="s">
        <v>297</v>
      </c>
      <c r="Q249" s="197" t="e">
        <f>VLOOKUP(N250,Preenchimento!$A:$BV,5,0)</f>
        <v>#N/A</v>
      </c>
      <c r="R249" s="198" t="e">
        <f>VLOOKUP(O250,Preenchimento!$A:$BV,5,0)</f>
        <v>#N/A</v>
      </c>
      <c r="S249" s="121" t="s">
        <v>296</v>
      </c>
      <c r="T249" s="193" t="e">
        <f>VLOOKUP(T250,Preenchimento!$A:$BV,3,0)</f>
        <v>#N/A</v>
      </c>
      <c r="U249" s="193" t="e">
        <f>VLOOKUP(U250,Preenchimento!$A:$BV,3,0)</f>
        <v>#N/A</v>
      </c>
      <c r="V249" s="120" t="s">
        <v>297</v>
      </c>
      <c r="W249" s="197" t="e">
        <f>VLOOKUP(T250,Preenchimento!$A:$BV,5,0)</f>
        <v>#N/A</v>
      </c>
      <c r="X249" s="198" t="e">
        <f>VLOOKUP(U250,Preenchimento!$A:$BV,5,0)</f>
        <v>#N/A</v>
      </c>
    </row>
    <row r="250" spans="1:24" ht="9.75" customHeight="1" x14ac:dyDescent="0.15">
      <c r="A250" s="121" t="s">
        <v>298</v>
      </c>
      <c r="B250" s="193"/>
      <c r="C250" s="193"/>
      <c r="D250" s="120" t="s">
        <v>299</v>
      </c>
      <c r="F250" s="131" t="e">
        <f>VLOOKUP(B250,Preenchimento!$A:$BV,10,0)</f>
        <v>#N/A</v>
      </c>
      <c r="G250" s="121" t="s">
        <v>298</v>
      </c>
      <c r="H250" s="193"/>
      <c r="I250" s="193"/>
      <c r="J250" s="120" t="s">
        <v>299</v>
      </c>
      <c r="L250" s="131" t="e">
        <f>VLOOKUP(H250,Preenchimento!$A:$BV,10,0)</f>
        <v>#N/A</v>
      </c>
      <c r="M250" s="121" t="s">
        <v>298</v>
      </c>
      <c r="N250" s="193"/>
      <c r="O250" s="193"/>
      <c r="P250" s="120" t="s">
        <v>299</v>
      </c>
      <c r="R250" s="131" t="e">
        <f>VLOOKUP(N250,Preenchimento!$A:$BV,10,0)</f>
        <v>#N/A</v>
      </c>
      <c r="S250" s="121" t="s">
        <v>298</v>
      </c>
      <c r="T250" s="193"/>
      <c r="U250" s="193"/>
      <c r="V250" s="120" t="s">
        <v>299</v>
      </c>
      <c r="X250" s="131" t="e">
        <f>VLOOKUP(T250,Preenchimento!$A:$BV,10,0)</f>
        <v>#N/A</v>
      </c>
    </row>
    <row r="251" spans="1:24" ht="9.75" customHeight="1" x14ac:dyDescent="0.15">
      <c r="A251" s="121" t="s">
        <v>300</v>
      </c>
      <c r="C251" s="193" t="e">
        <f>VLOOKUP(B250,Preenchimento!$A:$BV,12,0)</f>
        <v>#N/A</v>
      </c>
      <c r="D251" s="193" t="e">
        <f>VLOOKUP(C250,Preenchimento!$A:$BV,12,0)</f>
        <v>#N/A</v>
      </c>
      <c r="E251" s="193" t="e">
        <f>VLOOKUP(D250,Preenchimento!$A:$BV,12,0)</f>
        <v>#N/A</v>
      </c>
      <c r="F251" s="194" t="e">
        <f>VLOOKUP(E250,Preenchimento!$A:$BV,12,0)</f>
        <v>#N/A</v>
      </c>
      <c r="G251" s="121" t="s">
        <v>300</v>
      </c>
      <c r="I251" s="193" t="e">
        <f>VLOOKUP(H250,Preenchimento!$A:$BV,12,0)</f>
        <v>#N/A</v>
      </c>
      <c r="J251" s="193" t="e">
        <f>VLOOKUP(I250,Preenchimento!$A:$BV,12,0)</f>
        <v>#N/A</v>
      </c>
      <c r="K251" s="193" t="e">
        <f>VLOOKUP(J250,Preenchimento!$A:$BV,12,0)</f>
        <v>#N/A</v>
      </c>
      <c r="L251" s="194" t="e">
        <f>VLOOKUP(K250,Preenchimento!$A:$BV,12,0)</f>
        <v>#N/A</v>
      </c>
      <c r="M251" s="121" t="s">
        <v>300</v>
      </c>
      <c r="O251" s="193" t="e">
        <f>VLOOKUP(N250,Preenchimento!$A:$BV,12,0)</f>
        <v>#N/A</v>
      </c>
      <c r="P251" s="193" t="e">
        <f>VLOOKUP(O250,Preenchimento!$A:$BV,12,0)</f>
        <v>#N/A</v>
      </c>
      <c r="Q251" s="193" t="e">
        <f>VLOOKUP(P250,Preenchimento!$A:$BV,12,0)</f>
        <v>#N/A</v>
      </c>
      <c r="R251" s="194" t="e">
        <f>VLOOKUP(Q250,Preenchimento!$A:$BV,12,0)</f>
        <v>#N/A</v>
      </c>
      <c r="S251" s="121" t="s">
        <v>300</v>
      </c>
      <c r="U251" s="193" t="e">
        <f>VLOOKUP(T250,Preenchimento!$A:$BV,12,0)</f>
        <v>#N/A</v>
      </c>
      <c r="V251" s="193" t="e">
        <f>VLOOKUP(U250,Preenchimento!$A:$BV,12,0)</f>
        <v>#N/A</v>
      </c>
      <c r="W251" s="193" t="e">
        <f>VLOOKUP(V250,Preenchimento!$A:$BV,12,0)</f>
        <v>#N/A</v>
      </c>
      <c r="X251" s="194" t="e">
        <f>VLOOKUP(W250,Preenchimento!$A:$BV,12,0)</f>
        <v>#N/A</v>
      </c>
    </row>
    <row r="252" spans="1:24" ht="9.75" customHeight="1" x14ac:dyDescent="0.15">
      <c r="A252" s="123" t="s">
        <v>301</v>
      </c>
      <c r="B252" s="195" t="e">
        <f>IF(VLOOKUP(B250,Preenchimento!$A:$BV,11,0)=0,"",VLOOKUP(B250,Preenchimento!$A:$BV,11,0))</f>
        <v>#N/A</v>
      </c>
      <c r="C252" s="195"/>
      <c r="D252" s="195"/>
      <c r="E252" s="195"/>
      <c r="F252" s="196"/>
      <c r="G252" s="123" t="s">
        <v>301</v>
      </c>
      <c r="H252" s="195" t="e">
        <f>IF(VLOOKUP(H250,Preenchimento!$A:$BV,11,0)=0,"",VLOOKUP(H250,Preenchimento!$A:$BV,11,0))</f>
        <v>#N/A</v>
      </c>
      <c r="I252" s="195"/>
      <c r="J252" s="195"/>
      <c r="K252" s="195"/>
      <c r="L252" s="196"/>
      <c r="M252" s="123" t="s">
        <v>301</v>
      </c>
      <c r="N252" s="195" t="e">
        <f>IF(VLOOKUP(N250,Preenchimento!$A:$BV,11,0)=0,"",VLOOKUP(N250,Preenchimento!$A:$BV,11,0))</f>
        <v>#N/A</v>
      </c>
      <c r="O252" s="195"/>
      <c r="P252" s="195"/>
      <c r="Q252" s="195"/>
      <c r="R252" s="196"/>
      <c r="S252" s="123" t="s">
        <v>301</v>
      </c>
      <c r="T252" s="195" t="e">
        <f>IF(VLOOKUP(T250,Preenchimento!$A:$BV,11,0)=0,"",VLOOKUP(T250,Preenchimento!$A:$BV,11,0))</f>
        <v>#N/A</v>
      </c>
      <c r="U252" s="195"/>
      <c r="V252" s="195"/>
      <c r="W252" s="195"/>
      <c r="X252" s="196"/>
    </row>
    <row r="253" spans="1:24" s="130" customFormat="1" ht="33.950000000000003" customHeight="1" x14ac:dyDescent="0.25">
      <c r="A253" s="199" t="str">
        <f>Sitio!$A$3</f>
        <v>Projeto 01</v>
      </c>
      <c r="B253" s="200"/>
      <c r="C253" s="200"/>
      <c r="D253" s="200"/>
      <c r="E253" s="200"/>
      <c r="F253" s="201"/>
      <c r="G253" s="199" t="str">
        <f>Sitio!$A$3</f>
        <v>Projeto 01</v>
      </c>
      <c r="H253" s="200"/>
      <c r="I253" s="200"/>
      <c r="J253" s="200"/>
      <c r="K253" s="200"/>
      <c r="L253" s="201"/>
      <c r="M253" s="199" t="str">
        <f>Sitio!$A$3</f>
        <v>Projeto 01</v>
      </c>
      <c r="N253" s="200"/>
      <c r="O253" s="200"/>
      <c r="P253" s="200"/>
      <c r="Q253" s="200"/>
      <c r="R253" s="201"/>
      <c r="S253" s="199" t="str">
        <f>Sitio!$A$3</f>
        <v>Projeto 01</v>
      </c>
      <c r="T253" s="200"/>
      <c r="U253" s="200"/>
      <c r="V253" s="200"/>
      <c r="W253" s="200"/>
      <c r="X253" s="201"/>
    </row>
    <row r="254" spans="1:24" ht="9.75" customHeight="1" x14ac:dyDescent="0.15">
      <c r="A254" s="121" t="s">
        <v>294</v>
      </c>
      <c r="B254" s="193">
        <f>Sitio!$E$3</f>
        <v>0</v>
      </c>
      <c r="C254" s="193"/>
      <c r="D254" s="193"/>
      <c r="E254" s="193"/>
      <c r="F254" s="194"/>
      <c r="G254" s="121" t="s">
        <v>294</v>
      </c>
      <c r="H254" s="193">
        <f>Sitio!$E$3</f>
        <v>0</v>
      </c>
      <c r="I254" s="193"/>
      <c r="J254" s="193"/>
      <c r="K254" s="193"/>
      <c r="L254" s="194"/>
      <c r="M254" s="121" t="s">
        <v>294</v>
      </c>
      <c r="N254" s="193">
        <f>Sitio!$E$3</f>
        <v>0</v>
      </c>
      <c r="O254" s="193"/>
      <c r="P254" s="193"/>
      <c r="Q254" s="193"/>
      <c r="R254" s="194"/>
      <c r="S254" s="121" t="s">
        <v>294</v>
      </c>
      <c r="T254" s="193">
        <f>Sitio!$E$3</f>
        <v>0</v>
      </c>
      <c r="U254" s="193"/>
      <c r="V254" s="193"/>
      <c r="W254" s="193"/>
      <c r="X254" s="194"/>
    </row>
    <row r="255" spans="1:24" ht="9.75" customHeight="1" x14ac:dyDescent="0.15">
      <c r="A255" s="121" t="s">
        <v>295</v>
      </c>
      <c r="C255" s="193" t="e">
        <f>VLOOKUP(B257,Preenchimento!$A:$BV,2,0)</f>
        <v>#N/A</v>
      </c>
      <c r="D255" s="193" t="e">
        <f>VLOOKUP(C257,Preenchimento!$A:$BV,2,0)</f>
        <v>#N/A</v>
      </c>
      <c r="E255" s="193" t="e">
        <f>VLOOKUP(D257,Preenchimento!$A:$BV,2,0)</f>
        <v>#N/A</v>
      </c>
      <c r="F255" s="194" t="e">
        <f>VLOOKUP(E257,Preenchimento!$A:$BV,2,0)</f>
        <v>#N/A</v>
      </c>
      <c r="G255" s="121" t="s">
        <v>295</v>
      </c>
      <c r="I255" s="193" t="e">
        <f>VLOOKUP(H257,Preenchimento!$A:$BV,2,0)</f>
        <v>#N/A</v>
      </c>
      <c r="J255" s="193" t="e">
        <f>VLOOKUP(I257,Preenchimento!$A:$BV,2,0)</f>
        <v>#N/A</v>
      </c>
      <c r="K255" s="193" t="e">
        <f>VLOOKUP(J257,Preenchimento!$A:$BV,2,0)</f>
        <v>#N/A</v>
      </c>
      <c r="L255" s="194" t="e">
        <f>VLOOKUP(K257,Preenchimento!$A:$BV,2,0)</f>
        <v>#N/A</v>
      </c>
      <c r="M255" s="121" t="s">
        <v>295</v>
      </c>
      <c r="O255" s="193" t="e">
        <f>VLOOKUP(N257,Preenchimento!$A:$BV,2,0)</f>
        <v>#N/A</v>
      </c>
      <c r="P255" s="193" t="e">
        <f>VLOOKUP(O257,Preenchimento!$A:$BV,2,0)</f>
        <v>#N/A</v>
      </c>
      <c r="Q255" s="193" t="e">
        <f>VLOOKUP(P257,Preenchimento!$A:$BV,2,0)</f>
        <v>#N/A</v>
      </c>
      <c r="R255" s="194" t="e">
        <f>VLOOKUP(Q257,Preenchimento!$A:$BV,2,0)</f>
        <v>#N/A</v>
      </c>
      <c r="S255" s="121" t="s">
        <v>295</v>
      </c>
      <c r="U255" s="193" t="e">
        <f>VLOOKUP(T257,Preenchimento!$A:$BV,2,0)</f>
        <v>#N/A</v>
      </c>
      <c r="V255" s="193" t="e">
        <f>VLOOKUP(U257,Preenchimento!$A:$BV,2,0)</f>
        <v>#N/A</v>
      </c>
      <c r="W255" s="193" t="e">
        <f>VLOOKUP(V257,Preenchimento!$A:$BV,2,0)</f>
        <v>#N/A</v>
      </c>
      <c r="X255" s="194" t="e">
        <f>VLOOKUP(W257,Preenchimento!$A:$BV,2,0)</f>
        <v>#N/A</v>
      </c>
    </row>
    <row r="256" spans="1:24" ht="9.75" customHeight="1" x14ac:dyDescent="0.15">
      <c r="A256" s="121" t="s">
        <v>296</v>
      </c>
      <c r="B256" s="193" t="e">
        <f>VLOOKUP(B257,Preenchimento!$A:$BV,3,0)</f>
        <v>#N/A</v>
      </c>
      <c r="C256" s="193" t="e">
        <f>VLOOKUP(C257,Preenchimento!$A:$BV,3,0)</f>
        <v>#N/A</v>
      </c>
      <c r="D256" s="120" t="s">
        <v>297</v>
      </c>
      <c r="E256" s="197" t="e">
        <f>VLOOKUP(B257,Preenchimento!$A:$BV,5,0)</f>
        <v>#N/A</v>
      </c>
      <c r="F256" s="198" t="e">
        <f>VLOOKUP(C257,Preenchimento!$A:$BV,5,0)</f>
        <v>#N/A</v>
      </c>
      <c r="G256" s="121" t="s">
        <v>296</v>
      </c>
      <c r="H256" s="193" t="e">
        <f>VLOOKUP(H257,Preenchimento!$A:$BV,3,0)</f>
        <v>#N/A</v>
      </c>
      <c r="I256" s="193" t="e">
        <f>VLOOKUP(I257,Preenchimento!$A:$BV,3,0)</f>
        <v>#N/A</v>
      </c>
      <c r="J256" s="120" t="s">
        <v>297</v>
      </c>
      <c r="K256" s="197" t="e">
        <f>VLOOKUP(H257,Preenchimento!$A:$BV,5,0)</f>
        <v>#N/A</v>
      </c>
      <c r="L256" s="198" t="e">
        <f>VLOOKUP(I257,Preenchimento!$A:$BV,5,0)</f>
        <v>#N/A</v>
      </c>
      <c r="M256" s="121" t="s">
        <v>296</v>
      </c>
      <c r="N256" s="193" t="e">
        <f>VLOOKUP(N257,Preenchimento!$A:$BV,3,0)</f>
        <v>#N/A</v>
      </c>
      <c r="O256" s="193" t="e">
        <f>VLOOKUP(O257,Preenchimento!$A:$BV,3,0)</f>
        <v>#N/A</v>
      </c>
      <c r="P256" s="120" t="s">
        <v>297</v>
      </c>
      <c r="Q256" s="197" t="e">
        <f>VLOOKUP(N257,Preenchimento!$A:$BV,5,0)</f>
        <v>#N/A</v>
      </c>
      <c r="R256" s="198" t="e">
        <f>VLOOKUP(O257,Preenchimento!$A:$BV,5,0)</f>
        <v>#N/A</v>
      </c>
      <c r="S256" s="121" t="s">
        <v>296</v>
      </c>
      <c r="T256" s="193" t="e">
        <f>VLOOKUP(T257,Preenchimento!$A:$BV,3,0)</f>
        <v>#N/A</v>
      </c>
      <c r="U256" s="193" t="e">
        <f>VLOOKUP(U257,Preenchimento!$A:$BV,3,0)</f>
        <v>#N/A</v>
      </c>
      <c r="V256" s="120" t="s">
        <v>297</v>
      </c>
      <c r="W256" s="197" t="e">
        <f>VLOOKUP(T257,Preenchimento!$A:$BV,5,0)</f>
        <v>#N/A</v>
      </c>
      <c r="X256" s="198" t="e">
        <f>VLOOKUP(U257,Preenchimento!$A:$BV,5,0)</f>
        <v>#N/A</v>
      </c>
    </row>
    <row r="257" spans="1:24" ht="9.75" customHeight="1" x14ac:dyDescent="0.15">
      <c r="A257" s="121" t="s">
        <v>298</v>
      </c>
      <c r="B257" s="193"/>
      <c r="C257" s="193"/>
      <c r="D257" s="120" t="s">
        <v>299</v>
      </c>
      <c r="F257" s="131" t="e">
        <f>VLOOKUP(B257,Preenchimento!$A:$BV,10,0)</f>
        <v>#N/A</v>
      </c>
      <c r="G257" s="121" t="s">
        <v>298</v>
      </c>
      <c r="H257" s="193"/>
      <c r="I257" s="193"/>
      <c r="J257" s="120" t="s">
        <v>299</v>
      </c>
      <c r="L257" s="131" t="e">
        <f>VLOOKUP(H257,Preenchimento!$A:$BV,10,0)</f>
        <v>#N/A</v>
      </c>
      <c r="M257" s="121" t="s">
        <v>298</v>
      </c>
      <c r="N257" s="193"/>
      <c r="O257" s="193"/>
      <c r="P257" s="120" t="s">
        <v>299</v>
      </c>
      <c r="R257" s="131" t="e">
        <f>VLOOKUP(N257,Preenchimento!$A:$BV,10,0)</f>
        <v>#N/A</v>
      </c>
      <c r="S257" s="121" t="s">
        <v>298</v>
      </c>
      <c r="T257" s="193"/>
      <c r="U257" s="193"/>
      <c r="V257" s="120" t="s">
        <v>299</v>
      </c>
      <c r="X257" s="131" t="e">
        <f>VLOOKUP(T257,Preenchimento!$A:$BV,10,0)</f>
        <v>#N/A</v>
      </c>
    </row>
    <row r="258" spans="1:24" ht="9.75" customHeight="1" x14ac:dyDescent="0.15">
      <c r="A258" s="121" t="s">
        <v>300</v>
      </c>
      <c r="C258" s="193" t="e">
        <f>VLOOKUP(B257,Preenchimento!$A:$BV,12,0)</f>
        <v>#N/A</v>
      </c>
      <c r="D258" s="193" t="e">
        <f>VLOOKUP(C257,Preenchimento!$A:$BV,12,0)</f>
        <v>#N/A</v>
      </c>
      <c r="E258" s="193" t="e">
        <f>VLOOKUP(D257,Preenchimento!$A:$BV,12,0)</f>
        <v>#N/A</v>
      </c>
      <c r="F258" s="194" t="e">
        <f>VLOOKUP(E257,Preenchimento!$A:$BV,12,0)</f>
        <v>#N/A</v>
      </c>
      <c r="G258" s="121" t="s">
        <v>300</v>
      </c>
      <c r="I258" s="193" t="e">
        <f>VLOOKUP(H257,Preenchimento!$A:$BV,12,0)</f>
        <v>#N/A</v>
      </c>
      <c r="J258" s="193" t="e">
        <f>VLOOKUP(I257,Preenchimento!$A:$BV,12,0)</f>
        <v>#N/A</v>
      </c>
      <c r="K258" s="193" t="e">
        <f>VLOOKUP(J257,Preenchimento!$A:$BV,12,0)</f>
        <v>#N/A</v>
      </c>
      <c r="L258" s="194" t="e">
        <f>VLOOKUP(K257,Preenchimento!$A:$BV,12,0)</f>
        <v>#N/A</v>
      </c>
      <c r="M258" s="121" t="s">
        <v>300</v>
      </c>
      <c r="O258" s="193" t="e">
        <f>VLOOKUP(N257,Preenchimento!$A:$BV,12,0)</f>
        <v>#N/A</v>
      </c>
      <c r="P258" s="193" t="e">
        <f>VLOOKUP(O257,Preenchimento!$A:$BV,12,0)</f>
        <v>#N/A</v>
      </c>
      <c r="Q258" s="193" t="e">
        <f>VLOOKUP(P257,Preenchimento!$A:$BV,12,0)</f>
        <v>#N/A</v>
      </c>
      <c r="R258" s="194" t="e">
        <f>VLOOKUP(Q257,Preenchimento!$A:$BV,12,0)</f>
        <v>#N/A</v>
      </c>
      <c r="S258" s="121" t="s">
        <v>300</v>
      </c>
      <c r="U258" s="193" t="e">
        <f>VLOOKUP(T257,Preenchimento!$A:$BV,12,0)</f>
        <v>#N/A</v>
      </c>
      <c r="V258" s="193" t="e">
        <f>VLOOKUP(U257,Preenchimento!$A:$BV,12,0)</f>
        <v>#N/A</v>
      </c>
      <c r="W258" s="193" t="e">
        <f>VLOOKUP(V257,Preenchimento!$A:$BV,12,0)</f>
        <v>#N/A</v>
      </c>
      <c r="X258" s="194" t="e">
        <f>VLOOKUP(W257,Preenchimento!$A:$BV,12,0)</f>
        <v>#N/A</v>
      </c>
    </row>
    <row r="259" spans="1:24" ht="9.75" customHeight="1" x14ac:dyDescent="0.15">
      <c r="A259" s="123" t="s">
        <v>301</v>
      </c>
      <c r="B259" s="195" t="e">
        <f>IF(VLOOKUP(B257,Preenchimento!$A:$BV,11,0)=0,"",VLOOKUP(B257,Preenchimento!$A:$BV,11,0))</f>
        <v>#N/A</v>
      </c>
      <c r="C259" s="195"/>
      <c r="D259" s="195"/>
      <c r="E259" s="195"/>
      <c r="F259" s="196"/>
      <c r="G259" s="123" t="s">
        <v>301</v>
      </c>
      <c r="H259" s="195" t="e">
        <f>IF(VLOOKUP(H257,Preenchimento!$A:$BV,11,0)=0,"",VLOOKUP(H257,Preenchimento!$A:$BV,11,0))</f>
        <v>#N/A</v>
      </c>
      <c r="I259" s="195"/>
      <c r="J259" s="195"/>
      <c r="K259" s="195"/>
      <c r="L259" s="196"/>
      <c r="M259" s="123" t="s">
        <v>301</v>
      </c>
      <c r="N259" s="195" t="e">
        <f>IF(VLOOKUP(N257,Preenchimento!$A:$BV,11,0)=0,"",VLOOKUP(N257,Preenchimento!$A:$BV,11,0))</f>
        <v>#N/A</v>
      </c>
      <c r="O259" s="195"/>
      <c r="P259" s="195"/>
      <c r="Q259" s="195"/>
      <c r="R259" s="196"/>
      <c r="S259" s="123" t="s">
        <v>301</v>
      </c>
      <c r="T259" s="195" t="e">
        <f>IF(VLOOKUP(T257,Preenchimento!$A:$BV,11,0)=0,"",VLOOKUP(T257,Preenchimento!$A:$BV,11,0))</f>
        <v>#N/A</v>
      </c>
      <c r="U259" s="195"/>
      <c r="V259" s="195"/>
      <c r="W259" s="195"/>
      <c r="X259" s="196"/>
    </row>
    <row r="260" spans="1:24" s="130" customFormat="1" ht="33.950000000000003" customHeight="1" x14ac:dyDescent="0.25">
      <c r="A260" s="199" t="str">
        <f>Sitio!$A$3</f>
        <v>Projeto 01</v>
      </c>
      <c r="B260" s="200"/>
      <c r="C260" s="200"/>
      <c r="D260" s="200"/>
      <c r="E260" s="200"/>
      <c r="F260" s="201"/>
      <c r="G260" s="199" t="str">
        <f>Sitio!$A$3</f>
        <v>Projeto 01</v>
      </c>
      <c r="H260" s="200"/>
      <c r="I260" s="200"/>
      <c r="J260" s="200"/>
      <c r="K260" s="200"/>
      <c r="L260" s="201"/>
      <c r="M260" s="199" t="str">
        <f>Sitio!$A$3</f>
        <v>Projeto 01</v>
      </c>
      <c r="N260" s="200"/>
      <c r="O260" s="200"/>
      <c r="P260" s="200"/>
      <c r="Q260" s="200"/>
      <c r="R260" s="201"/>
      <c r="S260" s="199" t="str">
        <f>Sitio!$A$3</f>
        <v>Projeto 01</v>
      </c>
      <c r="T260" s="200"/>
      <c r="U260" s="200"/>
      <c r="V260" s="200"/>
      <c r="W260" s="200"/>
      <c r="X260" s="201"/>
    </row>
    <row r="261" spans="1:24" ht="9.75" customHeight="1" x14ac:dyDescent="0.15">
      <c r="A261" s="121" t="s">
        <v>294</v>
      </c>
      <c r="B261" s="193">
        <f>Sitio!$E$3</f>
        <v>0</v>
      </c>
      <c r="C261" s="193"/>
      <c r="D261" s="193"/>
      <c r="E261" s="193"/>
      <c r="F261" s="194"/>
      <c r="G261" s="121" t="s">
        <v>294</v>
      </c>
      <c r="H261" s="193">
        <f>Sitio!$E$3</f>
        <v>0</v>
      </c>
      <c r="I261" s="193"/>
      <c r="J261" s="193"/>
      <c r="K261" s="193"/>
      <c r="L261" s="194"/>
      <c r="M261" s="121" t="s">
        <v>294</v>
      </c>
      <c r="N261" s="193">
        <f>Sitio!$E$3</f>
        <v>0</v>
      </c>
      <c r="O261" s="193"/>
      <c r="P261" s="193"/>
      <c r="Q261" s="193"/>
      <c r="R261" s="194"/>
      <c r="S261" s="121" t="s">
        <v>294</v>
      </c>
      <c r="T261" s="193">
        <f>Sitio!$E$3</f>
        <v>0</v>
      </c>
      <c r="U261" s="193"/>
      <c r="V261" s="193"/>
      <c r="W261" s="193"/>
      <c r="X261" s="194"/>
    </row>
    <row r="262" spans="1:24" ht="9.75" customHeight="1" x14ac:dyDescent="0.15">
      <c r="A262" s="121" t="s">
        <v>295</v>
      </c>
      <c r="C262" s="193" t="e">
        <f>VLOOKUP(B264,Preenchimento!$A:$BV,2,0)</f>
        <v>#N/A</v>
      </c>
      <c r="D262" s="193" t="e">
        <f>VLOOKUP(C264,Preenchimento!$A:$BV,2,0)</f>
        <v>#N/A</v>
      </c>
      <c r="E262" s="193" t="e">
        <f>VLOOKUP(D264,Preenchimento!$A:$BV,2,0)</f>
        <v>#N/A</v>
      </c>
      <c r="F262" s="194" t="e">
        <f>VLOOKUP(E264,Preenchimento!$A:$BV,2,0)</f>
        <v>#N/A</v>
      </c>
      <c r="G262" s="121" t="s">
        <v>295</v>
      </c>
      <c r="I262" s="193" t="e">
        <f>VLOOKUP(H264,Preenchimento!$A:$BV,2,0)</f>
        <v>#N/A</v>
      </c>
      <c r="J262" s="193" t="e">
        <f>VLOOKUP(I264,Preenchimento!$A:$BV,2,0)</f>
        <v>#N/A</v>
      </c>
      <c r="K262" s="193" t="e">
        <f>VLOOKUP(J264,Preenchimento!$A:$BV,2,0)</f>
        <v>#N/A</v>
      </c>
      <c r="L262" s="194" t="e">
        <f>VLOOKUP(K264,Preenchimento!$A:$BV,2,0)</f>
        <v>#N/A</v>
      </c>
      <c r="M262" s="121" t="s">
        <v>295</v>
      </c>
      <c r="O262" s="193" t="e">
        <f>VLOOKUP(N264,Preenchimento!$A:$BV,2,0)</f>
        <v>#N/A</v>
      </c>
      <c r="P262" s="193" t="e">
        <f>VLOOKUP(O264,Preenchimento!$A:$BV,2,0)</f>
        <v>#N/A</v>
      </c>
      <c r="Q262" s="193" t="e">
        <f>VLOOKUP(P264,Preenchimento!$A:$BV,2,0)</f>
        <v>#N/A</v>
      </c>
      <c r="R262" s="194" t="e">
        <f>VLOOKUP(Q264,Preenchimento!$A:$BV,2,0)</f>
        <v>#N/A</v>
      </c>
      <c r="S262" s="121" t="s">
        <v>295</v>
      </c>
      <c r="U262" s="193" t="e">
        <f>VLOOKUP(T264,Preenchimento!$A:$BV,2,0)</f>
        <v>#N/A</v>
      </c>
      <c r="V262" s="193" t="e">
        <f>VLOOKUP(U264,Preenchimento!$A:$BV,2,0)</f>
        <v>#N/A</v>
      </c>
      <c r="W262" s="193" t="e">
        <f>VLOOKUP(V264,Preenchimento!$A:$BV,2,0)</f>
        <v>#N/A</v>
      </c>
      <c r="X262" s="194" t="e">
        <f>VLOOKUP(W264,Preenchimento!$A:$BV,2,0)</f>
        <v>#N/A</v>
      </c>
    </row>
    <row r="263" spans="1:24" ht="9.75" customHeight="1" x14ac:dyDescent="0.15">
      <c r="A263" s="121" t="s">
        <v>296</v>
      </c>
      <c r="B263" s="193" t="e">
        <f>VLOOKUP(B264,Preenchimento!$A:$BV,3,0)</f>
        <v>#N/A</v>
      </c>
      <c r="C263" s="193" t="e">
        <f>VLOOKUP(C264,Preenchimento!$A:$BV,3,0)</f>
        <v>#N/A</v>
      </c>
      <c r="D263" s="120" t="s">
        <v>297</v>
      </c>
      <c r="E263" s="197" t="e">
        <f>VLOOKUP(B264,Preenchimento!$A:$BV,5,0)</f>
        <v>#N/A</v>
      </c>
      <c r="F263" s="198" t="e">
        <f>VLOOKUP(C264,Preenchimento!$A:$BV,5,0)</f>
        <v>#N/A</v>
      </c>
      <c r="G263" s="121" t="s">
        <v>296</v>
      </c>
      <c r="H263" s="193" t="e">
        <f>VLOOKUP(H264,Preenchimento!$A:$BV,3,0)</f>
        <v>#N/A</v>
      </c>
      <c r="I263" s="193" t="e">
        <f>VLOOKUP(I264,Preenchimento!$A:$BV,3,0)</f>
        <v>#N/A</v>
      </c>
      <c r="J263" s="120" t="s">
        <v>297</v>
      </c>
      <c r="K263" s="197" t="e">
        <f>VLOOKUP(H264,Preenchimento!$A:$BV,5,0)</f>
        <v>#N/A</v>
      </c>
      <c r="L263" s="198" t="e">
        <f>VLOOKUP(I264,Preenchimento!$A:$BV,5,0)</f>
        <v>#N/A</v>
      </c>
      <c r="M263" s="121" t="s">
        <v>296</v>
      </c>
      <c r="N263" s="193" t="e">
        <f>VLOOKUP(N264,Preenchimento!$A:$BV,3,0)</f>
        <v>#N/A</v>
      </c>
      <c r="O263" s="193" t="e">
        <f>VLOOKUP(O264,Preenchimento!$A:$BV,3,0)</f>
        <v>#N/A</v>
      </c>
      <c r="P263" s="120" t="s">
        <v>297</v>
      </c>
      <c r="Q263" s="197" t="e">
        <f>VLOOKUP(N264,Preenchimento!$A:$BV,5,0)</f>
        <v>#N/A</v>
      </c>
      <c r="R263" s="198" t="e">
        <f>VLOOKUP(O264,Preenchimento!$A:$BV,5,0)</f>
        <v>#N/A</v>
      </c>
      <c r="S263" s="121" t="s">
        <v>296</v>
      </c>
      <c r="T263" s="193" t="e">
        <f>VLOOKUP(T264,Preenchimento!$A:$BV,3,0)</f>
        <v>#N/A</v>
      </c>
      <c r="U263" s="193" t="e">
        <f>VLOOKUP(U264,Preenchimento!$A:$BV,3,0)</f>
        <v>#N/A</v>
      </c>
      <c r="V263" s="120" t="s">
        <v>297</v>
      </c>
      <c r="W263" s="197" t="e">
        <f>VLOOKUP(T264,Preenchimento!$A:$BV,5,0)</f>
        <v>#N/A</v>
      </c>
      <c r="X263" s="198" t="e">
        <f>VLOOKUP(U264,Preenchimento!$A:$BV,5,0)</f>
        <v>#N/A</v>
      </c>
    </row>
    <row r="264" spans="1:24" ht="9.75" customHeight="1" x14ac:dyDescent="0.15">
      <c r="A264" s="121" t="s">
        <v>298</v>
      </c>
      <c r="B264" s="193"/>
      <c r="C264" s="193"/>
      <c r="D264" s="120" t="s">
        <v>299</v>
      </c>
      <c r="F264" s="131" t="e">
        <f>VLOOKUP(B264,Preenchimento!$A:$BV,10,0)</f>
        <v>#N/A</v>
      </c>
      <c r="G264" s="121" t="s">
        <v>298</v>
      </c>
      <c r="H264" s="193"/>
      <c r="I264" s="193"/>
      <c r="J264" s="120" t="s">
        <v>299</v>
      </c>
      <c r="L264" s="131" t="e">
        <f>VLOOKUP(H264,Preenchimento!$A:$BV,10,0)</f>
        <v>#N/A</v>
      </c>
      <c r="M264" s="121" t="s">
        <v>298</v>
      </c>
      <c r="N264" s="193"/>
      <c r="O264" s="193"/>
      <c r="P264" s="120" t="s">
        <v>299</v>
      </c>
      <c r="R264" s="131" t="e">
        <f>VLOOKUP(N264,Preenchimento!$A:$BV,10,0)</f>
        <v>#N/A</v>
      </c>
      <c r="S264" s="121" t="s">
        <v>298</v>
      </c>
      <c r="T264" s="193"/>
      <c r="U264" s="193"/>
      <c r="V264" s="120" t="s">
        <v>299</v>
      </c>
      <c r="X264" s="131" t="e">
        <f>VLOOKUP(T264,Preenchimento!$A:$BV,10,0)</f>
        <v>#N/A</v>
      </c>
    </row>
    <row r="265" spans="1:24" ht="9.75" customHeight="1" x14ac:dyDescent="0.15">
      <c r="A265" s="121" t="s">
        <v>300</v>
      </c>
      <c r="C265" s="193" t="e">
        <f>VLOOKUP(B264,Preenchimento!$A:$BV,12,0)</f>
        <v>#N/A</v>
      </c>
      <c r="D265" s="193" t="e">
        <f>VLOOKUP(C264,Preenchimento!$A:$BV,12,0)</f>
        <v>#N/A</v>
      </c>
      <c r="E265" s="193" t="e">
        <f>VLOOKUP(D264,Preenchimento!$A:$BV,12,0)</f>
        <v>#N/A</v>
      </c>
      <c r="F265" s="194" t="e">
        <f>VLOOKUP(E264,Preenchimento!$A:$BV,12,0)</f>
        <v>#N/A</v>
      </c>
      <c r="G265" s="121" t="s">
        <v>300</v>
      </c>
      <c r="I265" s="193" t="e">
        <f>VLOOKUP(H264,Preenchimento!$A:$BV,12,0)</f>
        <v>#N/A</v>
      </c>
      <c r="J265" s="193" t="e">
        <f>VLOOKUP(I264,Preenchimento!$A:$BV,12,0)</f>
        <v>#N/A</v>
      </c>
      <c r="K265" s="193" t="e">
        <f>VLOOKUP(J264,Preenchimento!$A:$BV,12,0)</f>
        <v>#N/A</v>
      </c>
      <c r="L265" s="194" t="e">
        <f>VLOOKUP(K264,Preenchimento!$A:$BV,12,0)</f>
        <v>#N/A</v>
      </c>
      <c r="M265" s="121" t="s">
        <v>300</v>
      </c>
      <c r="O265" s="193" t="e">
        <f>VLOOKUP(N264,Preenchimento!$A:$BV,12,0)</f>
        <v>#N/A</v>
      </c>
      <c r="P265" s="193" t="e">
        <f>VLOOKUP(O264,Preenchimento!$A:$BV,12,0)</f>
        <v>#N/A</v>
      </c>
      <c r="Q265" s="193" t="e">
        <f>VLOOKUP(P264,Preenchimento!$A:$BV,12,0)</f>
        <v>#N/A</v>
      </c>
      <c r="R265" s="194" t="e">
        <f>VLOOKUP(Q264,Preenchimento!$A:$BV,12,0)</f>
        <v>#N/A</v>
      </c>
      <c r="S265" s="121" t="s">
        <v>300</v>
      </c>
      <c r="U265" s="193" t="e">
        <f>VLOOKUP(T264,Preenchimento!$A:$BV,12,0)</f>
        <v>#N/A</v>
      </c>
      <c r="V265" s="193" t="e">
        <f>VLOOKUP(U264,Preenchimento!$A:$BV,12,0)</f>
        <v>#N/A</v>
      </c>
      <c r="W265" s="193" t="e">
        <f>VLOOKUP(V264,Preenchimento!$A:$BV,12,0)</f>
        <v>#N/A</v>
      </c>
      <c r="X265" s="194" t="e">
        <f>VLOOKUP(W264,Preenchimento!$A:$BV,12,0)</f>
        <v>#N/A</v>
      </c>
    </row>
    <row r="266" spans="1:24" ht="9.75" customHeight="1" x14ac:dyDescent="0.15">
      <c r="A266" s="123" t="s">
        <v>301</v>
      </c>
      <c r="B266" s="195" t="e">
        <f>IF(VLOOKUP(B264,Preenchimento!$A:$BV,11,0)=0,"",VLOOKUP(B264,Preenchimento!$A:$BV,11,0))</f>
        <v>#N/A</v>
      </c>
      <c r="C266" s="195"/>
      <c r="D266" s="195"/>
      <c r="E266" s="195"/>
      <c r="F266" s="196"/>
      <c r="G266" s="123" t="s">
        <v>301</v>
      </c>
      <c r="H266" s="195" t="e">
        <f>IF(VLOOKUP(H264,Preenchimento!$A:$BV,11,0)=0,"",VLOOKUP(H264,Preenchimento!$A:$BV,11,0))</f>
        <v>#N/A</v>
      </c>
      <c r="I266" s="195"/>
      <c r="J266" s="195"/>
      <c r="K266" s="195"/>
      <c r="L266" s="196"/>
      <c r="M266" s="123" t="s">
        <v>301</v>
      </c>
      <c r="N266" s="195" t="e">
        <f>IF(VLOOKUP(N264,Preenchimento!$A:$BV,11,0)=0,"",VLOOKUP(N264,Preenchimento!$A:$BV,11,0))</f>
        <v>#N/A</v>
      </c>
      <c r="O266" s="195"/>
      <c r="P266" s="195"/>
      <c r="Q266" s="195"/>
      <c r="R266" s="196"/>
      <c r="S266" s="123" t="s">
        <v>301</v>
      </c>
      <c r="T266" s="195" t="e">
        <f>IF(VLOOKUP(T264,Preenchimento!$A:$BV,11,0)=0,"",VLOOKUP(T264,Preenchimento!$A:$BV,11,0))</f>
        <v>#N/A</v>
      </c>
      <c r="U266" s="195"/>
      <c r="V266" s="195"/>
      <c r="W266" s="195"/>
      <c r="X266" s="196"/>
    </row>
    <row r="267" spans="1:24" s="130" customFormat="1" ht="33.950000000000003" customHeight="1" x14ac:dyDescent="0.25">
      <c r="A267" s="199" t="str">
        <f>Sitio!$A$3</f>
        <v>Projeto 01</v>
      </c>
      <c r="B267" s="200"/>
      <c r="C267" s="200"/>
      <c r="D267" s="200"/>
      <c r="E267" s="200"/>
      <c r="F267" s="201"/>
      <c r="G267" s="199" t="str">
        <f>Sitio!$A$3</f>
        <v>Projeto 01</v>
      </c>
      <c r="H267" s="200"/>
      <c r="I267" s="200"/>
      <c r="J267" s="200"/>
      <c r="K267" s="200"/>
      <c r="L267" s="201"/>
      <c r="M267" s="199" t="str">
        <f>Sitio!$A$3</f>
        <v>Projeto 01</v>
      </c>
      <c r="N267" s="200"/>
      <c r="O267" s="200"/>
      <c r="P267" s="200"/>
      <c r="Q267" s="200"/>
      <c r="R267" s="201"/>
      <c r="S267" s="199" t="str">
        <f>Sitio!$A$3</f>
        <v>Projeto 01</v>
      </c>
      <c r="T267" s="200"/>
      <c r="U267" s="200"/>
      <c r="V267" s="200"/>
      <c r="W267" s="200"/>
      <c r="X267" s="201"/>
    </row>
    <row r="268" spans="1:24" ht="9.75" customHeight="1" x14ac:dyDescent="0.15">
      <c r="A268" s="121" t="s">
        <v>294</v>
      </c>
      <c r="B268" s="193">
        <f>Sitio!$E$3</f>
        <v>0</v>
      </c>
      <c r="C268" s="193"/>
      <c r="D268" s="193"/>
      <c r="E268" s="193"/>
      <c r="F268" s="194"/>
      <c r="G268" s="121" t="s">
        <v>294</v>
      </c>
      <c r="H268" s="193">
        <f>Sitio!$E$3</f>
        <v>0</v>
      </c>
      <c r="I268" s="193"/>
      <c r="J268" s="193"/>
      <c r="K268" s="193"/>
      <c r="L268" s="194"/>
      <c r="M268" s="121" t="s">
        <v>294</v>
      </c>
      <c r="N268" s="193">
        <f>Sitio!$E$3</f>
        <v>0</v>
      </c>
      <c r="O268" s="193"/>
      <c r="P268" s="193"/>
      <c r="Q268" s="193"/>
      <c r="R268" s="194"/>
      <c r="S268" s="121" t="s">
        <v>294</v>
      </c>
      <c r="T268" s="193">
        <f>Sitio!$E$3</f>
        <v>0</v>
      </c>
      <c r="U268" s="193"/>
      <c r="V268" s="193"/>
      <c r="W268" s="193"/>
      <c r="X268" s="194"/>
    </row>
    <row r="269" spans="1:24" ht="9.75" customHeight="1" x14ac:dyDescent="0.15">
      <c r="A269" s="121" t="s">
        <v>295</v>
      </c>
      <c r="C269" s="193" t="e">
        <f>VLOOKUP(B271,Preenchimento!$A:$BV,2,0)</f>
        <v>#N/A</v>
      </c>
      <c r="D269" s="193" t="e">
        <f>VLOOKUP(C271,Preenchimento!$A:$BV,2,0)</f>
        <v>#N/A</v>
      </c>
      <c r="E269" s="193" t="e">
        <f>VLOOKUP(D271,Preenchimento!$A:$BV,2,0)</f>
        <v>#N/A</v>
      </c>
      <c r="F269" s="194" t="e">
        <f>VLOOKUP(E271,Preenchimento!$A:$BV,2,0)</f>
        <v>#N/A</v>
      </c>
      <c r="G269" s="121" t="s">
        <v>295</v>
      </c>
      <c r="I269" s="193" t="e">
        <f>VLOOKUP(H271,Preenchimento!$A:$BV,2,0)</f>
        <v>#N/A</v>
      </c>
      <c r="J269" s="193" t="e">
        <f>VLOOKUP(I271,Preenchimento!$A:$BV,2,0)</f>
        <v>#N/A</v>
      </c>
      <c r="K269" s="193" t="e">
        <f>VLOOKUP(J271,Preenchimento!$A:$BV,2,0)</f>
        <v>#N/A</v>
      </c>
      <c r="L269" s="194" t="e">
        <f>VLOOKUP(K271,Preenchimento!$A:$BV,2,0)</f>
        <v>#N/A</v>
      </c>
      <c r="M269" s="121" t="s">
        <v>295</v>
      </c>
      <c r="O269" s="193" t="e">
        <f>VLOOKUP(N271,Preenchimento!$A:$BV,2,0)</f>
        <v>#N/A</v>
      </c>
      <c r="P269" s="193" t="e">
        <f>VLOOKUP(O271,Preenchimento!$A:$BV,2,0)</f>
        <v>#N/A</v>
      </c>
      <c r="Q269" s="193" t="e">
        <f>VLOOKUP(P271,Preenchimento!$A:$BV,2,0)</f>
        <v>#N/A</v>
      </c>
      <c r="R269" s="194" t="e">
        <f>VLOOKUP(Q271,Preenchimento!$A:$BV,2,0)</f>
        <v>#N/A</v>
      </c>
      <c r="S269" s="121" t="s">
        <v>295</v>
      </c>
      <c r="U269" s="193" t="e">
        <f>VLOOKUP(T271,Preenchimento!$A:$BV,2,0)</f>
        <v>#N/A</v>
      </c>
      <c r="V269" s="193" t="e">
        <f>VLOOKUP(U271,Preenchimento!$A:$BV,2,0)</f>
        <v>#N/A</v>
      </c>
      <c r="W269" s="193" t="e">
        <f>VLOOKUP(V271,Preenchimento!$A:$BV,2,0)</f>
        <v>#N/A</v>
      </c>
      <c r="X269" s="194" t="e">
        <f>VLOOKUP(W271,Preenchimento!$A:$BV,2,0)</f>
        <v>#N/A</v>
      </c>
    </row>
    <row r="270" spans="1:24" ht="9.75" customHeight="1" x14ac:dyDescent="0.15">
      <c r="A270" s="121" t="s">
        <v>296</v>
      </c>
      <c r="B270" s="193" t="e">
        <f>VLOOKUP(B271,Preenchimento!$A:$BV,3,0)</f>
        <v>#N/A</v>
      </c>
      <c r="C270" s="193" t="e">
        <f>VLOOKUP(C271,Preenchimento!$A:$BV,3,0)</f>
        <v>#N/A</v>
      </c>
      <c r="D270" s="120" t="s">
        <v>297</v>
      </c>
      <c r="E270" s="197" t="e">
        <f>VLOOKUP(B271,Preenchimento!$A:$BV,5,0)</f>
        <v>#N/A</v>
      </c>
      <c r="F270" s="198" t="e">
        <f>VLOOKUP(C271,Preenchimento!$A:$BV,5,0)</f>
        <v>#N/A</v>
      </c>
      <c r="G270" s="121" t="s">
        <v>296</v>
      </c>
      <c r="H270" s="193" t="e">
        <f>VLOOKUP(H271,Preenchimento!$A:$BV,3,0)</f>
        <v>#N/A</v>
      </c>
      <c r="I270" s="193" t="e">
        <f>VLOOKUP(I271,Preenchimento!$A:$BV,3,0)</f>
        <v>#N/A</v>
      </c>
      <c r="J270" s="120" t="s">
        <v>297</v>
      </c>
      <c r="K270" s="197" t="e">
        <f>VLOOKUP(H271,Preenchimento!$A:$BV,5,0)</f>
        <v>#N/A</v>
      </c>
      <c r="L270" s="198" t="e">
        <f>VLOOKUP(I271,Preenchimento!$A:$BV,5,0)</f>
        <v>#N/A</v>
      </c>
      <c r="M270" s="121" t="s">
        <v>296</v>
      </c>
      <c r="N270" s="193" t="e">
        <f>VLOOKUP(N271,Preenchimento!$A:$BV,3,0)</f>
        <v>#N/A</v>
      </c>
      <c r="O270" s="193" t="e">
        <f>VLOOKUP(O271,Preenchimento!$A:$BV,3,0)</f>
        <v>#N/A</v>
      </c>
      <c r="P270" s="120" t="s">
        <v>297</v>
      </c>
      <c r="Q270" s="197" t="e">
        <f>VLOOKUP(N271,Preenchimento!$A:$BV,5,0)</f>
        <v>#N/A</v>
      </c>
      <c r="R270" s="198" t="e">
        <f>VLOOKUP(O271,Preenchimento!$A:$BV,5,0)</f>
        <v>#N/A</v>
      </c>
      <c r="S270" s="121" t="s">
        <v>296</v>
      </c>
      <c r="T270" s="193" t="e">
        <f>VLOOKUP(T271,Preenchimento!$A:$BV,3,0)</f>
        <v>#N/A</v>
      </c>
      <c r="U270" s="193" t="e">
        <f>VLOOKUP(U271,Preenchimento!$A:$BV,3,0)</f>
        <v>#N/A</v>
      </c>
      <c r="V270" s="120" t="s">
        <v>297</v>
      </c>
      <c r="W270" s="197" t="e">
        <f>VLOOKUP(T271,Preenchimento!$A:$BV,5,0)</f>
        <v>#N/A</v>
      </c>
      <c r="X270" s="198" t="e">
        <f>VLOOKUP(U271,Preenchimento!$A:$BV,5,0)</f>
        <v>#N/A</v>
      </c>
    </row>
    <row r="271" spans="1:24" ht="9.75" customHeight="1" x14ac:dyDescent="0.15">
      <c r="A271" s="121" t="s">
        <v>298</v>
      </c>
      <c r="B271" s="193"/>
      <c r="C271" s="193"/>
      <c r="D271" s="120" t="s">
        <v>299</v>
      </c>
      <c r="F271" s="131" t="e">
        <f>VLOOKUP(B271,Preenchimento!$A:$BV,10,0)</f>
        <v>#N/A</v>
      </c>
      <c r="G271" s="121" t="s">
        <v>298</v>
      </c>
      <c r="H271" s="193"/>
      <c r="I271" s="193"/>
      <c r="J271" s="120" t="s">
        <v>299</v>
      </c>
      <c r="L271" s="131" t="e">
        <f>VLOOKUP(H271,Preenchimento!$A:$BV,10,0)</f>
        <v>#N/A</v>
      </c>
      <c r="M271" s="121" t="s">
        <v>298</v>
      </c>
      <c r="N271" s="193"/>
      <c r="O271" s="193"/>
      <c r="P271" s="120" t="s">
        <v>299</v>
      </c>
      <c r="R271" s="131" t="e">
        <f>VLOOKUP(N271,Preenchimento!$A:$BV,10,0)</f>
        <v>#N/A</v>
      </c>
      <c r="S271" s="121" t="s">
        <v>298</v>
      </c>
      <c r="T271" s="193"/>
      <c r="U271" s="193"/>
      <c r="V271" s="120" t="s">
        <v>299</v>
      </c>
      <c r="X271" s="131" t="e">
        <f>VLOOKUP(T271,Preenchimento!$A:$BV,10,0)</f>
        <v>#N/A</v>
      </c>
    </row>
    <row r="272" spans="1:24" ht="9.75" customHeight="1" x14ac:dyDescent="0.15">
      <c r="A272" s="121" t="s">
        <v>300</v>
      </c>
      <c r="C272" s="193" t="e">
        <f>VLOOKUP(B271,Preenchimento!$A:$BV,12,0)</f>
        <v>#N/A</v>
      </c>
      <c r="D272" s="193" t="e">
        <f>VLOOKUP(C271,Preenchimento!$A:$BV,12,0)</f>
        <v>#N/A</v>
      </c>
      <c r="E272" s="193" t="e">
        <f>VLOOKUP(D271,Preenchimento!$A:$BV,12,0)</f>
        <v>#N/A</v>
      </c>
      <c r="F272" s="194" t="e">
        <f>VLOOKUP(E271,Preenchimento!$A:$BV,12,0)</f>
        <v>#N/A</v>
      </c>
      <c r="G272" s="121" t="s">
        <v>300</v>
      </c>
      <c r="I272" s="193" t="e">
        <f>VLOOKUP(H271,Preenchimento!$A:$BV,12,0)</f>
        <v>#N/A</v>
      </c>
      <c r="J272" s="193" t="e">
        <f>VLOOKUP(I271,Preenchimento!$A:$BV,12,0)</f>
        <v>#N/A</v>
      </c>
      <c r="K272" s="193" t="e">
        <f>VLOOKUP(J271,Preenchimento!$A:$BV,12,0)</f>
        <v>#N/A</v>
      </c>
      <c r="L272" s="194" t="e">
        <f>VLOOKUP(K271,Preenchimento!$A:$BV,12,0)</f>
        <v>#N/A</v>
      </c>
      <c r="M272" s="121" t="s">
        <v>300</v>
      </c>
      <c r="O272" s="193" t="e">
        <f>VLOOKUP(N271,Preenchimento!$A:$BV,12,0)</f>
        <v>#N/A</v>
      </c>
      <c r="P272" s="193" t="e">
        <f>VLOOKUP(O271,Preenchimento!$A:$BV,12,0)</f>
        <v>#N/A</v>
      </c>
      <c r="Q272" s="193" t="e">
        <f>VLOOKUP(P271,Preenchimento!$A:$BV,12,0)</f>
        <v>#N/A</v>
      </c>
      <c r="R272" s="194" t="e">
        <f>VLOOKUP(Q271,Preenchimento!$A:$BV,12,0)</f>
        <v>#N/A</v>
      </c>
      <c r="S272" s="121" t="s">
        <v>300</v>
      </c>
      <c r="U272" s="193" t="e">
        <f>VLOOKUP(T271,Preenchimento!$A:$BV,12,0)</f>
        <v>#N/A</v>
      </c>
      <c r="V272" s="193" t="e">
        <f>VLOOKUP(U271,Preenchimento!$A:$BV,12,0)</f>
        <v>#N/A</v>
      </c>
      <c r="W272" s="193" t="e">
        <f>VLOOKUP(V271,Preenchimento!$A:$BV,12,0)</f>
        <v>#N/A</v>
      </c>
      <c r="X272" s="194" t="e">
        <f>VLOOKUP(W271,Preenchimento!$A:$BV,12,0)</f>
        <v>#N/A</v>
      </c>
    </row>
    <row r="273" spans="1:24" ht="9.75" customHeight="1" x14ac:dyDescent="0.15">
      <c r="A273" s="123" t="s">
        <v>301</v>
      </c>
      <c r="B273" s="195" t="e">
        <f>IF(VLOOKUP(B271,Preenchimento!$A:$BV,11,0)=0,"",VLOOKUP(B271,Preenchimento!$A:$BV,11,0))</f>
        <v>#N/A</v>
      </c>
      <c r="C273" s="195"/>
      <c r="D273" s="195"/>
      <c r="E273" s="195"/>
      <c r="F273" s="196"/>
      <c r="G273" s="123" t="s">
        <v>301</v>
      </c>
      <c r="H273" s="195" t="e">
        <f>IF(VLOOKUP(H271,Preenchimento!$A:$BV,11,0)=0,"",VLOOKUP(H271,Preenchimento!$A:$BV,11,0))</f>
        <v>#N/A</v>
      </c>
      <c r="I273" s="195"/>
      <c r="J273" s="195"/>
      <c r="K273" s="195"/>
      <c r="L273" s="196"/>
      <c r="M273" s="123" t="s">
        <v>301</v>
      </c>
      <c r="N273" s="195" t="e">
        <f>IF(VLOOKUP(N271,Preenchimento!$A:$BV,11,0)=0,"",VLOOKUP(N271,Preenchimento!$A:$BV,11,0))</f>
        <v>#N/A</v>
      </c>
      <c r="O273" s="195"/>
      <c r="P273" s="195"/>
      <c r="Q273" s="195"/>
      <c r="R273" s="196"/>
      <c r="S273" s="123" t="s">
        <v>301</v>
      </c>
      <c r="T273" s="195" t="e">
        <f>IF(VLOOKUP(T271,Preenchimento!$A:$BV,11,0)=0,"",VLOOKUP(T271,Preenchimento!$A:$BV,11,0))</f>
        <v>#N/A</v>
      </c>
      <c r="U273" s="195"/>
      <c r="V273" s="195"/>
      <c r="W273" s="195"/>
      <c r="X273" s="196"/>
    </row>
    <row r="274" spans="1:24" s="130" customFormat="1" ht="33.950000000000003" customHeight="1" x14ac:dyDescent="0.25">
      <c r="A274" s="199" t="str">
        <f>Sitio!$A$3</f>
        <v>Projeto 01</v>
      </c>
      <c r="B274" s="200"/>
      <c r="C274" s="200"/>
      <c r="D274" s="200"/>
      <c r="E274" s="200"/>
      <c r="F274" s="201"/>
      <c r="G274" s="199" t="str">
        <f>Sitio!$A$3</f>
        <v>Projeto 01</v>
      </c>
      <c r="H274" s="200"/>
      <c r="I274" s="200"/>
      <c r="J274" s="200"/>
      <c r="K274" s="200"/>
      <c r="L274" s="201"/>
      <c r="M274" s="199" t="str">
        <f>Sitio!$A$3</f>
        <v>Projeto 01</v>
      </c>
      <c r="N274" s="200"/>
      <c r="O274" s="200"/>
      <c r="P274" s="200"/>
      <c r="Q274" s="200"/>
      <c r="R274" s="201"/>
      <c r="S274" s="199" t="str">
        <f>Sitio!$A$3</f>
        <v>Projeto 01</v>
      </c>
      <c r="T274" s="200"/>
      <c r="U274" s="200"/>
      <c r="V274" s="200"/>
      <c r="W274" s="200"/>
      <c r="X274" s="201"/>
    </row>
    <row r="275" spans="1:24" ht="9.75" customHeight="1" x14ac:dyDescent="0.15">
      <c r="A275" s="121" t="s">
        <v>294</v>
      </c>
      <c r="B275" s="193">
        <f>Sitio!$E$3</f>
        <v>0</v>
      </c>
      <c r="C275" s="193"/>
      <c r="D275" s="193"/>
      <c r="E275" s="193"/>
      <c r="F275" s="194"/>
      <c r="G275" s="121" t="s">
        <v>294</v>
      </c>
      <c r="H275" s="193">
        <f>Sitio!$E$3</f>
        <v>0</v>
      </c>
      <c r="I275" s="193"/>
      <c r="J275" s="193"/>
      <c r="K275" s="193"/>
      <c r="L275" s="194"/>
      <c r="M275" s="121" t="s">
        <v>294</v>
      </c>
      <c r="N275" s="193">
        <f>Sitio!$E$3</f>
        <v>0</v>
      </c>
      <c r="O275" s="193"/>
      <c r="P275" s="193"/>
      <c r="Q275" s="193"/>
      <c r="R275" s="194"/>
      <c r="S275" s="121" t="s">
        <v>294</v>
      </c>
      <c r="T275" s="193">
        <f>Sitio!$E$3</f>
        <v>0</v>
      </c>
      <c r="U275" s="193"/>
      <c r="V275" s="193"/>
      <c r="W275" s="193"/>
      <c r="X275" s="194"/>
    </row>
    <row r="276" spans="1:24" ht="9.75" customHeight="1" x14ac:dyDescent="0.15">
      <c r="A276" s="121" t="s">
        <v>295</v>
      </c>
      <c r="C276" s="193" t="e">
        <f>VLOOKUP(B278,Preenchimento!$A:$BV,2,0)</f>
        <v>#N/A</v>
      </c>
      <c r="D276" s="193" t="e">
        <f>VLOOKUP(C278,Preenchimento!$A:$BV,2,0)</f>
        <v>#N/A</v>
      </c>
      <c r="E276" s="193" t="e">
        <f>VLOOKUP(D278,Preenchimento!$A:$BV,2,0)</f>
        <v>#N/A</v>
      </c>
      <c r="F276" s="194" t="e">
        <f>VLOOKUP(E278,Preenchimento!$A:$BV,2,0)</f>
        <v>#N/A</v>
      </c>
      <c r="G276" s="121" t="s">
        <v>295</v>
      </c>
      <c r="I276" s="193" t="e">
        <f>VLOOKUP(H278,Preenchimento!$A:$BV,2,0)</f>
        <v>#N/A</v>
      </c>
      <c r="J276" s="193" t="e">
        <f>VLOOKUP(I278,Preenchimento!$A:$BV,2,0)</f>
        <v>#N/A</v>
      </c>
      <c r="K276" s="193" t="e">
        <f>VLOOKUP(J278,Preenchimento!$A:$BV,2,0)</f>
        <v>#N/A</v>
      </c>
      <c r="L276" s="194" t="e">
        <f>VLOOKUP(K278,Preenchimento!$A:$BV,2,0)</f>
        <v>#N/A</v>
      </c>
      <c r="M276" s="121" t="s">
        <v>295</v>
      </c>
      <c r="O276" s="193" t="e">
        <f>VLOOKUP(N278,Preenchimento!$A:$BV,2,0)</f>
        <v>#N/A</v>
      </c>
      <c r="P276" s="193" t="e">
        <f>VLOOKUP(O278,Preenchimento!$A:$BV,2,0)</f>
        <v>#N/A</v>
      </c>
      <c r="Q276" s="193" t="e">
        <f>VLOOKUP(P278,Preenchimento!$A:$BV,2,0)</f>
        <v>#N/A</v>
      </c>
      <c r="R276" s="194" t="e">
        <f>VLOOKUP(Q278,Preenchimento!$A:$BV,2,0)</f>
        <v>#N/A</v>
      </c>
      <c r="S276" s="121" t="s">
        <v>295</v>
      </c>
      <c r="U276" s="193" t="e">
        <f>VLOOKUP(T278,Preenchimento!$A:$BV,2,0)</f>
        <v>#N/A</v>
      </c>
      <c r="V276" s="193" t="e">
        <f>VLOOKUP(U278,Preenchimento!$A:$BV,2,0)</f>
        <v>#N/A</v>
      </c>
      <c r="W276" s="193" t="e">
        <f>VLOOKUP(V278,Preenchimento!$A:$BV,2,0)</f>
        <v>#N/A</v>
      </c>
      <c r="X276" s="194" t="e">
        <f>VLOOKUP(W278,Preenchimento!$A:$BV,2,0)</f>
        <v>#N/A</v>
      </c>
    </row>
    <row r="277" spans="1:24" ht="9.75" customHeight="1" x14ac:dyDescent="0.15">
      <c r="A277" s="121" t="s">
        <v>296</v>
      </c>
      <c r="B277" s="193" t="e">
        <f>VLOOKUP(B278,Preenchimento!$A:$BV,3,0)</f>
        <v>#N/A</v>
      </c>
      <c r="C277" s="193" t="e">
        <f>VLOOKUP(C278,Preenchimento!$A:$BV,3,0)</f>
        <v>#N/A</v>
      </c>
      <c r="D277" s="120" t="s">
        <v>297</v>
      </c>
      <c r="E277" s="197" t="e">
        <f>VLOOKUP(B278,Preenchimento!$A:$BV,5,0)</f>
        <v>#N/A</v>
      </c>
      <c r="F277" s="198" t="e">
        <f>VLOOKUP(C278,Preenchimento!$A:$BV,5,0)</f>
        <v>#N/A</v>
      </c>
      <c r="G277" s="121" t="s">
        <v>296</v>
      </c>
      <c r="H277" s="193" t="e">
        <f>VLOOKUP(H278,Preenchimento!$A:$BV,3,0)</f>
        <v>#N/A</v>
      </c>
      <c r="I277" s="193" t="e">
        <f>VLOOKUP(I278,Preenchimento!$A:$BV,3,0)</f>
        <v>#N/A</v>
      </c>
      <c r="J277" s="120" t="s">
        <v>297</v>
      </c>
      <c r="K277" s="197" t="e">
        <f>VLOOKUP(H278,Preenchimento!$A:$BV,5,0)</f>
        <v>#N/A</v>
      </c>
      <c r="L277" s="198" t="e">
        <f>VLOOKUP(I278,Preenchimento!$A:$BV,5,0)</f>
        <v>#N/A</v>
      </c>
      <c r="M277" s="121" t="s">
        <v>296</v>
      </c>
      <c r="N277" s="193" t="e">
        <f>VLOOKUP(N278,Preenchimento!$A:$BV,3,0)</f>
        <v>#N/A</v>
      </c>
      <c r="O277" s="193" t="e">
        <f>VLOOKUP(O278,Preenchimento!$A:$BV,3,0)</f>
        <v>#N/A</v>
      </c>
      <c r="P277" s="120" t="s">
        <v>297</v>
      </c>
      <c r="Q277" s="197" t="e">
        <f>VLOOKUP(N278,Preenchimento!$A:$BV,5,0)</f>
        <v>#N/A</v>
      </c>
      <c r="R277" s="198" t="e">
        <f>VLOOKUP(O278,Preenchimento!$A:$BV,5,0)</f>
        <v>#N/A</v>
      </c>
      <c r="S277" s="121" t="s">
        <v>296</v>
      </c>
      <c r="T277" s="193" t="e">
        <f>VLOOKUP(T278,Preenchimento!$A:$BV,3,0)</f>
        <v>#N/A</v>
      </c>
      <c r="U277" s="193" t="e">
        <f>VLOOKUP(U278,Preenchimento!$A:$BV,3,0)</f>
        <v>#N/A</v>
      </c>
      <c r="V277" s="120" t="s">
        <v>297</v>
      </c>
      <c r="W277" s="197" t="e">
        <f>VLOOKUP(T278,Preenchimento!$A:$BV,5,0)</f>
        <v>#N/A</v>
      </c>
      <c r="X277" s="198" t="e">
        <f>VLOOKUP(U278,Preenchimento!$A:$BV,5,0)</f>
        <v>#N/A</v>
      </c>
    </row>
    <row r="278" spans="1:24" ht="9.75" customHeight="1" x14ac:dyDescent="0.15">
      <c r="A278" s="121" t="s">
        <v>298</v>
      </c>
      <c r="B278" s="193"/>
      <c r="C278" s="193"/>
      <c r="D278" s="120" t="s">
        <v>299</v>
      </c>
      <c r="F278" s="131" t="e">
        <f>VLOOKUP(B278,Preenchimento!$A:$BV,10,0)</f>
        <v>#N/A</v>
      </c>
      <c r="G278" s="121" t="s">
        <v>298</v>
      </c>
      <c r="H278" s="193"/>
      <c r="I278" s="193"/>
      <c r="J278" s="120" t="s">
        <v>299</v>
      </c>
      <c r="L278" s="131" t="e">
        <f>VLOOKUP(H278,Preenchimento!$A:$BV,10,0)</f>
        <v>#N/A</v>
      </c>
      <c r="M278" s="121" t="s">
        <v>298</v>
      </c>
      <c r="N278" s="193"/>
      <c r="O278" s="193"/>
      <c r="P278" s="120" t="s">
        <v>299</v>
      </c>
      <c r="R278" s="131" t="e">
        <f>VLOOKUP(N278,Preenchimento!$A:$BV,10,0)</f>
        <v>#N/A</v>
      </c>
      <c r="S278" s="121" t="s">
        <v>298</v>
      </c>
      <c r="T278" s="193"/>
      <c r="U278" s="193"/>
      <c r="V278" s="120" t="s">
        <v>299</v>
      </c>
      <c r="X278" s="131" t="e">
        <f>VLOOKUP(T278,Preenchimento!$A:$BV,10,0)</f>
        <v>#N/A</v>
      </c>
    </row>
    <row r="279" spans="1:24" ht="9.75" customHeight="1" x14ac:dyDescent="0.15">
      <c r="A279" s="121" t="s">
        <v>300</v>
      </c>
      <c r="C279" s="193" t="e">
        <f>VLOOKUP(B278,Preenchimento!$A:$BV,12,0)</f>
        <v>#N/A</v>
      </c>
      <c r="D279" s="193" t="e">
        <f>VLOOKUP(C278,Preenchimento!$A:$BV,12,0)</f>
        <v>#N/A</v>
      </c>
      <c r="E279" s="193" t="e">
        <f>VLOOKUP(D278,Preenchimento!$A:$BV,12,0)</f>
        <v>#N/A</v>
      </c>
      <c r="F279" s="194" t="e">
        <f>VLOOKUP(E278,Preenchimento!$A:$BV,12,0)</f>
        <v>#N/A</v>
      </c>
      <c r="G279" s="121" t="s">
        <v>300</v>
      </c>
      <c r="I279" s="193" t="e">
        <f>VLOOKUP(H278,Preenchimento!$A:$BV,12,0)</f>
        <v>#N/A</v>
      </c>
      <c r="J279" s="193" t="e">
        <f>VLOOKUP(I278,Preenchimento!$A:$BV,12,0)</f>
        <v>#N/A</v>
      </c>
      <c r="K279" s="193" t="e">
        <f>VLOOKUP(J278,Preenchimento!$A:$BV,12,0)</f>
        <v>#N/A</v>
      </c>
      <c r="L279" s="194" t="e">
        <f>VLOOKUP(K278,Preenchimento!$A:$BV,12,0)</f>
        <v>#N/A</v>
      </c>
      <c r="M279" s="121" t="s">
        <v>300</v>
      </c>
      <c r="O279" s="193" t="e">
        <f>VLOOKUP(N278,Preenchimento!$A:$BV,12,0)</f>
        <v>#N/A</v>
      </c>
      <c r="P279" s="193" t="e">
        <f>VLOOKUP(O278,Preenchimento!$A:$BV,12,0)</f>
        <v>#N/A</v>
      </c>
      <c r="Q279" s="193" t="e">
        <f>VLOOKUP(P278,Preenchimento!$A:$BV,12,0)</f>
        <v>#N/A</v>
      </c>
      <c r="R279" s="194" t="e">
        <f>VLOOKUP(Q278,Preenchimento!$A:$BV,12,0)</f>
        <v>#N/A</v>
      </c>
      <c r="S279" s="121" t="s">
        <v>300</v>
      </c>
      <c r="U279" s="193" t="e">
        <f>VLOOKUP(T278,Preenchimento!$A:$BV,12,0)</f>
        <v>#N/A</v>
      </c>
      <c r="V279" s="193" t="e">
        <f>VLOOKUP(U278,Preenchimento!$A:$BV,12,0)</f>
        <v>#N/A</v>
      </c>
      <c r="W279" s="193" t="e">
        <f>VLOOKUP(V278,Preenchimento!$A:$BV,12,0)</f>
        <v>#N/A</v>
      </c>
      <c r="X279" s="194" t="e">
        <f>VLOOKUP(W278,Preenchimento!$A:$BV,12,0)</f>
        <v>#N/A</v>
      </c>
    </row>
    <row r="280" spans="1:24" ht="9.75" customHeight="1" x14ac:dyDescent="0.15">
      <c r="A280" s="123" t="s">
        <v>301</v>
      </c>
      <c r="B280" s="195" t="e">
        <f>IF(VLOOKUP(B278,Preenchimento!$A:$BV,11,0)=0,"",VLOOKUP(B278,Preenchimento!$A:$BV,11,0))</f>
        <v>#N/A</v>
      </c>
      <c r="C280" s="195"/>
      <c r="D280" s="195"/>
      <c r="E280" s="195"/>
      <c r="F280" s="196"/>
      <c r="G280" s="123" t="s">
        <v>301</v>
      </c>
      <c r="H280" s="195" t="e">
        <f>IF(VLOOKUP(H278,Preenchimento!$A:$BV,11,0)=0,"",VLOOKUP(H278,Preenchimento!$A:$BV,11,0))</f>
        <v>#N/A</v>
      </c>
      <c r="I280" s="195"/>
      <c r="J280" s="195"/>
      <c r="K280" s="195"/>
      <c r="L280" s="196"/>
      <c r="M280" s="123" t="s">
        <v>301</v>
      </c>
      <c r="N280" s="195" t="e">
        <f>IF(VLOOKUP(N278,Preenchimento!$A:$BV,11,0)=0,"",VLOOKUP(N278,Preenchimento!$A:$BV,11,0))</f>
        <v>#N/A</v>
      </c>
      <c r="O280" s="195"/>
      <c r="P280" s="195"/>
      <c r="Q280" s="195"/>
      <c r="R280" s="196"/>
      <c r="S280" s="123" t="s">
        <v>301</v>
      </c>
      <c r="T280" s="195" t="e">
        <f>IF(VLOOKUP(T278,Preenchimento!$A:$BV,11,0)=0,"",VLOOKUP(T278,Preenchimento!$A:$BV,11,0))</f>
        <v>#N/A</v>
      </c>
      <c r="U280" s="195"/>
      <c r="V280" s="195"/>
      <c r="W280" s="195"/>
      <c r="X280" s="196"/>
    </row>
    <row r="281" spans="1:24" s="130" customFormat="1" ht="33.950000000000003" customHeight="1" x14ac:dyDescent="0.25">
      <c r="A281" s="199" t="str">
        <f>Sitio!$A$3</f>
        <v>Projeto 01</v>
      </c>
      <c r="B281" s="200"/>
      <c r="C281" s="200"/>
      <c r="D281" s="200"/>
      <c r="E281" s="200"/>
      <c r="F281" s="201"/>
      <c r="G281" s="199" t="str">
        <f>Sitio!$A$3</f>
        <v>Projeto 01</v>
      </c>
      <c r="H281" s="200"/>
      <c r="I281" s="200"/>
      <c r="J281" s="200"/>
      <c r="K281" s="200"/>
      <c r="L281" s="201"/>
      <c r="M281" s="199" t="str">
        <f>Sitio!$A$3</f>
        <v>Projeto 01</v>
      </c>
      <c r="N281" s="200"/>
      <c r="O281" s="200"/>
      <c r="P281" s="200"/>
      <c r="Q281" s="200"/>
      <c r="R281" s="201"/>
      <c r="S281" s="199" t="str">
        <f>Sitio!$A$3</f>
        <v>Projeto 01</v>
      </c>
      <c r="T281" s="200"/>
      <c r="U281" s="200"/>
      <c r="V281" s="200"/>
      <c r="W281" s="200"/>
      <c r="X281" s="201"/>
    </row>
    <row r="282" spans="1:24" ht="9.75" customHeight="1" x14ac:dyDescent="0.15">
      <c r="A282" s="121" t="s">
        <v>294</v>
      </c>
      <c r="B282" s="193">
        <f>Sitio!$E$3</f>
        <v>0</v>
      </c>
      <c r="C282" s="193"/>
      <c r="D282" s="193"/>
      <c r="E282" s="193"/>
      <c r="F282" s="194"/>
      <c r="G282" s="121" t="s">
        <v>294</v>
      </c>
      <c r="H282" s="193">
        <f>Sitio!$E$3</f>
        <v>0</v>
      </c>
      <c r="I282" s="193"/>
      <c r="J282" s="193"/>
      <c r="K282" s="193"/>
      <c r="L282" s="194"/>
      <c r="M282" s="121" t="s">
        <v>294</v>
      </c>
      <c r="N282" s="193">
        <f>Sitio!$E$3</f>
        <v>0</v>
      </c>
      <c r="O282" s="193"/>
      <c r="P282" s="193"/>
      <c r="Q282" s="193"/>
      <c r="R282" s="194"/>
      <c r="S282" s="121" t="s">
        <v>294</v>
      </c>
      <c r="T282" s="193">
        <f>Sitio!$E$3</f>
        <v>0</v>
      </c>
      <c r="U282" s="193"/>
      <c r="V282" s="193"/>
      <c r="W282" s="193"/>
      <c r="X282" s="194"/>
    </row>
    <row r="283" spans="1:24" ht="9.75" customHeight="1" x14ac:dyDescent="0.15">
      <c r="A283" s="121" t="s">
        <v>295</v>
      </c>
      <c r="C283" s="193" t="e">
        <f>VLOOKUP(B285,Preenchimento!$A:$BV,2,0)</f>
        <v>#N/A</v>
      </c>
      <c r="D283" s="193" t="e">
        <f>VLOOKUP(C285,Preenchimento!$A:$BV,2,0)</f>
        <v>#N/A</v>
      </c>
      <c r="E283" s="193" t="e">
        <f>VLOOKUP(D285,Preenchimento!$A:$BV,2,0)</f>
        <v>#N/A</v>
      </c>
      <c r="F283" s="194" t="e">
        <f>VLOOKUP(E285,Preenchimento!$A:$BV,2,0)</f>
        <v>#N/A</v>
      </c>
      <c r="G283" s="121" t="s">
        <v>295</v>
      </c>
      <c r="I283" s="193" t="e">
        <f>VLOOKUP(H285,Preenchimento!$A:$BV,2,0)</f>
        <v>#N/A</v>
      </c>
      <c r="J283" s="193" t="e">
        <f>VLOOKUP(I285,Preenchimento!$A:$BV,2,0)</f>
        <v>#N/A</v>
      </c>
      <c r="K283" s="193" t="e">
        <f>VLOOKUP(J285,Preenchimento!$A:$BV,2,0)</f>
        <v>#N/A</v>
      </c>
      <c r="L283" s="194" t="e">
        <f>VLOOKUP(K285,Preenchimento!$A:$BV,2,0)</f>
        <v>#N/A</v>
      </c>
      <c r="M283" s="121" t="s">
        <v>295</v>
      </c>
      <c r="O283" s="193" t="e">
        <f>VLOOKUP(N285,Preenchimento!$A:$BV,2,0)</f>
        <v>#N/A</v>
      </c>
      <c r="P283" s="193" t="e">
        <f>VLOOKUP(O285,Preenchimento!$A:$BV,2,0)</f>
        <v>#N/A</v>
      </c>
      <c r="Q283" s="193" t="e">
        <f>VLOOKUP(P285,Preenchimento!$A:$BV,2,0)</f>
        <v>#N/A</v>
      </c>
      <c r="R283" s="194" t="e">
        <f>VLOOKUP(Q285,Preenchimento!$A:$BV,2,0)</f>
        <v>#N/A</v>
      </c>
      <c r="S283" s="121" t="s">
        <v>295</v>
      </c>
      <c r="U283" s="193" t="e">
        <f>VLOOKUP(T285,Preenchimento!$A:$BV,2,0)</f>
        <v>#N/A</v>
      </c>
      <c r="V283" s="193" t="e">
        <f>VLOOKUP(U285,Preenchimento!$A:$BV,2,0)</f>
        <v>#N/A</v>
      </c>
      <c r="W283" s="193" t="e">
        <f>VLOOKUP(V285,Preenchimento!$A:$BV,2,0)</f>
        <v>#N/A</v>
      </c>
      <c r="X283" s="194" t="e">
        <f>VLOOKUP(W285,Preenchimento!$A:$BV,2,0)</f>
        <v>#N/A</v>
      </c>
    </row>
    <row r="284" spans="1:24" ht="9.75" customHeight="1" x14ac:dyDescent="0.15">
      <c r="A284" s="121" t="s">
        <v>296</v>
      </c>
      <c r="B284" s="193" t="e">
        <f>VLOOKUP(B285,Preenchimento!$A:$BV,3,0)</f>
        <v>#N/A</v>
      </c>
      <c r="C284" s="193" t="e">
        <f>VLOOKUP(C285,Preenchimento!$A:$BV,3,0)</f>
        <v>#N/A</v>
      </c>
      <c r="D284" s="120" t="s">
        <v>297</v>
      </c>
      <c r="E284" s="197" t="e">
        <f>VLOOKUP(B285,Preenchimento!$A:$BV,5,0)</f>
        <v>#N/A</v>
      </c>
      <c r="F284" s="198" t="e">
        <f>VLOOKUP(C285,Preenchimento!$A:$BV,5,0)</f>
        <v>#N/A</v>
      </c>
      <c r="G284" s="121" t="s">
        <v>296</v>
      </c>
      <c r="H284" s="193" t="e">
        <f>VLOOKUP(H285,Preenchimento!$A:$BV,3,0)</f>
        <v>#N/A</v>
      </c>
      <c r="I284" s="193" t="e">
        <f>VLOOKUP(I285,Preenchimento!$A:$BV,3,0)</f>
        <v>#N/A</v>
      </c>
      <c r="J284" s="120" t="s">
        <v>297</v>
      </c>
      <c r="K284" s="197" t="e">
        <f>VLOOKUP(H285,Preenchimento!$A:$BV,5,0)</f>
        <v>#N/A</v>
      </c>
      <c r="L284" s="198" t="e">
        <f>VLOOKUP(I285,Preenchimento!$A:$BV,5,0)</f>
        <v>#N/A</v>
      </c>
      <c r="M284" s="121" t="s">
        <v>296</v>
      </c>
      <c r="N284" s="193" t="e">
        <f>VLOOKUP(N285,Preenchimento!$A:$BV,3,0)</f>
        <v>#N/A</v>
      </c>
      <c r="O284" s="193" t="e">
        <f>VLOOKUP(O285,Preenchimento!$A:$BV,3,0)</f>
        <v>#N/A</v>
      </c>
      <c r="P284" s="120" t="s">
        <v>297</v>
      </c>
      <c r="Q284" s="197" t="e">
        <f>VLOOKUP(N285,Preenchimento!$A:$BV,5,0)</f>
        <v>#N/A</v>
      </c>
      <c r="R284" s="198" t="e">
        <f>VLOOKUP(O285,Preenchimento!$A:$BV,5,0)</f>
        <v>#N/A</v>
      </c>
      <c r="S284" s="121" t="s">
        <v>296</v>
      </c>
      <c r="T284" s="193" t="e">
        <f>VLOOKUP(T285,Preenchimento!$A:$BV,3,0)</f>
        <v>#N/A</v>
      </c>
      <c r="U284" s="193" t="e">
        <f>VLOOKUP(U285,Preenchimento!$A:$BV,3,0)</f>
        <v>#N/A</v>
      </c>
      <c r="V284" s="120" t="s">
        <v>297</v>
      </c>
      <c r="W284" s="197" t="e">
        <f>VLOOKUP(T285,Preenchimento!$A:$BV,5,0)</f>
        <v>#N/A</v>
      </c>
      <c r="X284" s="198" t="e">
        <f>VLOOKUP(U285,Preenchimento!$A:$BV,5,0)</f>
        <v>#N/A</v>
      </c>
    </row>
    <row r="285" spans="1:24" ht="9.75" customHeight="1" x14ac:dyDescent="0.15">
      <c r="A285" s="121" t="s">
        <v>298</v>
      </c>
      <c r="B285" s="193"/>
      <c r="C285" s="193"/>
      <c r="D285" s="120" t="s">
        <v>299</v>
      </c>
      <c r="F285" s="131" t="e">
        <f>VLOOKUP(B285,Preenchimento!$A:$BV,10,0)</f>
        <v>#N/A</v>
      </c>
      <c r="G285" s="121" t="s">
        <v>298</v>
      </c>
      <c r="H285" s="193"/>
      <c r="I285" s="193"/>
      <c r="J285" s="120" t="s">
        <v>299</v>
      </c>
      <c r="L285" s="131" t="e">
        <f>VLOOKUP(H285,Preenchimento!$A:$BV,10,0)</f>
        <v>#N/A</v>
      </c>
      <c r="M285" s="121" t="s">
        <v>298</v>
      </c>
      <c r="N285" s="193"/>
      <c r="O285" s="193"/>
      <c r="P285" s="120" t="s">
        <v>299</v>
      </c>
      <c r="R285" s="131" t="e">
        <f>VLOOKUP(N285,Preenchimento!$A:$BV,10,0)</f>
        <v>#N/A</v>
      </c>
      <c r="S285" s="121" t="s">
        <v>298</v>
      </c>
      <c r="T285" s="193"/>
      <c r="U285" s="193"/>
      <c r="V285" s="120" t="s">
        <v>299</v>
      </c>
      <c r="X285" s="131" t="e">
        <f>VLOOKUP(T285,Preenchimento!$A:$BV,10,0)</f>
        <v>#N/A</v>
      </c>
    </row>
    <row r="286" spans="1:24" ht="9.75" customHeight="1" x14ac:dyDescent="0.15">
      <c r="A286" s="121" t="s">
        <v>300</v>
      </c>
      <c r="C286" s="193" t="e">
        <f>VLOOKUP(B285,Preenchimento!$A:$BV,12,0)</f>
        <v>#N/A</v>
      </c>
      <c r="D286" s="193" t="e">
        <f>VLOOKUP(C285,Preenchimento!$A:$BV,12,0)</f>
        <v>#N/A</v>
      </c>
      <c r="E286" s="193" t="e">
        <f>VLOOKUP(D285,Preenchimento!$A:$BV,12,0)</f>
        <v>#N/A</v>
      </c>
      <c r="F286" s="194" t="e">
        <f>VLOOKUP(E285,Preenchimento!$A:$BV,12,0)</f>
        <v>#N/A</v>
      </c>
      <c r="G286" s="121" t="s">
        <v>300</v>
      </c>
      <c r="I286" s="193" t="e">
        <f>VLOOKUP(H285,Preenchimento!$A:$BV,12,0)</f>
        <v>#N/A</v>
      </c>
      <c r="J286" s="193" t="e">
        <f>VLOOKUP(I285,Preenchimento!$A:$BV,12,0)</f>
        <v>#N/A</v>
      </c>
      <c r="K286" s="193" t="e">
        <f>VLOOKUP(J285,Preenchimento!$A:$BV,12,0)</f>
        <v>#N/A</v>
      </c>
      <c r="L286" s="194" t="e">
        <f>VLOOKUP(K285,Preenchimento!$A:$BV,12,0)</f>
        <v>#N/A</v>
      </c>
      <c r="M286" s="121" t="s">
        <v>300</v>
      </c>
      <c r="O286" s="193" t="e">
        <f>VLOOKUP(N285,Preenchimento!$A:$BV,12,0)</f>
        <v>#N/A</v>
      </c>
      <c r="P286" s="193" t="e">
        <f>VLOOKUP(O285,Preenchimento!$A:$BV,12,0)</f>
        <v>#N/A</v>
      </c>
      <c r="Q286" s="193" t="e">
        <f>VLOOKUP(P285,Preenchimento!$A:$BV,12,0)</f>
        <v>#N/A</v>
      </c>
      <c r="R286" s="194" t="e">
        <f>VLOOKUP(Q285,Preenchimento!$A:$BV,12,0)</f>
        <v>#N/A</v>
      </c>
      <c r="S286" s="121" t="s">
        <v>300</v>
      </c>
      <c r="U286" s="193" t="e">
        <f>VLOOKUP(T285,Preenchimento!$A:$BV,12,0)</f>
        <v>#N/A</v>
      </c>
      <c r="V286" s="193" t="e">
        <f>VLOOKUP(U285,Preenchimento!$A:$BV,12,0)</f>
        <v>#N/A</v>
      </c>
      <c r="W286" s="193" t="e">
        <f>VLOOKUP(V285,Preenchimento!$A:$BV,12,0)</f>
        <v>#N/A</v>
      </c>
      <c r="X286" s="194" t="e">
        <f>VLOOKUP(W285,Preenchimento!$A:$BV,12,0)</f>
        <v>#N/A</v>
      </c>
    </row>
    <row r="287" spans="1:24" ht="9.75" customHeight="1" x14ac:dyDescent="0.15">
      <c r="A287" s="123" t="s">
        <v>301</v>
      </c>
      <c r="B287" s="195" t="e">
        <f>IF(VLOOKUP(B285,Preenchimento!$A:$BV,11,0)=0,"",VLOOKUP(B285,Preenchimento!$A:$BV,11,0))</f>
        <v>#N/A</v>
      </c>
      <c r="C287" s="195"/>
      <c r="D287" s="195"/>
      <c r="E287" s="195"/>
      <c r="F287" s="196"/>
      <c r="G287" s="123" t="s">
        <v>301</v>
      </c>
      <c r="H287" s="195" t="e">
        <f>IF(VLOOKUP(H285,Preenchimento!$A:$BV,11,0)=0,"",VLOOKUP(H285,Preenchimento!$A:$BV,11,0))</f>
        <v>#N/A</v>
      </c>
      <c r="I287" s="195"/>
      <c r="J287" s="195"/>
      <c r="K287" s="195"/>
      <c r="L287" s="196"/>
      <c r="M287" s="123" t="s">
        <v>301</v>
      </c>
      <c r="N287" s="195" t="e">
        <f>IF(VLOOKUP(N285,Preenchimento!$A:$BV,11,0)=0,"",VLOOKUP(N285,Preenchimento!$A:$BV,11,0))</f>
        <v>#N/A</v>
      </c>
      <c r="O287" s="195"/>
      <c r="P287" s="195"/>
      <c r="Q287" s="195"/>
      <c r="R287" s="196"/>
      <c r="S287" s="123" t="s">
        <v>301</v>
      </c>
      <c r="T287" s="195" t="e">
        <f>IF(VLOOKUP(T285,Preenchimento!$A:$BV,11,0)=0,"",VLOOKUP(T285,Preenchimento!$A:$BV,11,0))</f>
        <v>#N/A</v>
      </c>
      <c r="U287" s="195"/>
      <c r="V287" s="195"/>
      <c r="W287" s="195"/>
      <c r="X287" s="196"/>
    </row>
    <row r="288" spans="1:24" s="130" customFormat="1" ht="33.950000000000003" customHeight="1" x14ac:dyDescent="0.25">
      <c r="A288" s="199" t="str">
        <f>Sitio!$A$3</f>
        <v>Projeto 01</v>
      </c>
      <c r="B288" s="200"/>
      <c r="C288" s="200"/>
      <c r="D288" s="200"/>
      <c r="E288" s="200"/>
      <c r="F288" s="201"/>
      <c r="G288" s="199" t="str">
        <f>Sitio!$A$3</f>
        <v>Projeto 01</v>
      </c>
      <c r="H288" s="200"/>
      <c r="I288" s="200"/>
      <c r="J288" s="200"/>
      <c r="K288" s="200"/>
      <c r="L288" s="201"/>
      <c r="M288" s="199" t="str">
        <f>Sitio!$A$3</f>
        <v>Projeto 01</v>
      </c>
      <c r="N288" s="200"/>
      <c r="O288" s="200"/>
      <c r="P288" s="200"/>
      <c r="Q288" s="200"/>
      <c r="R288" s="201"/>
      <c r="S288" s="199" t="str">
        <f>Sitio!$A$3</f>
        <v>Projeto 01</v>
      </c>
      <c r="T288" s="200"/>
      <c r="U288" s="200"/>
      <c r="V288" s="200"/>
      <c r="W288" s="200"/>
      <c r="X288" s="201"/>
    </row>
    <row r="289" spans="1:24" ht="9.75" customHeight="1" x14ac:dyDescent="0.15">
      <c r="A289" s="121" t="s">
        <v>294</v>
      </c>
      <c r="B289" s="193">
        <f>Sitio!$E$3</f>
        <v>0</v>
      </c>
      <c r="C289" s="193"/>
      <c r="D289" s="193"/>
      <c r="E289" s="193"/>
      <c r="F289" s="194"/>
      <c r="G289" s="121" t="s">
        <v>294</v>
      </c>
      <c r="H289" s="193">
        <f>Sitio!$E$3</f>
        <v>0</v>
      </c>
      <c r="I289" s="193"/>
      <c r="J289" s="193"/>
      <c r="K289" s="193"/>
      <c r="L289" s="194"/>
      <c r="M289" s="121" t="s">
        <v>294</v>
      </c>
      <c r="N289" s="193">
        <f>Sitio!$E$3</f>
        <v>0</v>
      </c>
      <c r="O289" s="193"/>
      <c r="P289" s="193"/>
      <c r="Q289" s="193"/>
      <c r="R289" s="194"/>
      <c r="S289" s="121" t="s">
        <v>294</v>
      </c>
      <c r="T289" s="193">
        <f>Sitio!$E$3</f>
        <v>0</v>
      </c>
      <c r="U289" s="193"/>
      <c r="V289" s="193"/>
      <c r="W289" s="193"/>
      <c r="X289" s="194"/>
    </row>
    <row r="290" spans="1:24" ht="9.75" customHeight="1" x14ac:dyDescent="0.15">
      <c r="A290" s="121" t="s">
        <v>295</v>
      </c>
      <c r="C290" s="193" t="e">
        <f>VLOOKUP(B292,Preenchimento!$A:$BV,2,0)</f>
        <v>#N/A</v>
      </c>
      <c r="D290" s="193" t="e">
        <f>VLOOKUP(C292,Preenchimento!$A:$BV,2,0)</f>
        <v>#N/A</v>
      </c>
      <c r="E290" s="193" t="e">
        <f>VLOOKUP(D292,Preenchimento!$A:$BV,2,0)</f>
        <v>#N/A</v>
      </c>
      <c r="F290" s="194" t="e">
        <f>VLOOKUP(E292,Preenchimento!$A:$BV,2,0)</f>
        <v>#N/A</v>
      </c>
      <c r="G290" s="121" t="s">
        <v>295</v>
      </c>
      <c r="I290" s="193" t="e">
        <f>VLOOKUP(H292,Preenchimento!$A:$BV,2,0)</f>
        <v>#N/A</v>
      </c>
      <c r="J290" s="193" t="e">
        <f>VLOOKUP(I292,Preenchimento!$A:$BV,2,0)</f>
        <v>#N/A</v>
      </c>
      <c r="K290" s="193" t="e">
        <f>VLOOKUP(J292,Preenchimento!$A:$BV,2,0)</f>
        <v>#N/A</v>
      </c>
      <c r="L290" s="194" t="e">
        <f>VLOOKUP(K292,Preenchimento!$A:$BV,2,0)</f>
        <v>#N/A</v>
      </c>
      <c r="M290" s="121" t="s">
        <v>295</v>
      </c>
      <c r="O290" s="193" t="e">
        <f>VLOOKUP(N292,Preenchimento!$A:$BV,2,0)</f>
        <v>#N/A</v>
      </c>
      <c r="P290" s="193" t="e">
        <f>VLOOKUP(O292,Preenchimento!$A:$BV,2,0)</f>
        <v>#N/A</v>
      </c>
      <c r="Q290" s="193" t="e">
        <f>VLOOKUP(P292,Preenchimento!$A:$BV,2,0)</f>
        <v>#N/A</v>
      </c>
      <c r="R290" s="194" t="e">
        <f>VLOOKUP(Q292,Preenchimento!$A:$BV,2,0)</f>
        <v>#N/A</v>
      </c>
      <c r="S290" s="121" t="s">
        <v>295</v>
      </c>
      <c r="U290" s="193" t="e">
        <f>VLOOKUP(T292,Preenchimento!$A:$BV,2,0)</f>
        <v>#N/A</v>
      </c>
      <c r="V290" s="193" t="e">
        <f>VLOOKUP(U292,Preenchimento!$A:$BV,2,0)</f>
        <v>#N/A</v>
      </c>
      <c r="W290" s="193" t="e">
        <f>VLOOKUP(V292,Preenchimento!$A:$BV,2,0)</f>
        <v>#N/A</v>
      </c>
      <c r="X290" s="194" t="e">
        <f>VLOOKUP(W292,Preenchimento!$A:$BV,2,0)</f>
        <v>#N/A</v>
      </c>
    </row>
    <row r="291" spans="1:24" ht="9.75" customHeight="1" x14ac:dyDescent="0.15">
      <c r="A291" s="121" t="s">
        <v>296</v>
      </c>
      <c r="B291" s="193" t="e">
        <f>VLOOKUP(B292,Preenchimento!$A:$BV,3,0)</f>
        <v>#N/A</v>
      </c>
      <c r="C291" s="193" t="e">
        <f>VLOOKUP(C292,Preenchimento!$A:$BV,3,0)</f>
        <v>#N/A</v>
      </c>
      <c r="D291" s="120" t="s">
        <v>297</v>
      </c>
      <c r="E291" s="197" t="e">
        <f>VLOOKUP(B292,Preenchimento!$A:$BV,5,0)</f>
        <v>#N/A</v>
      </c>
      <c r="F291" s="198" t="e">
        <f>VLOOKUP(C292,Preenchimento!$A:$BV,5,0)</f>
        <v>#N/A</v>
      </c>
      <c r="G291" s="121" t="s">
        <v>296</v>
      </c>
      <c r="H291" s="193" t="e">
        <f>VLOOKUP(H292,Preenchimento!$A:$BV,3,0)</f>
        <v>#N/A</v>
      </c>
      <c r="I291" s="193" t="e">
        <f>VLOOKUP(I292,Preenchimento!$A:$BV,3,0)</f>
        <v>#N/A</v>
      </c>
      <c r="J291" s="120" t="s">
        <v>297</v>
      </c>
      <c r="K291" s="197" t="e">
        <f>VLOOKUP(H292,Preenchimento!$A:$BV,5,0)</f>
        <v>#N/A</v>
      </c>
      <c r="L291" s="198" t="e">
        <f>VLOOKUP(I292,Preenchimento!$A:$BV,5,0)</f>
        <v>#N/A</v>
      </c>
      <c r="M291" s="121" t="s">
        <v>296</v>
      </c>
      <c r="N291" s="193" t="e">
        <f>VLOOKUP(N292,Preenchimento!$A:$BV,3,0)</f>
        <v>#N/A</v>
      </c>
      <c r="O291" s="193" t="e">
        <f>VLOOKUP(O292,Preenchimento!$A:$BV,3,0)</f>
        <v>#N/A</v>
      </c>
      <c r="P291" s="120" t="s">
        <v>297</v>
      </c>
      <c r="Q291" s="197" t="e">
        <f>VLOOKUP(N292,Preenchimento!$A:$BV,5,0)</f>
        <v>#N/A</v>
      </c>
      <c r="R291" s="198" t="e">
        <f>VLOOKUP(O292,Preenchimento!$A:$BV,5,0)</f>
        <v>#N/A</v>
      </c>
      <c r="S291" s="121" t="s">
        <v>296</v>
      </c>
      <c r="T291" s="193" t="e">
        <f>VLOOKUP(T292,Preenchimento!$A:$BV,3,0)</f>
        <v>#N/A</v>
      </c>
      <c r="U291" s="193" t="e">
        <f>VLOOKUP(U292,Preenchimento!$A:$BV,3,0)</f>
        <v>#N/A</v>
      </c>
      <c r="V291" s="120" t="s">
        <v>297</v>
      </c>
      <c r="W291" s="197" t="e">
        <f>VLOOKUP(T292,Preenchimento!$A:$BV,5,0)</f>
        <v>#N/A</v>
      </c>
      <c r="X291" s="198" t="e">
        <f>VLOOKUP(U292,Preenchimento!$A:$BV,5,0)</f>
        <v>#N/A</v>
      </c>
    </row>
    <row r="292" spans="1:24" ht="9.75" customHeight="1" x14ac:dyDescent="0.15">
      <c r="A292" s="121" t="s">
        <v>298</v>
      </c>
      <c r="B292" s="193"/>
      <c r="C292" s="193"/>
      <c r="D292" s="120" t="s">
        <v>299</v>
      </c>
      <c r="F292" s="131" t="e">
        <f>VLOOKUP(B292,Preenchimento!$A:$BV,10,0)</f>
        <v>#N/A</v>
      </c>
      <c r="G292" s="121" t="s">
        <v>298</v>
      </c>
      <c r="H292" s="193"/>
      <c r="I292" s="193"/>
      <c r="J292" s="120" t="s">
        <v>299</v>
      </c>
      <c r="L292" s="131" t="e">
        <f>VLOOKUP(H292,Preenchimento!$A:$BV,10,0)</f>
        <v>#N/A</v>
      </c>
      <c r="M292" s="121" t="s">
        <v>298</v>
      </c>
      <c r="N292" s="193"/>
      <c r="O292" s="193"/>
      <c r="P292" s="120" t="s">
        <v>299</v>
      </c>
      <c r="R292" s="131" t="e">
        <f>VLOOKUP(N292,Preenchimento!$A:$BV,10,0)</f>
        <v>#N/A</v>
      </c>
      <c r="S292" s="121" t="s">
        <v>298</v>
      </c>
      <c r="T292" s="193"/>
      <c r="U292" s="193"/>
      <c r="V292" s="120" t="s">
        <v>299</v>
      </c>
      <c r="X292" s="131" t="e">
        <f>VLOOKUP(T292,Preenchimento!$A:$BV,10,0)</f>
        <v>#N/A</v>
      </c>
    </row>
    <row r="293" spans="1:24" ht="9.75" customHeight="1" x14ac:dyDescent="0.15">
      <c r="A293" s="121" t="s">
        <v>300</v>
      </c>
      <c r="C293" s="193" t="e">
        <f>VLOOKUP(B292,Preenchimento!$A:$BV,12,0)</f>
        <v>#N/A</v>
      </c>
      <c r="D293" s="193" t="e">
        <f>VLOOKUP(C292,Preenchimento!$A:$BV,12,0)</f>
        <v>#N/A</v>
      </c>
      <c r="E293" s="193" t="e">
        <f>VLOOKUP(D292,Preenchimento!$A:$BV,12,0)</f>
        <v>#N/A</v>
      </c>
      <c r="F293" s="194" t="e">
        <f>VLOOKUP(E292,Preenchimento!$A:$BV,12,0)</f>
        <v>#N/A</v>
      </c>
      <c r="G293" s="121" t="s">
        <v>300</v>
      </c>
      <c r="I293" s="193" t="e">
        <f>VLOOKUP(H292,Preenchimento!$A:$BV,12,0)</f>
        <v>#N/A</v>
      </c>
      <c r="J293" s="193" t="e">
        <f>VLOOKUP(I292,Preenchimento!$A:$BV,12,0)</f>
        <v>#N/A</v>
      </c>
      <c r="K293" s="193" t="e">
        <f>VLOOKUP(J292,Preenchimento!$A:$BV,12,0)</f>
        <v>#N/A</v>
      </c>
      <c r="L293" s="194" t="e">
        <f>VLOOKUP(K292,Preenchimento!$A:$BV,12,0)</f>
        <v>#N/A</v>
      </c>
      <c r="M293" s="121" t="s">
        <v>300</v>
      </c>
      <c r="O293" s="193" t="e">
        <f>VLOOKUP(N292,Preenchimento!$A:$BV,12,0)</f>
        <v>#N/A</v>
      </c>
      <c r="P293" s="193" t="e">
        <f>VLOOKUP(O292,Preenchimento!$A:$BV,12,0)</f>
        <v>#N/A</v>
      </c>
      <c r="Q293" s="193" t="e">
        <f>VLOOKUP(P292,Preenchimento!$A:$BV,12,0)</f>
        <v>#N/A</v>
      </c>
      <c r="R293" s="194" t="e">
        <f>VLOOKUP(Q292,Preenchimento!$A:$BV,12,0)</f>
        <v>#N/A</v>
      </c>
      <c r="S293" s="121" t="s">
        <v>300</v>
      </c>
      <c r="U293" s="193" t="e">
        <f>VLOOKUP(T292,Preenchimento!$A:$BV,12,0)</f>
        <v>#N/A</v>
      </c>
      <c r="V293" s="193" t="e">
        <f>VLOOKUP(U292,Preenchimento!$A:$BV,12,0)</f>
        <v>#N/A</v>
      </c>
      <c r="W293" s="193" t="e">
        <f>VLOOKUP(V292,Preenchimento!$A:$BV,12,0)</f>
        <v>#N/A</v>
      </c>
      <c r="X293" s="194" t="e">
        <f>VLOOKUP(W292,Preenchimento!$A:$BV,12,0)</f>
        <v>#N/A</v>
      </c>
    </row>
    <row r="294" spans="1:24" ht="9.75" customHeight="1" x14ac:dyDescent="0.15">
      <c r="A294" s="123" t="s">
        <v>301</v>
      </c>
      <c r="B294" s="195" t="e">
        <f>IF(VLOOKUP(B292,Preenchimento!$A:$BV,11,0)=0,"",VLOOKUP(B292,Preenchimento!$A:$BV,11,0))</f>
        <v>#N/A</v>
      </c>
      <c r="C294" s="195"/>
      <c r="D294" s="195"/>
      <c r="E294" s="195"/>
      <c r="F294" s="196"/>
      <c r="G294" s="123" t="s">
        <v>301</v>
      </c>
      <c r="H294" s="195" t="e">
        <f>IF(VLOOKUP(H292,Preenchimento!$A:$BV,11,0)=0,"",VLOOKUP(H292,Preenchimento!$A:$BV,11,0))</f>
        <v>#N/A</v>
      </c>
      <c r="I294" s="195"/>
      <c r="J294" s="195"/>
      <c r="K294" s="195"/>
      <c r="L294" s="196"/>
      <c r="M294" s="123" t="s">
        <v>301</v>
      </c>
      <c r="N294" s="195" t="e">
        <f>IF(VLOOKUP(N292,Preenchimento!$A:$BV,11,0)=0,"",VLOOKUP(N292,Preenchimento!$A:$BV,11,0))</f>
        <v>#N/A</v>
      </c>
      <c r="O294" s="195"/>
      <c r="P294" s="195"/>
      <c r="Q294" s="195"/>
      <c r="R294" s="196"/>
      <c r="S294" s="123" t="s">
        <v>301</v>
      </c>
      <c r="T294" s="195" t="e">
        <f>IF(VLOOKUP(T292,Preenchimento!$A:$BV,11,0)=0,"",VLOOKUP(T292,Preenchimento!$A:$BV,11,0))</f>
        <v>#N/A</v>
      </c>
      <c r="U294" s="195"/>
      <c r="V294" s="195"/>
      <c r="W294" s="195"/>
      <c r="X294" s="196"/>
    </row>
    <row r="295" spans="1:24" s="130" customFormat="1" ht="33.950000000000003" customHeight="1" x14ac:dyDescent="0.25">
      <c r="A295" s="199" t="str">
        <f>Sitio!$A$3</f>
        <v>Projeto 01</v>
      </c>
      <c r="B295" s="200"/>
      <c r="C295" s="200"/>
      <c r="D295" s="200"/>
      <c r="E295" s="200"/>
      <c r="F295" s="201"/>
      <c r="G295" s="199" t="str">
        <f>Sitio!$A$3</f>
        <v>Projeto 01</v>
      </c>
      <c r="H295" s="200"/>
      <c r="I295" s="200"/>
      <c r="J295" s="200"/>
      <c r="K295" s="200"/>
      <c r="L295" s="201"/>
      <c r="M295" s="199" t="str">
        <f>Sitio!$A$3</f>
        <v>Projeto 01</v>
      </c>
      <c r="N295" s="200"/>
      <c r="O295" s="200"/>
      <c r="P295" s="200"/>
      <c r="Q295" s="200"/>
      <c r="R295" s="201"/>
      <c r="S295" s="199" t="str">
        <f>Sitio!$A$3</f>
        <v>Projeto 01</v>
      </c>
      <c r="T295" s="200"/>
      <c r="U295" s="200"/>
      <c r="V295" s="200"/>
      <c r="W295" s="200"/>
      <c r="X295" s="201"/>
    </row>
    <row r="296" spans="1:24" ht="9.75" customHeight="1" x14ac:dyDescent="0.15">
      <c r="A296" s="121" t="s">
        <v>294</v>
      </c>
      <c r="B296" s="193">
        <f>Sitio!$E$3</f>
        <v>0</v>
      </c>
      <c r="C296" s="193"/>
      <c r="D296" s="193"/>
      <c r="E296" s="193"/>
      <c r="F296" s="194"/>
      <c r="G296" s="121" t="s">
        <v>294</v>
      </c>
      <c r="H296" s="193">
        <f>Sitio!$E$3</f>
        <v>0</v>
      </c>
      <c r="I296" s="193"/>
      <c r="J296" s="193"/>
      <c r="K296" s="193"/>
      <c r="L296" s="194"/>
      <c r="M296" s="121" t="s">
        <v>294</v>
      </c>
      <c r="N296" s="193">
        <f>Sitio!$E$3</f>
        <v>0</v>
      </c>
      <c r="O296" s="193"/>
      <c r="P296" s="193"/>
      <c r="Q296" s="193"/>
      <c r="R296" s="194"/>
      <c r="S296" s="121" t="s">
        <v>294</v>
      </c>
      <c r="T296" s="193">
        <f>Sitio!$E$3</f>
        <v>0</v>
      </c>
      <c r="U296" s="193"/>
      <c r="V296" s="193"/>
      <c r="W296" s="193"/>
      <c r="X296" s="194"/>
    </row>
    <row r="297" spans="1:24" ht="9.75" customHeight="1" x14ac:dyDescent="0.15">
      <c r="A297" s="121" t="s">
        <v>295</v>
      </c>
      <c r="C297" s="193" t="e">
        <f>VLOOKUP(B299,Preenchimento!$A:$BV,2,0)</f>
        <v>#N/A</v>
      </c>
      <c r="D297" s="193" t="e">
        <f>VLOOKUP(C299,Preenchimento!$A:$BV,2,0)</f>
        <v>#N/A</v>
      </c>
      <c r="E297" s="193" t="e">
        <f>VLOOKUP(D299,Preenchimento!$A:$BV,2,0)</f>
        <v>#N/A</v>
      </c>
      <c r="F297" s="194" t="e">
        <f>VLOOKUP(E299,Preenchimento!$A:$BV,2,0)</f>
        <v>#N/A</v>
      </c>
      <c r="G297" s="121" t="s">
        <v>295</v>
      </c>
      <c r="I297" s="193" t="e">
        <f>VLOOKUP(H299,Preenchimento!$A:$BV,2,0)</f>
        <v>#N/A</v>
      </c>
      <c r="J297" s="193" t="e">
        <f>VLOOKUP(I299,Preenchimento!$A:$BV,2,0)</f>
        <v>#N/A</v>
      </c>
      <c r="K297" s="193" t="e">
        <f>VLOOKUP(J299,Preenchimento!$A:$BV,2,0)</f>
        <v>#N/A</v>
      </c>
      <c r="L297" s="194" t="e">
        <f>VLOOKUP(K299,Preenchimento!$A:$BV,2,0)</f>
        <v>#N/A</v>
      </c>
      <c r="M297" s="121" t="s">
        <v>295</v>
      </c>
      <c r="O297" s="193" t="e">
        <f>VLOOKUP(N299,Preenchimento!$A:$BV,2,0)</f>
        <v>#N/A</v>
      </c>
      <c r="P297" s="193" t="e">
        <f>VLOOKUP(O299,Preenchimento!$A:$BV,2,0)</f>
        <v>#N/A</v>
      </c>
      <c r="Q297" s="193" t="e">
        <f>VLOOKUP(P299,Preenchimento!$A:$BV,2,0)</f>
        <v>#N/A</v>
      </c>
      <c r="R297" s="194" t="e">
        <f>VLOOKUP(Q299,Preenchimento!$A:$BV,2,0)</f>
        <v>#N/A</v>
      </c>
      <c r="S297" s="121" t="s">
        <v>295</v>
      </c>
      <c r="U297" s="193" t="e">
        <f>VLOOKUP(T299,Preenchimento!$A:$BV,2,0)</f>
        <v>#N/A</v>
      </c>
      <c r="V297" s="193" t="e">
        <f>VLOOKUP(U299,Preenchimento!$A:$BV,2,0)</f>
        <v>#N/A</v>
      </c>
      <c r="W297" s="193" t="e">
        <f>VLOOKUP(V299,Preenchimento!$A:$BV,2,0)</f>
        <v>#N/A</v>
      </c>
      <c r="X297" s="194" t="e">
        <f>VLOOKUP(W299,Preenchimento!$A:$BV,2,0)</f>
        <v>#N/A</v>
      </c>
    </row>
    <row r="298" spans="1:24" ht="9.75" customHeight="1" x14ac:dyDescent="0.15">
      <c r="A298" s="121" t="s">
        <v>296</v>
      </c>
      <c r="B298" s="193" t="e">
        <f>VLOOKUP(B299,Preenchimento!$A:$BV,3,0)</f>
        <v>#N/A</v>
      </c>
      <c r="C298" s="193" t="e">
        <f>VLOOKUP(C299,Preenchimento!$A:$BV,3,0)</f>
        <v>#N/A</v>
      </c>
      <c r="D298" s="120" t="s">
        <v>297</v>
      </c>
      <c r="E298" s="197" t="e">
        <f>VLOOKUP(B299,Preenchimento!$A:$BV,5,0)</f>
        <v>#N/A</v>
      </c>
      <c r="F298" s="198" t="e">
        <f>VLOOKUP(C299,Preenchimento!$A:$BV,5,0)</f>
        <v>#N/A</v>
      </c>
      <c r="G298" s="121" t="s">
        <v>296</v>
      </c>
      <c r="H298" s="193" t="e">
        <f>VLOOKUP(H299,Preenchimento!$A:$BV,3,0)</f>
        <v>#N/A</v>
      </c>
      <c r="I298" s="193" t="e">
        <f>VLOOKUP(I299,Preenchimento!$A:$BV,3,0)</f>
        <v>#N/A</v>
      </c>
      <c r="J298" s="120" t="s">
        <v>297</v>
      </c>
      <c r="K298" s="197" t="e">
        <f>VLOOKUP(H299,Preenchimento!$A:$BV,5,0)</f>
        <v>#N/A</v>
      </c>
      <c r="L298" s="198" t="e">
        <f>VLOOKUP(I299,Preenchimento!$A:$BV,5,0)</f>
        <v>#N/A</v>
      </c>
      <c r="M298" s="121" t="s">
        <v>296</v>
      </c>
      <c r="N298" s="193" t="e">
        <f>VLOOKUP(N299,Preenchimento!$A:$BV,3,0)</f>
        <v>#N/A</v>
      </c>
      <c r="O298" s="193" t="e">
        <f>VLOOKUP(O299,Preenchimento!$A:$BV,3,0)</f>
        <v>#N/A</v>
      </c>
      <c r="P298" s="120" t="s">
        <v>297</v>
      </c>
      <c r="Q298" s="197" t="e">
        <f>VLOOKUP(N299,Preenchimento!$A:$BV,5,0)</f>
        <v>#N/A</v>
      </c>
      <c r="R298" s="198" t="e">
        <f>VLOOKUP(O299,Preenchimento!$A:$BV,5,0)</f>
        <v>#N/A</v>
      </c>
      <c r="S298" s="121" t="s">
        <v>296</v>
      </c>
      <c r="T298" s="193" t="e">
        <f>VLOOKUP(T299,Preenchimento!$A:$BV,3,0)</f>
        <v>#N/A</v>
      </c>
      <c r="U298" s="193" t="e">
        <f>VLOOKUP(U299,Preenchimento!$A:$BV,3,0)</f>
        <v>#N/A</v>
      </c>
      <c r="V298" s="120" t="s">
        <v>297</v>
      </c>
      <c r="W298" s="197" t="e">
        <f>VLOOKUP(T299,Preenchimento!$A:$BV,5,0)</f>
        <v>#N/A</v>
      </c>
      <c r="X298" s="198" t="e">
        <f>VLOOKUP(U299,Preenchimento!$A:$BV,5,0)</f>
        <v>#N/A</v>
      </c>
    </row>
    <row r="299" spans="1:24" ht="9.75" customHeight="1" x14ac:dyDescent="0.15">
      <c r="A299" s="121" t="s">
        <v>298</v>
      </c>
      <c r="B299" s="193"/>
      <c r="C299" s="193"/>
      <c r="D299" s="120" t="s">
        <v>299</v>
      </c>
      <c r="F299" s="131" t="e">
        <f>VLOOKUP(B299,Preenchimento!$A:$BV,10,0)</f>
        <v>#N/A</v>
      </c>
      <c r="G299" s="121" t="s">
        <v>298</v>
      </c>
      <c r="H299" s="193"/>
      <c r="I299" s="193"/>
      <c r="J299" s="120" t="s">
        <v>299</v>
      </c>
      <c r="L299" s="131" t="e">
        <f>VLOOKUP(H299,Preenchimento!$A:$BV,10,0)</f>
        <v>#N/A</v>
      </c>
      <c r="M299" s="121" t="s">
        <v>298</v>
      </c>
      <c r="N299" s="193"/>
      <c r="O299" s="193"/>
      <c r="P299" s="120" t="s">
        <v>299</v>
      </c>
      <c r="R299" s="131" t="e">
        <f>VLOOKUP(N299,Preenchimento!$A:$BV,10,0)</f>
        <v>#N/A</v>
      </c>
      <c r="S299" s="121" t="s">
        <v>298</v>
      </c>
      <c r="T299" s="193"/>
      <c r="U299" s="193"/>
      <c r="V299" s="120" t="s">
        <v>299</v>
      </c>
      <c r="X299" s="131" t="e">
        <f>VLOOKUP(T299,Preenchimento!$A:$BV,10,0)</f>
        <v>#N/A</v>
      </c>
    </row>
    <row r="300" spans="1:24" ht="9.75" customHeight="1" x14ac:dyDescent="0.15">
      <c r="A300" s="121" t="s">
        <v>300</v>
      </c>
      <c r="C300" s="193" t="e">
        <f>VLOOKUP(B299,Preenchimento!$A:$BV,12,0)</f>
        <v>#N/A</v>
      </c>
      <c r="D300" s="193" t="e">
        <f>VLOOKUP(C299,Preenchimento!$A:$BV,12,0)</f>
        <v>#N/A</v>
      </c>
      <c r="E300" s="193" t="e">
        <f>VLOOKUP(D299,Preenchimento!$A:$BV,12,0)</f>
        <v>#N/A</v>
      </c>
      <c r="F300" s="194" t="e">
        <f>VLOOKUP(E299,Preenchimento!$A:$BV,12,0)</f>
        <v>#N/A</v>
      </c>
      <c r="G300" s="121" t="s">
        <v>300</v>
      </c>
      <c r="I300" s="193" t="e">
        <f>VLOOKUP(H299,Preenchimento!$A:$BV,12,0)</f>
        <v>#N/A</v>
      </c>
      <c r="J300" s="193" t="e">
        <f>VLOOKUP(I299,Preenchimento!$A:$BV,12,0)</f>
        <v>#N/A</v>
      </c>
      <c r="K300" s="193" t="e">
        <f>VLOOKUP(J299,Preenchimento!$A:$BV,12,0)</f>
        <v>#N/A</v>
      </c>
      <c r="L300" s="194" t="e">
        <f>VLOOKUP(K299,Preenchimento!$A:$BV,12,0)</f>
        <v>#N/A</v>
      </c>
      <c r="M300" s="121" t="s">
        <v>300</v>
      </c>
      <c r="O300" s="193" t="e">
        <f>VLOOKUP(N299,Preenchimento!$A:$BV,12,0)</f>
        <v>#N/A</v>
      </c>
      <c r="P300" s="193" t="e">
        <f>VLOOKUP(O299,Preenchimento!$A:$BV,12,0)</f>
        <v>#N/A</v>
      </c>
      <c r="Q300" s="193" t="e">
        <f>VLOOKUP(P299,Preenchimento!$A:$BV,12,0)</f>
        <v>#N/A</v>
      </c>
      <c r="R300" s="194" t="e">
        <f>VLOOKUP(Q299,Preenchimento!$A:$BV,12,0)</f>
        <v>#N/A</v>
      </c>
      <c r="S300" s="121" t="s">
        <v>300</v>
      </c>
      <c r="U300" s="193" t="e">
        <f>VLOOKUP(T299,Preenchimento!$A:$BV,12,0)</f>
        <v>#N/A</v>
      </c>
      <c r="V300" s="193" t="e">
        <f>VLOOKUP(U299,Preenchimento!$A:$BV,12,0)</f>
        <v>#N/A</v>
      </c>
      <c r="W300" s="193" t="e">
        <f>VLOOKUP(V299,Preenchimento!$A:$BV,12,0)</f>
        <v>#N/A</v>
      </c>
      <c r="X300" s="194" t="e">
        <f>VLOOKUP(W299,Preenchimento!$A:$BV,12,0)</f>
        <v>#N/A</v>
      </c>
    </row>
    <row r="301" spans="1:24" ht="9.75" customHeight="1" x14ac:dyDescent="0.15">
      <c r="A301" s="123" t="s">
        <v>301</v>
      </c>
      <c r="B301" s="195" t="e">
        <f>IF(VLOOKUP(B299,Preenchimento!$A:$BV,11,0)=0,"",VLOOKUP(B299,Preenchimento!$A:$BV,11,0))</f>
        <v>#N/A</v>
      </c>
      <c r="C301" s="195"/>
      <c r="D301" s="195"/>
      <c r="E301" s="195"/>
      <c r="F301" s="196"/>
      <c r="G301" s="123" t="s">
        <v>301</v>
      </c>
      <c r="H301" s="195" t="e">
        <f>IF(VLOOKUP(H299,Preenchimento!$A:$BV,11,0)=0,"",VLOOKUP(H299,Preenchimento!$A:$BV,11,0))</f>
        <v>#N/A</v>
      </c>
      <c r="I301" s="195"/>
      <c r="J301" s="195"/>
      <c r="K301" s="195"/>
      <c r="L301" s="196"/>
      <c r="M301" s="123" t="s">
        <v>301</v>
      </c>
      <c r="N301" s="195" t="e">
        <f>IF(VLOOKUP(N299,Preenchimento!$A:$BV,11,0)=0,"",VLOOKUP(N299,Preenchimento!$A:$BV,11,0))</f>
        <v>#N/A</v>
      </c>
      <c r="O301" s="195"/>
      <c r="P301" s="195"/>
      <c r="Q301" s="195"/>
      <c r="R301" s="196"/>
      <c r="S301" s="123" t="s">
        <v>301</v>
      </c>
      <c r="T301" s="195" t="e">
        <f>IF(VLOOKUP(T299,Preenchimento!$A:$BV,11,0)=0,"",VLOOKUP(T299,Preenchimento!$A:$BV,11,0))</f>
        <v>#N/A</v>
      </c>
      <c r="U301" s="195"/>
      <c r="V301" s="195"/>
      <c r="W301" s="195"/>
      <c r="X301" s="196"/>
    </row>
    <row r="302" spans="1:24" s="130" customFormat="1" ht="33.950000000000003" customHeight="1" x14ac:dyDescent="0.25">
      <c r="A302" s="199" t="str">
        <f>Sitio!$A$3</f>
        <v>Projeto 01</v>
      </c>
      <c r="B302" s="200"/>
      <c r="C302" s="200"/>
      <c r="D302" s="200"/>
      <c r="E302" s="200"/>
      <c r="F302" s="201"/>
      <c r="G302" s="199" t="str">
        <f>Sitio!$A$3</f>
        <v>Projeto 01</v>
      </c>
      <c r="H302" s="200"/>
      <c r="I302" s="200"/>
      <c r="J302" s="200"/>
      <c r="K302" s="200"/>
      <c r="L302" s="201"/>
      <c r="M302" s="199" t="str">
        <f>Sitio!$A$3</f>
        <v>Projeto 01</v>
      </c>
      <c r="N302" s="200"/>
      <c r="O302" s="200"/>
      <c r="P302" s="200"/>
      <c r="Q302" s="200"/>
      <c r="R302" s="201"/>
      <c r="S302" s="199" t="str">
        <f>Sitio!$A$3</f>
        <v>Projeto 01</v>
      </c>
      <c r="T302" s="200"/>
      <c r="U302" s="200"/>
      <c r="V302" s="200"/>
      <c r="W302" s="200"/>
      <c r="X302" s="201"/>
    </row>
    <row r="303" spans="1:24" ht="9.75" customHeight="1" x14ac:dyDescent="0.15">
      <c r="A303" s="121" t="s">
        <v>294</v>
      </c>
      <c r="B303" s="193">
        <f>Sitio!$E$3</f>
        <v>0</v>
      </c>
      <c r="C303" s="193"/>
      <c r="D303" s="193"/>
      <c r="E303" s="193"/>
      <c r="F303" s="194"/>
      <c r="G303" s="121" t="s">
        <v>294</v>
      </c>
      <c r="H303" s="193">
        <f>Sitio!$E$3</f>
        <v>0</v>
      </c>
      <c r="I303" s="193"/>
      <c r="J303" s="193"/>
      <c r="K303" s="193"/>
      <c r="L303" s="194"/>
      <c r="M303" s="121" t="s">
        <v>294</v>
      </c>
      <c r="N303" s="193">
        <f>Sitio!$E$3</f>
        <v>0</v>
      </c>
      <c r="O303" s="193"/>
      <c r="P303" s="193"/>
      <c r="Q303" s="193"/>
      <c r="R303" s="194"/>
      <c r="S303" s="121" t="s">
        <v>294</v>
      </c>
      <c r="T303" s="193">
        <f>Sitio!$E$3</f>
        <v>0</v>
      </c>
      <c r="U303" s="193"/>
      <c r="V303" s="193"/>
      <c r="W303" s="193"/>
      <c r="X303" s="194"/>
    </row>
    <row r="304" spans="1:24" ht="9.75" customHeight="1" x14ac:dyDescent="0.15">
      <c r="A304" s="121" t="s">
        <v>295</v>
      </c>
      <c r="C304" s="193" t="e">
        <f>VLOOKUP(B306,Preenchimento!$A:$BV,2,0)</f>
        <v>#N/A</v>
      </c>
      <c r="D304" s="193" t="e">
        <f>VLOOKUP(C306,Preenchimento!$A:$BV,2,0)</f>
        <v>#N/A</v>
      </c>
      <c r="E304" s="193" t="e">
        <f>VLOOKUP(D306,Preenchimento!$A:$BV,2,0)</f>
        <v>#N/A</v>
      </c>
      <c r="F304" s="194" t="e">
        <f>VLOOKUP(E306,Preenchimento!$A:$BV,2,0)</f>
        <v>#N/A</v>
      </c>
      <c r="G304" s="121" t="s">
        <v>295</v>
      </c>
      <c r="I304" s="193" t="e">
        <f>VLOOKUP(H306,Preenchimento!$A:$BV,2,0)</f>
        <v>#N/A</v>
      </c>
      <c r="J304" s="193" t="e">
        <f>VLOOKUP(I306,Preenchimento!$A:$BV,2,0)</f>
        <v>#N/A</v>
      </c>
      <c r="K304" s="193" t="e">
        <f>VLOOKUP(J306,Preenchimento!$A:$BV,2,0)</f>
        <v>#N/A</v>
      </c>
      <c r="L304" s="194" t="e">
        <f>VLOOKUP(K306,Preenchimento!$A:$BV,2,0)</f>
        <v>#N/A</v>
      </c>
      <c r="M304" s="121" t="s">
        <v>295</v>
      </c>
      <c r="O304" s="193" t="e">
        <f>VLOOKUP(N306,Preenchimento!$A:$BV,2,0)</f>
        <v>#N/A</v>
      </c>
      <c r="P304" s="193" t="e">
        <f>VLOOKUP(O306,Preenchimento!$A:$BV,2,0)</f>
        <v>#N/A</v>
      </c>
      <c r="Q304" s="193" t="e">
        <f>VLOOKUP(P306,Preenchimento!$A:$BV,2,0)</f>
        <v>#N/A</v>
      </c>
      <c r="R304" s="194" t="e">
        <f>VLOOKUP(Q306,Preenchimento!$A:$BV,2,0)</f>
        <v>#N/A</v>
      </c>
      <c r="S304" s="121" t="s">
        <v>295</v>
      </c>
      <c r="U304" s="193" t="e">
        <f>VLOOKUP(T306,Preenchimento!$A:$BV,2,0)</f>
        <v>#N/A</v>
      </c>
      <c r="V304" s="193" t="e">
        <f>VLOOKUP(U306,Preenchimento!$A:$BV,2,0)</f>
        <v>#N/A</v>
      </c>
      <c r="W304" s="193" t="e">
        <f>VLOOKUP(V306,Preenchimento!$A:$BV,2,0)</f>
        <v>#N/A</v>
      </c>
      <c r="X304" s="194" t="e">
        <f>VLOOKUP(W306,Preenchimento!$A:$BV,2,0)</f>
        <v>#N/A</v>
      </c>
    </row>
    <row r="305" spans="1:24" ht="9.75" customHeight="1" x14ac:dyDescent="0.15">
      <c r="A305" s="121" t="s">
        <v>296</v>
      </c>
      <c r="B305" s="193" t="e">
        <f>VLOOKUP(B306,Preenchimento!$A:$BV,3,0)</f>
        <v>#N/A</v>
      </c>
      <c r="C305" s="193" t="e">
        <f>VLOOKUP(C306,Preenchimento!$A:$BV,3,0)</f>
        <v>#N/A</v>
      </c>
      <c r="D305" s="120" t="s">
        <v>297</v>
      </c>
      <c r="E305" s="197" t="e">
        <f>VLOOKUP(B306,Preenchimento!$A:$BV,5,0)</f>
        <v>#N/A</v>
      </c>
      <c r="F305" s="198" t="e">
        <f>VLOOKUP(C306,Preenchimento!$A:$BV,5,0)</f>
        <v>#N/A</v>
      </c>
      <c r="G305" s="121" t="s">
        <v>296</v>
      </c>
      <c r="H305" s="193" t="e">
        <f>VLOOKUP(H306,Preenchimento!$A:$BV,3,0)</f>
        <v>#N/A</v>
      </c>
      <c r="I305" s="193" t="e">
        <f>VLOOKUP(I306,Preenchimento!$A:$BV,3,0)</f>
        <v>#N/A</v>
      </c>
      <c r="J305" s="120" t="s">
        <v>297</v>
      </c>
      <c r="K305" s="197" t="e">
        <f>VLOOKUP(H306,Preenchimento!$A:$BV,5,0)</f>
        <v>#N/A</v>
      </c>
      <c r="L305" s="198" t="e">
        <f>VLOOKUP(I306,Preenchimento!$A:$BV,5,0)</f>
        <v>#N/A</v>
      </c>
      <c r="M305" s="121" t="s">
        <v>296</v>
      </c>
      <c r="N305" s="193" t="e">
        <f>VLOOKUP(N306,Preenchimento!$A:$BV,3,0)</f>
        <v>#N/A</v>
      </c>
      <c r="O305" s="193" t="e">
        <f>VLOOKUP(O306,Preenchimento!$A:$BV,3,0)</f>
        <v>#N/A</v>
      </c>
      <c r="P305" s="120" t="s">
        <v>297</v>
      </c>
      <c r="Q305" s="197" t="e">
        <f>VLOOKUP(N306,Preenchimento!$A:$BV,5,0)</f>
        <v>#N/A</v>
      </c>
      <c r="R305" s="198" t="e">
        <f>VLOOKUP(O306,Preenchimento!$A:$BV,5,0)</f>
        <v>#N/A</v>
      </c>
      <c r="S305" s="121" t="s">
        <v>296</v>
      </c>
      <c r="T305" s="193" t="e">
        <f>VLOOKUP(T306,Preenchimento!$A:$BV,3,0)</f>
        <v>#N/A</v>
      </c>
      <c r="U305" s="193" t="e">
        <f>VLOOKUP(U306,Preenchimento!$A:$BV,3,0)</f>
        <v>#N/A</v>
      </c>
      <c r="V305" s="120" t="s">
        <v>297</v>
      </c>
      <c r="W305" s="197" t="e">
        <f>VLOOKUP(T306,Preenchimento!$A:$BV,5,0)</f>
        <v>#N/A</v>
      </c>
      <c r="X305" s="198" t="e">
        <f>VLOOKUP(U306,Preenchimento!$A:$BV,5,0)</f>
        <v>#N/A</v>
      </c>
    </row>
    <row r="306" spans="1:24" ht="9.75" customHeight="1" x14ac:dyDescent="0.15">
      <c r="A306" s="121" t="s">
        <v>298</v>
      </c>
      <c r="B306" s="193"/>
      <c r="C306" s="193"/>
      <c r="D306" s="120" t="s">
        <v>299</v>
      </c>
      <c r="F306" s="131" t="e">
        <f>VLOOKUP(B306,Preenchimento!$A:$BV,10,0)</f>
        <v>#N/A</v>
      </c>
      <c r="G306" s="121" t="s">
        <v>298</v>
      </c>
      <c r="H306" s="193"/>
      <c r="I306" s="193"/>
      <c r="J306" s="120" t="s">
        <v>299</v>
      </c>
      <c r="L306" s="131" t="e">
        <f>VLOOKUP(H306,Preenchimento!$A:$BV,10,0)</f>
        <v>#N/A</v>
      </c>
      <c r="M306" s="121" t="s">
        <v>298</v>
      </c>
      <c r="N306" s="193"/>
      <c r="O306" s="193"/>
      <c r="P306" s="120" t="s">
        <v>299</v>
      </c>
      <c r="R306" s="131" t="e">
        <f>VLOOKUP(N306,Preenchimento!$A:$BV,10,0)</f>
        <v>#N/A</v>
      </c>
      <c r="S306" s="121" t="s">
        <v>298</v>
      </c>
      <c r="T306" s="193"/>
      <c r="U306" s="193"/>
      <c r="V306" s="120" t="s">
        <v>299</v>
      </c>
      <c r="X306" s="131" t="e">
        <f>VLOOKUP(T306,Preenchimento!$A:$BV,10,0)</f>
        <v>#N/A</v>
      </c>
    </row>
    <row r="307" spans="1:24" ht="9.75" customHeight="1" x14ac:dyDescent="0.15">
      <c r="A307" s="121" t="s">
        <v>300</v>
      </c>
      <c r="C307" s="193" t="e">
        <f>VLOOKUP(B306,Preenchimento!$A:$BV,12,0)</f>
        <v>#N/A</v>
      </c>
      <c r="D307" s="193" t="e">
        <f>VLOOKUP(C306,Preenchimento!$A:$BV,12,0)</f>
        <v>#N/A</v>
      </c>
      <c r="E307" s="193" t="e">
        <f>VLOOKUP(D306,Preenchimento!$A:$BV,12,0)</f>
        <v>#N/A</v>
      </c>
      <c r="F307" s="194" t="e">
        <f>VLOOKUP(E306,Preenchimento!$A:$BV,12,0)</f>
        <v>#N/A</v>
      </c>
      <c r="G307" s="121" t="s">
        <v>300</v>
      </c>
      <c r="I307" s="193" t="e">
        <f>VLOOKUP(H306,Preenchimento!$A:$BV,12,0)</f>
        <v>#N/A</v>
      </c>
      <c r="J307" s="193" t="e">
        <f>VLOOKUP(I306,Preenchimento!$A:$BV,12,0)</f>
        <v>#N/A</v>
      </c>
      <c r="K307" s="193" t="e">
        <f>VLOOKUP(J306,Preenchimento!$A:$BV,12,0)</f>
        <v>#N/A</v>
      </c>
      <c r="L307" s="194" t="e">
        <f>VLOOKUP(K306,Preenchimento!$A:$BV,12,0)</f>
        <v>#N/A</v>
      </c>
      <c r="M307" s="121" t="s">
        <v>300</v>
      </c>
      <c r="O307" s="193" t="e">
        <f>VLOOKUP(N306,Preenchimento!$A:$BV,12,0)</f>
        <v>#N/A</v>
      </c>
      <c r="P307" s="193" t="e">
        <f>VLOOKUP(O306,Preenchimento!$A:$BV,12,0)</f>
        <v>#N/A</v>
      </c>
      <c r="Q307" s="193" t="e">
        <f>VLOOKUP(P306,Preenchimento!$A:$BV,12,0)</f>
        <v>#N/A</v>
      </c>
      <c r="R307" s="194" t="e">
        <f>VLOOKUP(Q306,Preenchimento!$A:$BV,12,0)</f>
        <v>#N/A</v>
      </c>
      <c r="S307" s="121" t="s">
        <v>300</v>
      </c>
      <c r="U307" s="193" t="e">
        <f>VLOOKUP(T306,Preenchimento!$A:$BV,12,0)</f>
        <v>#N/A</v>
      </c>
      <c r="V307" s="193" t="e">
        <f>VLOOKUP(U306,Preenchimento!$A:$BV,12,0)</f>
        <v>#N/A</v>
      </c>
      <c r="W307" s="193" t="e">
        <f>VLOOKUP(V306,Preenchimento!$A:$BV,12,0)</f>
        <v>#N/A</v>
      </c>
      <c r="X307" s="194" t="e">
        <f>VLOOKUP(W306,Preenchimento!$A:$BV,12,0)</f>
        <v>#N/A</v>
      </c>
    </row>
    <row r="308" spans="1:24" ht="9.75" customHeight="1" x14ac:dyDescent="0.15">
      <c r="A308" s="123" t="s">
        <v>301</v>
      </c>
      <c r="B308" s="195" t="e">
        <f>IF(VLOOKUP(B306,Preenchimento!$A:$BV,11,0)=0,"",VLOOKUP(B306,Preenchimento!$A:$BV,11,0))</f>
        <v>#N/A</v>
      </c>
      <c r="C308" s="195"/>
      <c r="D308" s="195"/>
      <c r="E308" s="195"/>
      <c r="F308" s="196"/>
      <c r="G308" s="123" t="s">
        <v>301</v>
      </c>
      <c r="H308" s="195" t="e">
        <f>IF(VLOOKUP(H306,Preenchimento!$A:$BV,11,0)=0,"",VLOOKUP(H306,Preenchimento!$A:$BV,11,0))</f>
        <v>#N/A</v>
      </c>
      <c r="I308" s="195"/>
      <c r="J308" s="195"/>
      <c r="K308" s="195"/>
      <c r="L308" s="196"/>
      <c r="M308" s="123" t="s">
        <v>301</v>
      </c>
      <c r="N308" s="195" t="e">
        <f>IF(VLOOKUP(N306,Preenchimento!$A:$BV,11,0)=0,"",VLOOKUP(N306,Preenchimento!$A:$BV,11,0))</f>
        <v>#N/A</v>
      </c>
      <c r="O308" s="195"/>
      <c r="P308" s="195"/>
      <c r="Q308" s="195"/>
      <c r="R308" s="196"/>
      <c r="S308" s="123" t="s">
        <v>301</v>
      </c>
      <c r="T308" s="195" t="e">
        <f>IF(VLOOKUP(T306,Preenchimento!$A:$BV,11,0)=0,"",VLOOKUP(T306,Preenchimento!$A:$BV,11,0))</f>
        <v>#N/A</v>
      </c>
      <c r="U308" s="195"/>
      <c r="V308" s="195"/>
      <c r="W308" s="195"/>
      <c r="X308" s="196"/>
    </row>
    <row r="309" spans="1:24" s="130" customFormat="1" ht="33.950000000000003" customHeight="1" x14ac:dyDescent="0.25">
      <c r="A309" s="199" t="str">
        <f>Sitio!$A$3</f>
        <v>Projeto 01</v>
      </c>
      <c r="B309" s="200"/>
      <c r="C309" s="200"/>
      <c r="D309" s="200"/>
      <c r="E309" s="200"/>
      <c r="F309" s="201"/>
      <c r="G309" s="199" t="str">
        <f>Sitio!$A$3</f>
        <v>Projeto 01</v>
      </c>
      <c r="H309" s="200"/>
      <c r="I309" s="200"/>
      <c r="J309" s="200"/>
      <c r="K309" s="200"/>
      <c r="L309" s="201"/>
      <c r="M309" s="199" t="str">
        <f>Sitio!$A$3</f>
        <v>Projeto 01</v>
      </c>
      <c r="N309" s="200"/>
      <c r="O309" s="200"/>
      <c r="P309" s="200"/>
      <c r="Q309" s="200"/>
      <c r="R309" s="201"/>
      <c r="S309" s="199" t="str">
        <f>Sitio!$A$3</f>
        <v>Projeto 01</v>
      </c>
      <c r="T309" s="200"/>
      <c r="U309" s="200"/>
      <c r="V309" s="200"/>
      <c r="W309" s="200"/>
      <c r="X309" s="201"/>
    </row>
    <row r="310" spans="1:24" ht="9.75" customHeight="1" x14ac:dyDescent="0.15">
      <c r="A310" s="121" t="s">
        <v>294</v>
      </c>
      <c r="B310" s="193">
        <f>Sitio!$E$3</f>
        <v>0</v>
      </c>
      <c r="C310" s="193"/>
      <c r="D310" s="193"/>
      <c r="E310" s="193"/>
      <c r="F310" s="194"/>
      <c r="G310" s="121" t="s">
        <v>294</v>
      </c>
      <c r="H310" s="193">
        <f>Sitio!$E$3</f>
        <v>0</v>
      </c>
      <c r="I310" s="193"/>
      <c r="J310" s="193"/>
      <c r="K310" s="193"/>
      <c r="L310" s="194"/>
      <c r="M310" s="121" t="s">
        <v>294</v>
      </c>
      <c r="N310" s="193">
        <f>Sitio!$E$3</f>
        <v>0</v>
      </c>
      <c r="O310" s="193"/>
      <c r="P310" s="193"/>
      <c r="Q310" s="193"/>
      <c r="R310" s="194"/>
      <c r="S310" s="121" t="s">
        <v>294</v>
      </c>
      <c r="T310" s="193">
        <f>Sitio!$E$3</f>
        <v>0</v>
      </c>
      <c r="U310" s="193"/>
      <c r="V310" s="193"/>
      <c r="W310" s="193"/>
      <c r="X310" s="194"/>
    </row>
    <row r="311" spans="1:24" ht="9.75" customHeight="1" x14ac:dyDescent="0.15">
      <c r="A311" s="121" t="s">
        <v>295</v>
      </c>
      <c r="C311" s="193" t="e">
        <f>VLOOKUP(B313,Preenchimento!$A:$BV,2,0)</f>
        <v>#N/A</v>
      </c>
      <c r="D311" s="193" t="e">
        <f>VLOOKUP(C313,Preenchimento!$A:$BV,2,0)</f>
        <v>#N/A</v>
      </c>
      <c r="E311" s="193" t="e">
        <f>VLOOKUP(D313,Preenchimento!$A:$BV,2,0)</f>
        <v>#N/A</v>
      </c>
      <c r="F311" s="194" t="e">
        <f>VLOOKUP(E313,Preenchimento!$A:$BV,2,0)</f>
        <v>#N/A</v>
      </c>
      <c r="G311" s="121" t="s">
        <v>295</v>
      </c>
      <c r="I311" s="193" t="e">
        <f>VLOOKUP(H313,Preenchimento!$A:$BV,2,0)</f>
        <v>#N/A</v>
      </c>
      <c r="J311" s="193" t="e">
        <f>VLOOKUP(I313,Preenchimento!$A:$BV,2,0)</f>
        <v>#N/A</v>
      </c>
      <c r="K311" s="193" t="e">
        <f>VLOOKUP(J313,Preenchimento!$A:$BV,2,0)</f>
        <v>#N/A</v>
      </c>
      <c r="L311" s="194" t="e">
        <f>VLOOKUP(K313,Preenchimento!$A:$BV,2,0)</f>
        <v>#N/A</v>
      </c>
      <c r="M311" s="121" t="s">
        <v>295</v>
      </c>
      <c r="O311" s="193" t="e">
        <f>VLOOKUP(N313,Preenchimento!$A:$BV,2,0)</f>
        <v>#N/A</v>
      </c>
      <c r="P311" s="193" t="e">
        <f>VLOOKUP(O313,Preenchimento!$A:$BV,2,0)</f>
        <v>#N/A</v>
      </c>
      <c r="Q311" s="193" t="e">
        <f>VLOOKUP(P313,Preenchimento!$A:$BV,2,0)</f>
        <v>#N/A</v>
      </c>
      <c r="R311" s="194" t="e">
        <f>VLOOKUP(Q313,Preenchimento!$A:$BV,2,0)</f>
        <v>#N/A</v>
      </c>
      <c r="S311" s="121" t="s">
        <v>295</v>
      </c>
      <c r="U311" s="193" t="e">
        <f>VLOOKUP(T313,Preenchimento!$A:$BV,2,0)</f>
        <v>#N/A</v>
      </c>
      <c r="V311" s="193" t="e">
        <f>VLOOKUP(U313,Preenchimento!$A:$BV,2,0)</f>
        <v>#N/A</v>
      </c>
      <c r="W311" s="193" t="e">
        <f>VLOOKUP(V313,Preenchimento!$A:$BV,2,0)</f>
        <v>#N/A</v>
      </c>
      <c r="X311" s="194" t="e">
        <f>VLOOKUP(W313,Preenchimento!$A:$BV,2,0)</f>
        <v>#N/A</v>
      </c>
    </row>
    <row r="312" spans="1:24" ht="9.75" customHeight="1" x14ac:dyDescent="0.15">
      <c r="A312" s="121" t="s">
        <v>296</v>
      </c>
      <c r="B312" s="193" t="e">
        <f>VLOOKUP(B313,Preenchimento!$A:$BV,3,0)</f>
        <v>#N/A</v>
      </c>
      <c r="C312" s="193" t="e">
        <f>VLOOKUP(C313,Preenchimento!$A:$BV,3,0)</f>
        <v>#N/A</v>
      </c>
      <c r="D312" s="120" t="s">
        <v>297</v>
      </c>
      <c r="E312" s="197" t="e">
        <f>VLOOKUP(B313,Preenchimento!$A:$BV,5,0)</f>
        <v>#N/A</v>
      </c>
      <c r="F312" s="198" t="e">
        <f>VLOOKUP(C313,Preenchimento!$A:$BV,5,0)</f>
        <v>#N/A</v>
      </c>
      <c r="G312" s="121" t="s">
        <v>296</v>
      </c>
      <c r="H312" s="193" t="e">
        <f>VLOOKUP(H313,Preenchimento!$A:$BV,3,0)</f>
        <v>#N/A</v>
      </c>
      <c r="I312" s="193" t="e">
        <f>VLOOKUP(I313,Preenchimento!$A:$BV,3,0)</f>
        <v>#N/A</v>
      </c>
      <c r="J312" s="120" t="s">
        <v>297</v>
      </c>
      <c r="K312" s="197" t="e">
        <f>VLOOKUP(H313,Preenchimento!$A:$BV,5,0)</f>
        <v>#N/A</v>
      </c>
      <c r="L312" s="198" t="e">
        <f>VLOOKUP(I313,Preenchimento!$A:$BV,5,0)</f>
        <v>#N/A</v>
      </c>
      <c r="M312" s="121" t="s">
        <v>296</v>
      </c>
      <c r="N312" s="193" t="e">
        <f>VLOOKUP(N313,Preenchimento!$A:$BV,3,0)</f>
        <v>#N/A</v>
      </c>
      <c r="O312" s="193" t="e">
        <f>VLOOKUP(O313,Preenchimento!$A:$BV,3,0)</f>
        <v>#N/A</v>
      </c>
      <c r="P312" s="120" t="s">
        <v>297</v>
      </c>
      <c r="Q312" s="197" t="e">
        <f>VLOOKUP(N313,Preenchimento!$A:$BV,5,0)</f>
        <v>#N/A</v>
      </c>
      <c r="R312" s="198" t="e">
        <f>VLOOKUP(O313,Preenchimento!$A:$BV,5,0)</f>
        <v>#N/A</v>
      </c>
      <c r="S312" s="121" t="s">
        <v>296</v>
      </c>
      <c r="T312" s="193" t="e">
        <f>VLOOKUP(T313,Preenchimento!$A:$BV,3,0)</f>
        <v>#N/A</v>
      </c>
      <c r="U312" s="193" t="e">
        <f>VLOOKUP(U313,Preenchimento!$A:$BV,3,0)</f>
        <v>#N/A</v>
      </c>
      <c r="V312" s="120" t="s">
        <v>297</v>
      </c>
      <c r="W312" s="197" t="e">
        <f>VLOOKUP(T313,Preenchimento!$A:$BV,5,0)</f>
        <v>#N/A</v>
      </c>
      <c r="X312" s="198" t="e">
        <f>VLOOKUP(U313,Preenchimento!$A:$BV,5,0)</f>
        <v>#N/A</v>
      </c>
    </row>
    <row r="313" spans="1:24" ht="9.75" customHeight="1" x14ac:dyDescent="0.15">
      <c r="A313" s="121" t="s">
        <v>298</v>
      </c>
      <c r="B313" s="193"/>
      <c r="C313" s="193"/>
      <c r="D313" s="120" t="s">
        <v>299</v>
      </c>
      <c r="F313" s="131" t="e">
        <f>VLOOKUP(B313,Preenchimento!$A:$BV,10,0)</f>
        <v>#N/A</v>
      </c>
      <c r="G313" s="121" t="s">
        <v>298</v>
      </c>
      <c r="H313" s="193"/>
      <c r="I313" s="193"/>
      <c r="J313" s="120" t="s">
        <v>299</v>
      </c>
      <c r="L313" s="131" t="e">
        <f>VLOOKUP(H313,Preenchimento!$A:$BV,10,0)</f>
        <v>#N/A</v>
      </c>
      <c r="M313" s="121" t="s">
        <v>298</v>
      </c>
      <c r="N313" s="193"/>
      <c r="O313" s="193"/>
      <c r="P313" s="120" t="s">
        <v>299</v>
      </c>
      <c r="R313" s="131" t="e">
        <f>VLOOKUP(N313,Preenchimento!$A:$BV,10,0)</f>
        <v>#N/A</v>
      </c>
      <c r="S313" s="121" t="s">
        <v>298</v>
      </c>
      <c r="T313" s="193"/>
      <c r="U313" s="193"/>
      <c r="V313" s="120" t="s">
        <v>299</v>
      </c>
      <c r="X313" s="131" t="e">
        <f>VLOOKUP(T313,Preenchimento!$A:$BV,10,0)</f>
        <v>#N/A</v>
      </c>
    </row>
    <row r="314" spans="1:24" ht="9.75" customHeight="1" x14ac:dyDescent="0.15">
      <c r="A314" s="121" t="s">
        <v>300</v>
      </c>
      <c r="C314" s="193" t="e">
        <f>VLOOKUP(B313,Preenchimento!$A:$BV,12,0)</f>
        <v>#N/A</v>
      </c>
      <c r="D314" s="193" t="e">
        <f>VLOOKUP(C313,Preenchimento!$A:$BV,12,0)</f>
        <v>#N/A</v>
      </c>
      <c r="E314" s="193" t="e">
        <f>VLOOKUP(D313,Preenchimento!$A:$BV,12,0)</f>
        <v>#N/A</v>
      </c>
      <c r="F314" s="194" t="e">
        <f>VLOOKUP(E313,Preenchimento!$A:$BV,12,0)</f>
        <v>#N/A</v>
      </c>
      <c r="G314" s="121" t="s">
        <v>300</v>
      </c>
      <c r="I314" s="193" t="e">
        <f>VLOOKUP(H313,Preenchimento!$A:$BV,12,0)</f>
        <v>#N/A</v>
      </c>
      <c r="J314" s="193" t="e">
        <f>VLOOKUP(I313,Preenchimento!$A:$BV,12,0)</f>
        <v>#N/A</v>
      </c>
      <c r="K314" s="193" t="e">
        <f>VLOOKUP(J313,Preenchimento!$A:$BV,12,0)</f>
        <v>#N/A</v>
      </c>
      <c r="L314" s="194" t="e">
        <f>VLOOKUP(K313,Preenchimento!$A:$BV,12,0)</f>
        <v>#N/A</v>
      </c>
      <c r="M314" s="121" t="s">
        <v>300</v>
      </c>
      <c r="O314" s="193" t="e">
        <f>VLOOKUP(N313,Preenchimento!$A:$BV,12,0)</f>
        <v>#N/A</v>
      </c>
      <c r="P314" s="193" t="e">
        <f>VLOOKUP(O313,Preenchimento!$A:$BV,12,0)</f>
        <v>#N/A</v>
      </c>
      <c r="Q314" s="193" t="e">
        <f>VLOOKUP(P313,Preenchimento!$A:$BV,12,0)</f>
        <v>#N/A</v>
      </c>
      <c r="R314" s="194" t="e">
        <f>VLOOKUP(Q313,Preenchimento!$A:$BV,12,0)</f>
        <v>#N/A</v>
      </c>
      <c r="S314" s="121" t="s">
        <v>300</v>
      </c>
      <c r="U314" s="193" t="e">
        <f>VLOOKUP(T313,Preenchimento!$A:$BV,12,0)</f>
        <v>#N/A</v>
      </c>
      <c r="V314" s="193" t="e">
        <f>VLOOKUP(U313,Preenchimento!$A:$BV,12,0)</f>
        <v>#N/A</v>
      </c>
      <c r="W314" s="193" t="e">
        <f>VLOOKUP(V313,Preenchimento!$A:$BV,12,0)</f>
        <v>#N/A</v>
      </c>
      <c r="X314" s="194" t="e">
        <f>VLOOKUP(W313,Preenchimento!$A:$BV,12,0)</f>
        <v>#N/A</v>
      </c>
    </row>
    <row r="315" spans="1:24" ht="9.75" customHeight="1" x14ac:dyDescent="0.15">
      <c r="A315" s="123" t="s">
        <v>301</v>
      </c>
      <c r="B315" s="195" t="e">
        <f>IF(VLOOKUP(B313,Preenchimento!$A:$BV,11,0)=0,"",VLOOKUP(B313,Preenchimento!$A:$BV,11,0))</f>
        <v>#N/A</v>
      </c>
      <c r="C315" s="195"/>
      <c r="D315" s="195"/>
      <c r="E315" s="195"/>
      <c r="F315" s="196"/>
      <c r="G315" s="123" t="s">
        <v>301</v>
      </c>
      <c r="H315" s="195" t="e">
        <f>IF(VLOOKUP(H313,Preenchimento!$A:$BV,11,0)=0,"",VLOOKUP(H313,Preenchimento!$A:$BV,11,0))</f>
        <v>#N/A</v>
      </c>
      <c r="I315" s="195"/>
      <c r="J315" s="195"/>
      <c r="K315" s="195"/>
      <c r="L315" s="196"/>
      <c r="M315" s="123" t="s">
        <v>301</v>
      </c>
      <c r="N315" s="195" t="e">
        <f>IF(VLOOKUP(N313,Preenchimento!$A:$BV,11,0)=0,"",VLOOKUP(N313,Preenchimento!$A:$BV,11,0))</f>
        <v>#N/A</v>
      </c>
      <c r="O315" s="195"/>
      <c r="P315" s="195"/>
      <c r="Q315" s="195"/>
      <c r="R315" s="196"/>
      <c r="S315" s="123" t="s">
        <v>301</v>
      </c>
      <c r="T315" s="195" t="e">
        <f>IF(VLOOKUP(T313,Preenchimento!$A:$BV,11,0)=0,"",VLOOKUP(T313,Preenchimento!$A:$BV,11,0))</f>
        <v>#N/A</v>
      </c>
      <c r="U315" s="195"/>
      <c r="V315" s="195"/>
      <c r="W315" s="195"/>
      <c r="X315" s="196"/>
    </row>
    <row r="316" spans="1:24" s="130" customFormat="1" ht="33.950000000000003" customHeight="1" x14ac:dyDescent="0.25">
      <c r="A316" s="199" t="str">
        <f>Sitio!$A$3</f>
        <v>Projeto 01</v>
      </c>
      <c r="B316" s="200"/>
      <c r="C316" s="200"/>
      <c r="D316" s="200"/>
      <c r="E316" s="200"/>
      <c r="F316" s="201"/>
      <c r="G316" s="199" t="str">
        <f>Sitio!$A$3</f>
        <v>Projeto 01</v>
      </c>
      <c r="H316" s="200"/>
      <c r="I316" s="200"/>
      <c r="J316" s="200"/>
      <c r="K316" s="200"/>
      <c r="L316" s="201"/>
      <c r="M316" s="199" t="str">
        <f>Sitio!$A$3</f>
        <v>Projeto 01</v>
      </c>
      <c r="N316" s="200"/>
      <c r="O316" s="200"/>
      <c r="P316" s="200"/>
      <c r="Q316" s="200"/>
      <c r="R316" s="201"/>
      <c r="S316" s="199" t="str">
        <f>Sitio!$A$3</f>
        <v>Projeto 01</v>
      </c>
      <c r="T316" s="200"/>
      <c r="U316" s="200"/>
      <c r="V316" s="200"/>
      <c r="W316" s="200"/>
      <c r="X316" s="201"/>
    </row>
    <row r="317" spans="1:24" ht="9.75" customHeight="1" x14ac:dyDescent="0.15">
      <c r="A317" s="121" t="s">
        <v>294</v>
      </c>
      <c r="B317" s="193">
        <f>Sitio!$E$3</f>
        <v>0</v>
      </c>
      <c r="C317" s="193"/>
      <c r="D317" s="193"/>
      <c r="E317" s="193"/>
      <c r="F317" s="194"/>
      <c r="G317" s="121" t="s">
        <v>294</v>
      </c>
      <c r="H317" s="193">
        <f>Sitio!$E$3</f>
        <v>0</v>
      </c>
      <c r="I317" s="193"/>
      <c r="J317" s="193"/>
      <c r="K317" s="193"/>
      <c r="L317" s="194"/>
      <c r="M317" s="121" t="s">
        <v>294</v>
      </c>
      <c r="N317" s="193">
        <f>Sitio!$E$3</f>
        <v>0</v>
      </c>
      <c r="O317" s="193"/>
      <c r="P317" s="193"/>
      <c r="Q317" s="193"/>
      <c r="R317" s="194"/>
      <c r="S317" s="121" t="s">
        <v>294</v>
      </c>
      <c r="T317" s="193">
        <f>Sitio!$E$3</f>
        <v>0</v>
      </c>
      <c r="U317" s="193"/>
      <c r="V317" s="193"/>
      <c r="W317" s="193"/>
      <c r="X317" s="194"/>
    </row>
    <row r="318" spans="1:24" ht="9.75" customHeight="1" x14ac:dyDescent="0.15">
      <c r="A318" s="121" t="s">
        <v>295</v>
      </c>
      <c r="C318" s="193" t="e">
        <f>VLOOKUP(B320,Preenchimento!$A:$BV,2,0)</f>
        <v>#N/A</v>
      </c>
      <c r="D318" s="193" t="e">
        <f>VLOOKUP(C320,Preenchimento!$A:$BV,2,0)</f>
        <v>#N/A</v>
      </c>
      <c r="E318" s="193" t="e">
        <f>VLOOKUP(D320,Preenchimento!$A:$BV,2,0)</f>
        <v>#N/A</v>
      </c>
      <c r="F318" s="194" t="e">
        <f>VLOOKUP(E320,Preenchimento!$A:$BV,2,0)</f>
        <v>#N/A</v>
      </c>
      <c r="G318" s="121" t="s">
        <v>295</v>
      </c>
      <c r="I318" s="193" t="e">
        <f>VLOOKUP(H320,Preenchimento!$A:$BV,2,0)</f>
        <v>#N/A</v>
      </c>
      <c r="J318" s="193" t="e">
        <f>VLOOKUP(I320,Preenchimento!$A:$BV,2,0)</f>
        <v>#N/A</v>
      </c>
      <c r="K318" s="193" t="e">
        <f>VLOOKUP(J320,Preenchimento!$A:$BV,2,0)</f>
        <v>#N/A</v>
      </c>
      <c r="L318" s="194" t="e">
        <f>VLOOKUP(K320,Preenchimento!$A:$BV,2,0)</f>
        <v>#N/A</v>
      </c>
      <c r="M318" s="121" t="s">
        <v>295</v>
      </c>
      <c r="O318" s="193" t="e">
        <f>VLOOKUP(N320,Preenchimento!$A:$BV,2,0)</f>
        <v>#N/A</v>
      </c>
      <c r="P318" s="193" t="e">
        <f>VLOOKUP(O320,Preenchimento!$A:$BV,2,0)</f>
        <v>#N/A</v>
      </c>
      <c r="Q318" s="193" t="e">
        <f>VLOOKUP(P320,Preenchimento!$A:$BV,2,0)</f>
        <v>#N/A</v>
      </c>
      <c r="R318" s="194" t="e">
        <f>VLOOKUP(Q320,Preenchimento!$A:$BV,2,0)</f>
        <v>#N/A</v>
      </c>
      <c r="S318" s="121" t="s">
        <v>295</v>
      </c>
      <c r="U318" s="193" t="e">
        <f>VLOOKUP(T320,Preenchimento!$A:$BV,2,0)</f>
        <v>#N/A</v>
      </c>
      <c r="V318" s="193" t="e">
        <f>VLOOKUP(U320,Preenchimento!$A:$BV,2,0)</f>
        <v>#N/A</v>
      </c>
      <c r="W318" s="193" t="e">
        <f>VLOOKUP(V320,Preenchimento!$A:$BV,2,0)</f>
        <v>#N/A</v>
      </c>
      <c r="X318" s="194" t="e">
        <f>VLOOKUP(W320,Preenchimento!$A:$BV,2,0)</f>
        <v>#N/A</v>
      </c>
    </row>
    <row r="319" spans="1:24" ht="9.75" customHeight="1" x14ac:dyDescent="0.15">
      <c r="A319" s="121" t="s">
        <v>296</v>
      </c>
      <c r="B319" s="193" t="e">
        <f>VLOOKUP(B320,Preenchimento!$A:$BV,3,0)</f>
        <v>#N/A</v>
      </c>
      <c r="C319" s="193" t="e">
        <f>VLOOKUP(C320,Preenchimento!$A:$BV,3,0)</f>
        <v>#N/A</v>
      </c>
      <c r="D319" s="120" t="s">
        <v>297</v>
      </c>
      <c r="E319" s="197" t="e">
        <f>VLOOKUP(B320,Preenchimento!$A:$BV,5,0)</f>
        <v>#N/A</v>
      </c>
      <c r="F319" s="198" t="e">
        <f>VLOOKUP(C320,Preenchimento!$A:$BV,5,0)</f>
        <v>#N/A</v>
      </c>
      <c r="G319" s="121" t="s">
        <v>296</v>
      </c>
      <c r="H319" s="193" t="e">
        <f>VLOOKUP(H320,Preenchimento!$A:$BV,3,0)</f>
        <v>#N/A</v>
      </c>
      <c r="I319" s="193" t="e">
        <f>VLOOKUP(I320,Preenchimento!$A:$BV,3,0)</f>
        <v>#N/A</v>
      </c>
      <c r="J319" s="120" t="s">
        <v>297</v>
      </c>
      <c r="K319" s="197" t="e">
        <f>VLOOKUP(H320,Preenchimento!$A:$BV,5,0)</f>
        <v>#N/A</v>
      </c>
      <c r="L319" s="198" t="e">
        <f>VLOOKUP(I320,Preenchimento!$A:$BV,5,0)</f>
        <v>#N/A</v>
      </c>
      <c r="M319" s="121" t="s">
        <v>296</v>
      </c>
      <c r="N319" s="193" t="e">
        <f>VLOOKUP(N320,Preenchimento!$A:$BV,3,0)</f>
        <v>#N/A</v>
      </c>
      <c r="O319" s="193" t="e">
        <f>VLOOKUP(O320,Preenchimento!$A:$BV,3,0)</f>
        <v>#N/A</v>
      </c>
      <c r="P319" s="120" t="s">
        <v>297</v>
      </c>
      <c r="Q319" s="197" t="e">
        <f>VLOOKUP(N320,Preenchimento!$A:$BV,5,0)</f>
        <v>#N/A</v>
      </c>
      <c r="R319" s="198" t="e">
        <f>VLOOKUP(O320,Preenchimento!$A:$BV,5,0)</f>
        <v>#N/A</v>
      </c>
      <c r="S319" s="121" t="s">
        <v>296</v>
      </c>
      <c r="T319" s="193" t="e">
        <f>VLOOKUP(T320,Preenchimento!$A:$BV,3,0)</f>
        <v>#N/A</v>
      </c>
      <c r="U319" s="193" t="e">
        <f>VLOOKUP(U320,Preenchimento!$A:$BV,3,0)</f>
        <v>#N/A</v>
      </c>
      <c r="V319" s="120" t="s">
        <v>297</v>
      </c>
      <c r="W319" s="197" t="e">
        <f>VLOOKUP(T320,Preenchimento!$A:$BV,5,0)</f>
        <v>#N/A</v>
      </c>
      <c r="X319" s="198" t="e">
        <f>VLOOKUP(U320,Preenchimento!$A:$BV,5,0)</f>
        <v>#N/A</v>
      </c>
    </row>
    <row r="320" spans="1:24" ht="9.75" customHeight="1" x14ac:dyDescent="0.15">
      <c r="A320" s="121" t="s">
        <v>298</v>
      </c>
      <c r="B320" s="193"/>
      <c r="C320" s="193"/>
      <c r="D320" s="120" t="s">
        <v>299</v>
      </c>
      <c r="F320" s="131" t="e">
        <f>VLOOKUP(B320,Preenchimento!$A:$BV,10,0)</f>
        <v>#N/A</v>
      </c>
      <c r="G320" s="121" t="s">
        <v>298</v>
      </c>
      <c r="H320" s="193"/>
      <c r="I320" s="193"/>
      <c r="J320" s="120" t="s">
        <v>299</v>
      </c>
      <c r="L320" s="131" t="e">
        <f>VLOOKUP(H320,Preenchimento!$A:$BV,10,0)</f>
        <v>#N/A</v>
      </c>
      <c r="M320" s="121" t="s">
        <v>298</v>
      </c>
      <c r="N320" s="193"/>
      <c r="O320" s="193"/>
      <c r="P320" s="120" t="s">
        <v>299</v>
      </c>
      <c r="R320" s="131" t="e">
        <f>VLOOKUP(N320,Preenchimento!$A:$BV,10,0)</f>
        <v>#N/A</v>
      </c>
      <c r="S320" s="121" t="s">
        <v>298</v>
      </c>
      <c r="T320" s="193"/>
      <c r="U320" s="193"/>
      <c r="V320" s="120" t="s">
        <v>299</v>
      </c>
      <c r="X320" s="131" t="e">
        <f>VLOOKUP(T320,Preenchimento!$A:$BV,10,0)</f>
        <v>#N/A</v>
      </c>
    </row>
    <row r="321" spans="1:24" ht="9.75" customHeight="1" x14ac:dyDescent="0.15">
      <c r="A321" s="121" t="s">
        <v>300</v>
      </c>
      <c r="C321" s="193" t="e">
        <f>VLOOKUP(B320,Preenchimento!$A:$BV,12,0)</f>
        <v>#N/A</v>
      </c>
      <c r="D321" s="193" t="e">
        <f>VLOOKUP(C320,Preenchimento!$A:$BV,12,0)</f>
        <v>#N/A</v>
      </c>
      <c r="E321" s="193" t="e">
        <f>VLOOKUP(D320,Preenchimento!$A:$BV,12,0)</f>
        <v>#N/A</v>
      </c>
      <c r="F321" s="194" t="e">
        <f>VLOOKUP(E320,Preenchimento!$A:$BV,12,0)</f>
        <v>#N/A</v>
      </c>
      <c r="G321" s="121" t="s">
        <v>300</v>
      </c>
      <c r="I321" s="193" t="e">
        <f>VLOOKUP(H320,Preenchimento!$A:$BV,12,0)</f>
        <v>#N/A</v>
      </c>
      <c r="J321" s="193" t="e">
        <f>VLOOKUP(I320,Preenchimento!$A:$BV,12,0)</f>
        <v>#N/A</v>
      </c>
      <c r="K321" s="193" t="e">
        <f>VLOOKUP(J320,Preenchimento!$A:$BV,12,0)</f>
        <v>#N/A</v>
      </c>
      <c r="L321" s="194" t="e">
        <f>VLOOKUP(K320,Preenchimento!$A:$BV,12,0)</f>
        <v>#N/A</v>
      </c>
      <c r="M321" s="121" t="s">
        <v>300</v>
      </c>
      <c r="O321" s="193" t="e">
        <f>VLOOKUP(N320,Preenchimento!$A:$BV,12,0)</f>
        <v>#N/A</v>
      </c>
      <c r="P321" s="193" t="e">
        <f>VLOOKUP(O320,Preenchimento!$A:$BV,12,0)</f>
        <v>#N/A</v>
      </c>
      <c r="Q321" s="193" t="e">
        <f>VLOOKUP(P320,Preenchimento!$A:$BV,12,0)</f>
        <v>#N/A</v>
      </c>
      <c r="R321" s="194" t="e">
        <f>VLOOKUP(Q320,Preenchimento!$A:$BV,12,0)</f>
        <v>#N/A</v>
      </c>
      <c r="S321" s="121" t="s">
        <v>300</v>
      </c>
      <c r="U321" s="193" t="e">
        <f>VLOOKUP(T320,Preenchimento!$A:$BV,12,0)</f>
        <v>#N/A</v>
      </c>
      <c r="V321" s="193" t="e">
        <f>VLOOKUP(U320,Preenchimento!$A:$BV,12,0)</f>
        <v>#N/A</v>
      </c>
      <c r="W321" s="193" t="e">
        <f>VLOOKUP(V320,Preenchimento!$A:$BV,12,0)</f>
        <v>#N/A</v>
      </c>
      <c r="X321" s="194" t="e">
        <f>VLOOKUP(W320,Preenchimento!$A:$BV,12,0)</f>
        <v>#N/A</v>
      </c>
    </row>
    <row r="322" spans="1:24" ht="9.75" customHeight="1" x14ac:dyDescent="0.15">
      <c r="A322" s="123" t="s">
        <v>301</v>
      </c>
      <c r="B322" s="195" t="e">
        <f>IF(VLOOKUP(B320,Preenchimento!$A:$BV,11,0)=0,"",VLOOKUP(B320,Preenchimento!$A:$BV,11,0))</f>
        <v>#N/A</v>
      </c>
      <c r="C322" s="195"/>
      <c r="D322" s="195"/>
      <c r="E322" s="195"/>
      <c r="F322" s="196"/>
      <c r="G322" s="123" t="s">
        <v>301</v>
      </c>
      <c r="H322" s="195" t="e">
        <f>IF(VLOOKUP(H320,Preenchimento!$A:$BV,11,0)=0,"",VLOOKUP(H320,Preenchimento!$A:$BV,11,0))</f>
        <v>#N/A</v>
      </c>
      <c r="I322" s="195"/>
      <c r="J322" s="195"/>
      <c r="K322" s="195"/>
      <c r="L322" s="196"/>
      <c r="M322" s="123" t="s">
        <v>301</v>
      </c>
      <c r="N322" s="195" t="e">
        <f>IF(VLOOKUP(N320,Preenchimento!$A:$BV,11,0)=0,"",VLOOKUP(N320,Preenchimento!$A:$BV,11,0))</f>
        <v>#N/A</v>
      </c>
      <c r="O322" s="195"/>
      <c r="P322" s="195"/>
      <c r="Q322" s="195"/>
      <c r="R322" s="196"/>
      <c r="S322" s="123" t="s">
        <v>301</v>
      </c>
      <c r="T322" s="195" t="e">
        <f>IF(VLOOKUP(T320,Preenchimento!$A:$BV,11,0)=0,"",VLOOKUP(T320,Preenchimento!$A:$BV,11,0))</f>
        <v>#N/A</v>
      </c>
      <c r="U322" s="195"/>
      <c r="V322" s="195"/>
      <c r="W322" s="195"/>
      <c r="X322" s="196"/>
    </row>
    <row r="323" spans="1:24" s="130" customFormat="1" ht="33.950000000000003" customHeight="1" x14ac:dyDescent="0.25">
      <c r="A323" s="199" t="str">
        <f>Sitio!$A$3</f>
        <v>Projeto 01</v>
      </c>
      <c r="B323" s="200"/>
      <c r="C323" s="200"/>
      <c r="D323" s="200"/>
      <c r="E323" s="200"/>
      <c r="F323" s="201"/>
      <c r="G323" s="199" t="str">
        <f>Sitio!$A$3</f>
        <v>Projeto 01</v>
      </c>
      <c r="H323" s="200"/>
      <c r="I323" s="200"/>
      <c r="J323" s="200"/>
      <c r="K323" s="200"/>
      <c r="L323" s="201"/>
      <c r="M323" s="199" t="str">
        <f>Sitio!$A$3</f>
        <v>Projeto 01</v>
      </c>
      <c r="N323" s="200"/>
      <c r="O323" s="200"/>
      <c r="P323" s="200"/>
      <c r="Q323" s="200"/>
      <c r="R323" s="201"/>
      <c r="S323" s="199" t="str">
        <f>Sitio!$A$3</f>
        <v>Projeto 01</v>
      </c>
      <c r="T323" s="200"/>
      <c r="U323" s="200"/>
      <c r="V323" s="200"/>
      <c r="W323" s="200"/>
      <c r="X323" s="201"/>
    </row>
    <row r="324" spans="1:24" ht="9.75" customHeight="1" x14ac:dyDescent="0.15">
      <c r="A324" s="121" t="s">
        <v>294</v>
      </c>
      <c r="B324" s="193">
        <f>Sitio!$E$3</f>
        <v>0</v>
      </c>
      <c r="C324" s="193"/>
      <c r="D324" s="193"/>
      <c r="E324" s="193"/>
      <c r="F324" s="194"/>
      <c r="G324" s="121" t="s">
        <v>294</v>
      </c>
      <c r="H324" s="193">
        <f>Sitio!$E$3</f>
        <v>0</v>
      </c>
      <c r="I324" s="193"/>
      <c r="J324" s="193"/>
      <c r="K324" s="193"/>
      <c r="L324" s="194"/>
      <c r="M324" s="121" t="s">
        <v>294</v>
      </c>
      <c r="N324" s="193">
        <f>Sitio!$E$3</f>
        <v>0</v>
      </c>
      <c r="O324" s="193"/>
      <c r="P324" s="193"/>
      <c r="Q324" s="193"/>
      <c r="R324" s="194"/>
      <c r="S324" s="121" t="s">
        <v>294</v>
      </c>
      <c r="T324" s="193">
        <f>Sitio!$E$3</f>
        <v>0</v>
      </c>
      <c r="U324" s="193"/>
      <c r="V324" s="193"/>
      <c r="W324" s="193"/>
      <c r="X324" s="194"/>
    </row>
    <row r="325" spans="1:24" ht="9.75" customHeight="1" x14ac:dyDescent="0.15">
      <c r="A325" s="121" t="s">
        <v>295</v>
      </c>
      <c r="C325" s="193" t="e">
        <f>VLOOKUP(B327,Preenchimento!$A:$BV,2,0)</f>
        <v>#N/A</v>
      </c>
      <c r="D325" s="193" t="e">
        <f>VLOOKUP(C327,Preenchimento!$A:$BV,2,0)</f>
        <v>#N/A</v>
      </c>
      <c r="E325" s="193" t="e">
        <f>VLOOKUP(D327,Preenchimento!$A:$BV,2,0)</f>
        <v>#N/A</v>
      </c>
      <c r="F325" s="194" t="e">
        <f>VLOOKUP(E327,Preenchimento!$A:$BV,2,0)</f>
        <v>#N/A</v>
      </c>
      <c r="G325" s="121" t="s">
        <v>295</v>
      </c>
      <c r="I325" s="193" t="e">
        <f>VLOOKUP(H327,Preenchimento!$A:$BV,2,0)</f>
        <v>#N/A</v>
      </c>
      <c r="J325" s="193" t="e">
        <f>VLOOKUP(I327,Preenchimento!$A:$BV,2,0)</f>
        <v>#N/A</v>
      </c>
      <c r="K325" s="193" t="e">
        <f>VLOOKUP(J327,Preenchimento!$A:$BV,2,0)</f>
        <v>#N/A</v>
      </c>
      <c r="L325" s="194" t="e">
        <f>VLOOKUP(K327,Preenchimento!$A:$BV,2,0)</f>
        <v>#N/A</v>
      </c>
      <c r="M325" s="121" t="s">
        <v>295</v>
      </c>
      <c r="O325" s="193" t="e">
        <f>VLOOKUP(N327,Preenchimento!$A:$BV,2,0)</f>
        <v>#N/A</v>
      </c>
      <c r="P325" s="193" t="e">
        <f>VLOOKUP(O327,Preenchimento!$A:$BV,2,0)</f>
        <v>#N/A</v>
      </c>
      <c r="Q325" s="193" t="e">
        <f>VLOOKUP(P327,Preenchimento!$A:$BV,2,0)</f>
        <v>#N/A</v>
      </c>
      <c r="R325" s="194" t="e">
        <f>VLOOKUP(Q327,Preenchimento!$A:$BV,2,0)</f>
        <v>#N/A</v>
      </c>
      <c r="S325" s="121" t="s">
        <v>295</v>
      </c>
      <c r="U325" s="193" t="e">
        <f>VLOOKUP(T327,Preenchimento!$A:$BV,2,0)</f>
        <v>#N/A</v>
      </c>
      <c r="V325" s="193" t="e">
        <f>VLOOKUP(U327,Preenchimento!$A:$BV,2,0)</f>
        <v>#N/A</v>
      </c>
      <c r="W325" s="193" t="e">
        <f>VLOOKUP(V327,Preenchimento!$A:$BV,2,0)</f>
        <v>#N/A</v>
      </c>
      <c r="X325" s="194" t="e">
        <f>VLOOKUP(W327,Preenchimento!$A:$BV,2,0)</f>
        <v>#N/A</v>
      </c>
    </row>
    <row r="326" spans="1:24" ht="9.75" customHeight="1" x14ac:dyDescent="0.15">
      <c r="A326" s="121" t="s">
        <v>296</v>
      </c>
      <c r="B326" s="193" t="e">
        <f>VLOOKUP(B327,Preenchimento!$A:$BV,3,0)</f>
        <v>#N/A</v>
      </c>
      <c r="C326" s="193" t="e">
        <f>VLOOKUP(C327,Preenchimento!$A:$BV,3,0)</f>
        <v>#N/A</v>
      </c>
      <c r="D326" s="120" t="s">
        <v>297</v>
      </c>
      <c r="E326" s="197" t="e">
        <f>VLOOKUP(B327,Preenchimento!$A:$BV,5,0)</f>
        <v>#N/A</v>
      </c>
      <c r="F326" s="198" t="e">
        <f>VLOOKUP(C327,Preenchimento!$A:$BV,5,0)</f>
        <v>#N/A</v>
      </c>
      <c r="G326" s="121" t="s">
        <v>296</v>
      </c>
      <c r="H326" s="193" t="e">
        <f>VLOOKUP(H327,Preenchimento!$A:$BV,3,0)</f>
        <v>#N/A</v>
      </c>
      <c r="I326" s="193" t="e">
        <f>VLOOKUP(I327,Preenchimento!$A:$BV,3,0)</f>
        <v>#N/A</v>
      </c>
      <c r="J326" s="120" t="s">
        <v>297</v>
      </c>
      <c r="K326" s="197" t="e">
        <f>VLOOKUP(H327,Preenchimento!$A:$BV,5,0)</f>
        <v>#N/A</v>
      </c>
      <c r="L326" s="198" t="e">
        <f>VLOOKUP(I327,Preenchimento!$A:$BV,5,0)</f>
        <v>#N/A</v>
      </c>
      <c r="M326" s="121" t="s">
        <v>296</v>
      </c>
      <c r="N326" s="193" t="e">
        <f>VLOOKUP(N327,Preenchimento!$A:$BV,3,0)</f>
        <v>#N/A</v>
      </c>
      <c r="O326" s="193" t="e">
        <f>VLOOKUP(O327,Preenchimento!$A:$BV,3,0)</f>
        <v>#N/A</v>
      </c>
      <c r="P326" s="120" t="s">
        <v>297</v>
      </c>
      <c r="Q326" s="197" t="e">
        <f>VLOOKUP(N327,Preenchimento!$A:$BV,5,0)</f>
        <v>#N/A</v>
      </c>
      <c r="R326" s="198" t="e">
        <f>VLOOKUP(O327,Preenchimento!$A:$BV,5,0)</f>
        <v>#N/A</v>
      </c>
      <c r="S326" s="121" t="s">
        <v>296</v>
      </c>
      <c r="T326" s="193" t="e">
        <f>VLOOKUP(T327,Preenchimento!$A:$BV,3,0)</f>
        <v>#N/A</v>
      </c>
      <c r="U326" s="193" t="e">
        <f>VLOOKUP(U327,Preenchimento!$A:$BV,3,0)</f>
        <v>#N/A</v>
      </c>
      <c r="V326" s="120" t="s">
        <v>297</v>
      </c>
      <c r="W326" s="197" t="e">
        <f>VLOOKUP(T327,Preenchimento!$A:$BV,5,0)</f>
        <v>#N/A</v>
      </c>
      <c r="X326" s="198" t="e">
        <f>VLOOKUP(U327,Preenchimento!$A:$BV,5,0)</f>
        <v>#N/A</v>
      </c>
    </row>
    <row r="327" spans="1:24" ht="9.75" customHeight="1" x14ac:dyDescent="0.15">
      <c r="A327" s="121" t="s">
        <v>298</v>
      </c>
      <c r="B327" s="193"/>
      <c r="C327" s="193"/>
      <c r="D327" s="120" t="s">
        <v>299</v>
      </c>
      <c r="F327" s="131" t="e">
        <f>VLOOKUP(B327,Preenchimento!$A:$BV,10,0)</f>
        <v>#N/A</v>
      </c>
      <c r="G327" s="121" t="s">
        <v>298</v>
      </c>
      <c r="H327" s="193"/>
      <c r="I327" s="193"/>
      <c r="J327" s="120" t="s">
        <v>299</v>
      </c>
      <c r="L327" s="131" t="e">
        <f>VLOOKUP(H327,Preenchimento!$A:$BV,10,0)</f>
        <v>#N/A</v>
      </c>
      <c r="M327" s="121" t="s">
        <v>298</v>
      </c>
      <c r="N327" s="193"/>
      <c r="O327" s="193"/>
      <c r="P327" s="120" t="s">
        <v>299</v>
      </c>
      <c r="R327" s="131" t="e">
        <f>VLOOKUP(N327,Preenchimento!$A:$BV,10,0)</f>
        <v>#N/A</v>
      </c>
      <c r="S327" s="121" t="s">
        <v>298</v>
      </c>
      <c r="T327" s="193"/>
      <c r="U327" s="193"/>
      <c r="V327" s="120" t="s">
        <v>299</v>
      </c>
      <c r="X327" s="131" t="e">
        <f>VLOOKUP(T327,Preenchimento!$A:$BV,10,0)</f>
        <v>#N/A</v>
      </c>
    </row>
    <row r="328" spans="1:24" ht="9.75" customHeight="1" x14ac:dyDescent="0.15">
      <c r="A328" s="121" t="s">
        <v>300</v>
      </c>
      <c r="C328" s="193" t="e">
        <f>VLOOKUP(B327,Preenchimento!$A:$BV,12,0)</f>
        <v>#N/A</v>
      </c>
      <c r="D328" s="193" t="e">
        <f>VLOOKUP(C327,Preenchimento!$A:$BV,12,0)</f>
        <v>#N/A</v>
      </c>
      <c r="E328" s="193" t="e">
        <f>VLOOKUP(D327,Preenchimento!$A:$BV,12,0)</f>
        <v>#N/A</v>
      </c>
      <c r="F328" s="194" t="e">
        <f>VLOOKUP(E327,Preenchimento!$A:$BV,12,0)</f>
        <v>#N/A</v>
      </c>
      <c r="G328" s="121" t="s">
        <v>300</v>
      </c>
      <c r="I328" s="193" t="e">
        <f>VLOOKUP(H327,Preenchimento!$A:$BV,12,0)</f>
        <v>#N/A</v>
      </c>
      <c r="J328" s="193" t="e">
        <f>VLOOKUP(I327,Preenchimento!$A:$BV,12,0)</f>
        <v>#N/A</v>
      </c>
      <c r="K328" s="193" t="e">
        <f>VLOOKUP(J327,Preenchimento!$A:$BV,12,0)</f>
        <v>#N/A</v>
      </c>
      <c r="L328" s="194" t="e">
        <f>VLOOKUP(K327,Preenchimento!$A:$BV,12,0)</f>
        <v>#N/A</v>
      </c>
      <c r="M328" s="121" t="s">
        <v>300</v>
      </c>
      <c r="O328" s="193" t="e">
        <f>VLOOKUP(N327,Preenchimento!$A:$BV,12,0)</f>
        <v>#N/A</v>
      </c>
      <c r="P328" s="193" t="e">
        <f>VLOOKUP(O327,Preenchimento!$A:$BV,12,0)</f>
        <v>#N/A</v>
      </c>
      <c r="Q328" s="193" t="e">
        <f>VLOOKUP(P327,Preenchimento!$A:$BV,12,0)</f>
        <v>#N/A</v>
      </c>
      <c r="R328" s="194" t="e">
        <f>VLOOKUP(Q327,Preenchimento!$A:$BV,12,0)</f>
        <v>#N/A</v>
      </c>
      <c r="S328" s="121" t="s">
        <v>300</v>
      </c>
      <c r="U328" s="193" t="e">
        <f>VLOOKUP(T327,Preenchimento!$A:$BV,12,0)</f>
        <v>#N/A</v>
      </c>
      <c r="V328" s="193" t="e">
        <f>VLOOKUP(U327,Preenchimento!$A:$BV,12,0)</f>
        <v>#N/A</v>
      </c>
      <c r="W328" s="193" t="e">
        <f>VLOOKUP(V327,Preenchimento!$A:$BV,12,0)</f>
        <v>#N/A</v>
      </c>
      <c r="X328" s="194" t="e">
        <f>VLOOKUP(W327,Preenchimento!$A:$BV,12,0)</f>
        <v>#N/A</v>
      </c>
    </row>
    <row r="329" spans="1:24" ht="9.75" customHeight="1" x14ac:dyDescent="0.15">
      <c r="A329" s="123" t="s">
        <v>301</v>
      </c>
      <c r="B329" s="195" t="e">
        <f>IF(VLOOKUP(B327,Preenchimento!$A:$BV,11,0)=0,"",VLOOKUP(B327,Preenchimento!$A:$BV,11,0))</f>
        <v>#N/A</v>
      </c>
      <c r="C329" s="195"/>
      <c r="D329" s="195"/>
      <c r="E329" s="195"/>
      <c r="F329" s="196"/>
      <c r="G329" s="123" t="s">
        <v>301</v>
      </c>
      <c r="H329" s="195" t="e">
        <f>IF(VLOOKUP(H327,Preenchimento!$A:$BV,11,0)=0,"",VLOOKUP(H327,Preenchimento!$A:$BV,11,0))</f>
        <v>#N/A</v>
      </c>
      <c r="I329" s="195"/>
      <c r="J329" s="195"/>
      <c r="K329" s="195"/>
      <c r="L329" s="196"/>
      <c r="M329" s="123" t="s">
        <v>301</v>
      </c>
      <c r="N329" s="195" t="e">
        <f>IF(VLOOKUP(N327,Preenchimento!$A:$BV,11,0)=0,"",VLOOKUP(N327,Preenchimento!$A:$BV,11,0))</f>
        <v>#N/A</v>
      </c>
      <c r="O329" s="195"/>
      <c r="P329" s="195"/>
      <c r="Q329" s="195"/>
      <c r="R329" s="196"/>
      <c r="S329" s="123" t="s">
        <v>301</v>
      </c>
      <c r="T329" s="195" t="e">
        <f>IF(VLOOKUP(T327,Preenchimento!$A:$BV,11,0)=0,"",VLOOKUP(T327,Preenchimento!$A:$BV,11,0))</f>
        <v>#N/A</v>
      </c>
      <c r="U329" s="195"/>
      <c r="V329" s="195"/>
      <c r="W329" s="195"/>
      <c r="X329" s="196"/>
    </row>
    <row r="330" spans="1:24" s="130" customFormat="1" ht="33.950000000000003" customHeight="1" x14ac:dyDescent="0.25">
      <c r="A330" s="199" t="str">
        <f>Sitio!$A$3</f>
        <v>Projeto 01</v>
      </c>
      <c r="B330" s="200"/>
      <c r="C330" s="200"/>
      <c r="D330" s="200"/>
      <c r="E330" s="200"/>
      <c r="F330" s="201"/>
      <c r="G330" s="199" t="str">
        <f>Sitio!$A$3</f>
        <v>Projeto 01</v>
      </c>
      <c r="H330" s="200"/>
      <c r="I330" s="200"/>
      <c r="J330" s="200"/>
      <c r="K330" s="200"/>
      <c r="L330" s="201"/>
      <c r="M330" s="199" t="str">
        <f>Sitio!$A$3</f>
        <v>Projeto 01</v>
      </c>
      <c r="N330" s="200"/>
      <c r="O330" s="200"/>
      <c r="P330" s="200"/>
      <c r="Q330" s="200"/>
      <c r="R330" s="201"/>
      <c r="S330" s="199" t="str">
        <f>Sitio!$A$3</f>
        <v>Projeto 01</v>
      </c>
      <c r="T330" s="200"/>
      <c r="U330" s="200"/>
      <c r="V330" s="200"/>
      <c r="W330" s="200"/>
      <c r="X330" s="201"/>
    </row>
    <row r="331" spans="1:24" ht="9.75" customHeight="1" x14ac:dyDescent="0.15">
      <c r="A331" s="121" t="s">
        <v>294</v>
      </c>
      <c r="B331" s="193">
        <f>Sitio!$E$3</f>
        <v>0</v>
      </c>
      <c r="C331" s="193"/>
      <c r="D331" s="193"/>
      <c r="E331" s="193"/>
      <c r="F331" s="194"/>
      <c r="G331" s="121" t="s">
        <v>294</v>
      </c>
      <c r="H331" s="193">
        <f>Sitio!$E$3</f>
        <v>0</v>
      </c>
      <c r="I331" s="193"/>
      <c r="J331" s="193"/>
      <c r="K331" s="193"/>
      <c r="L331" s="194"/>
      <c r="M331" s="121" t="s">
        <v>294</v>
      </c>
      <c r="N331" s="193">
        <f>Sitio!$E$3</f>
        <v>0</v>
      </c>
      <c r="O331" s="193"/>
      <c r="P331" s="193"/>
      <c r="Q331" s="193"/>
      <c r="R331" s="194"/>
      <c r="S331" s="121" t="s">
        <v>294</v>
      </c>
      <c r="T331" s="193">
        <f>Sitio!$E$3</f>
        <v>0</v>
      </c>
      <c r="U331" s="193"/>
      <c r="V331" s="193"/>
      <c r="W331" s="193"/>
      <c r="X331" s="194"/>
    </row>
    <row r="332" spans="1:24" ht="9.75" customHeight="1" x14ac:dyDescent="0.15">
      <c r="A332" s="121" t="s">
        <v>295</v>
      </c>
      <c r="C332" s="193" t="e">
        <f>VLOOKUP(B334,Preenchimento!$A:$BV,2,0)</f>
        <v>#N/A</v>
      </c>
      <c r="D332" s="193" t="e">
        <f>VLOOKUP(C334,Preenchimento!$A:$BV,2,0)</f>
        <v>#N/A</v>
      </c>
      <c r="E332" s="193" t="e">
        <f>VLOOKUP(D334,Preenchimento!$A:$BV,2,0)</f>
        <v>#N/A</v>
      </c>
      <c r="F332" s="194" t="e">
        <f>VLOOKUP(E334,Preenchimento!$A:$BV,2,0)</f>
        <v>#N/A</v>
      </c>
      <c r="G332" s="121" t="s">
        <v>295</v>
      </c>
      <c r="I332" s="193" t="e">
        <f>VLOOKUP(H334,Preenchimento!$A:$BV,2,0)</f>
        <v>#N/A</v>
      </c>
      <c r="J332" s="193" t="e">
        <f>VLOOKUP(I334,Preenchimento!$A:$BV,2,0)</f>
        <v>#N/A</v>
      </c>
      <c r="K332" s="193" t="e">
        <f>VLOOKUP(J334,Preenchimento!$A:$BV,2,0)</f>
        <v>#N/A</v>
      </c>
      <c r="L332" s="194" t="e">
        <f>VLOOKUP(K334,Preenchimento!$A:$BV,2,0)</f>
        <v>#N/A</v>
      </c>
      <c r="M332" s="121" t="s">
        <v>295</v>
      </c>
      <c r="O332" s="193" t="e">
        <f>VLOOKUP(N334,Preenchimento!$A:$BV,2,0)</f>
        <v>#N/A</v>
      </c>
      <c r="P332" s="193" t="e">
        <f>VLOOKUP(O334,Preenchimento!$A:$BV,2,0)</f>
        <v>#N/A</v>
      </c>
      <c r="Q332" s="193" t="e">
        <f>VLOOKUP(P334,Preenchimento!$A:$BV,2,0)</f>
        <v>#N/A</v>
      </c>
      <c r="R332" s="194" t="e">
        <f>VLOOKUP(Q334,Preenchimento!$A:$BV,2,0)</f>
        <v>#N/A</v>
      </c>
      <c r="S332" s="121" t="s">
        <v>295</v>
      </c>
      <c r="U332" s="193" t="e">
        <f>VLOOKUP(T334,Preenchimento!$A:$BV,2,0)</f>
        <v>#N/A</v>
      </c>
      <c r="V332" s="193" t="e">
        <f>VLOOKUP(U334,Preenchimento!$A:$BV,2,0)</f>
        <v>#N/A</v>
      </c>
      <c r="W332" s="193" t="e">
        <f>VLOOKUP(V334,Preenchimento!$A:$BV,2,0)</f>
        <v>#N/A</v>
      </c>
      <c r="X332" s="194" t="e">
        <f>VLOOKUP(W334,Preenchimento!$A:$BV,2,0)</f>
        <v>#N/A</v>
      </c>
    </row>
    <row r="333" spans="1:24" ht="9.75" customHeight="1" x14ac:dyDescent="0.15">
      <c r="A333" s="121" t="s">
        <v>296</v>
      </c>
      <c r="B333" s="193" t="e">
        <f>VLOOKUP(B334,Preenchimento!$A:$BV,3,0)</f>
        <v>#N/A</v>
      </c>
      <c r="C333" s="193" t="e">
        <f>VLOOKUP(C334,Preenchimento!$A:$BV,3,0)</f>
        <v>#N/A</v>
      </c>
      <c r="D333" s="120" t="s">
        <v>297</v>
      </c>
      <c r="E333" s="197" t="e">
        <f>VLOOKUP(B334,Preenchimento!$A:$BV,5,0)</f>
        <v>#N/A</v>
      </c>
      <c r="F333" s="198" t="e">
        <f>VLOOKUP(C334,Preenchimento!$A:$BV,5,0)</f>
        <v>#N/A</v>
      </c>
      <c r="G333" s="121" t="s">
        <v>296</v>
      </c>
      <c r="H333" s="193" t="e">
        <f>VLOOKUP(H334,Preenchimento!$A:$BV,3,0)</f>
        <v>#N/A</v>
      </c>
      <c r="I333" s="193" t="e">
        <f>VLOOKUP(I334,Preenchimento!$A:$BV,3,0)</f>
        <v>#N/A</v>
      </c>
      <c r="J333" s="120" t="s">
        <v>297</v>
      </c>
      <c r="K333" s="197" t="e">
        <f>VLOOKUP(H334,Preenchimento!$A:$BV,5,0)</f>
        <v>#N/A</v>
      </c>
      <c r="L333" s="198" t="e">
        <f>VLOOKUP(I334,Preenchimento!$A:$BV,5,0)</f>
        <v>#N/A</v>
      </c>
      <c r="M333" s="121" t="s">
        <v>296</v>
      </c>
      <c r="N333" s="193" t="e">
        <f>VLOOKUP(N334,Preenchimento!$A:$BV,3,0)</f>
        <v>#N/A</v>
      </c>
      <c r="O333" s="193" t="e">
        <f>VLOOKUP(O334,Preenchimento!$A:$BV,3,0)</f>
        <v>#N/A</v>
      </c>
      <c r="P333" s="120" t="s">
        <v>297</v>
      </c>
      <c r="Q333" s="197" t="e">
        <f>VLOOKUP(N334,Preenchimento!$A:$BV,5,0)</f>
        <v>#N/A</v>
      </c>
      <c r="R333" s="198" t="e">
        <f>VLOOKUP(O334,Preenchimento!$A:$BV,5,0)</f>
        <v>#N/A</v>
      </c>
      <c r="S333" s="121" t="s">
        <v>296</v>
      </c>
      <c r="T333" s="193" t="e">
        <f>VLOOKUP(T334,Preenchimento!$A:$BV,3,0)</f>
        <v>#N/A</v>
      </c>
      <c r="U333" s="193" t="e">
        <f>VLOOKUP(U334,Preenchimento!$A:$BV,3,0)</f>
        <v>#N/A</v>
      </c>
      <c r="V333" s="120" t="s">
        <v>297</v>
      </c>
      <c r="W333" s="197" t="e">
        <f>VLOOKUP(T334,Preenchimento!$A:$BV,5,0)</f>
        <v>#N/A</v>
      </c>
      <c r="X333" s="198" t="e">
        <f>VLOOKUP(U334,Preenchimento!$A:$BV,5,0)</f>
        <v>#N/A</v>
      </c>
    </row>
    <row r="334" spans="1:24" ht="9.75" customHeight="1" x14ac:dyDescent="0.15">
      <c r="A334" s="121" t="s">
        <v>298</v>
      </c>
      <c r="B334" s="193"/>
      <c r="C334" s="193"/>
      <c r="D334" s="120" t="s">
        <v>299</v>
      </c>
      <c r="F334" s="131" t="e">
        <f>VLOOKUP(B334,Preenchimento!$A:$BV,10,0)</f>
        <v>#N/A</v>
      </c>
      <c r="G334" s="121" t="s">
        <v>298</v>
      </c>
      <c r="H334" s="193"/>
      <c r="I334" s="193"/>
      <c r="J334" s="120" t="s">
        <v>299</v>
      </c>
      <c r="L334" s="131" t="e">
        <f>VLOOKUP(H334,Preenchimento!$A:$BV,10,0)</f>
        <v>#N/A</v>
      </c>
      <c r="M334" s="121" t="s">
        <v>298</v>
      </c>
      <c r="N334" s="193"/>
      <c r="O334" s="193"/>
      <c r="P334" s="120" t="s">
        <v>299</v>
      </c>
      <c r="R334" s="131" t="e">
        <f>VLOOKUP(N334,Preenchimento!$A:$BV,10,0)</f>
        <v>#N/A</v>
      </c>
      <c r="S334" s="121" t="s">
        <v>298</v>
      </c>
      <c r="T334" s="193"/>
      <c r="U334" s="193"/>
      <c r="V334" s="120" t="s">
        <v>299</v>
      </c>
      <c r="X334" s="131" t="e">
        <f>VLOOKUP(T334,Preenchimento!$A:$BV,10,0)</f>
        <v>#N/A</v>
      </c>
    </row>
    <row r="335" spans="1:24" ht="9.75" customHeight="1" x14ac:dyDescent="0.15">
      <c r="A335" s="121" t="s">
        <v>300</v>
      </c>
      <c r="C335" s="193" t="e">
        <f>VLOOKUP(B334,Preenchimento!$A:$BV,12,0)</f>
        <v>#N/A</v>
      </c>
      <c r="D335" s="193" t="e">
        <f>VLOOKUP(C334,Preenchimento!$A:$BV,12,0)</f>
        <v>#N/A</v>
      </c>
      <c r="E335" s="193" t="e">
        <f>VLOOKUP(D334,Preenchimento!$A:$BV,12,0)</f>
        <v>#N/A</v>
      </c>
      <c r="F335" s="194" t="e">
        <f>VLOOKUP(E334,Preenchimento!$A:$BV,12,0)</f>
        <v>#N/A</v>
      </c>
      <c r="G335" s="121" t="s">
        <v>300</v>
      </c>
      <c r="I335" s="193" t="e">
        <f>VLOOKUP(H334,Preenchimento!$A:$BV,12,0)</f>
        <v>#N/A</v>
      </c>
      <c r="J335" s="193" t="e">
        <f>VLOOKUP(I334,Preenchimento!$A:$BV,12,0)</f>
        <v>#N/A</v>
      </c>
      <c r="K335" s="193" t="e">
        <f>VLOOKUP(J334,Preenchimento!$A:$BV,12,0)</f>
        <v>#N/A</v>
      </c>
      <c r="L335" s="194" t="e">
        <f>VLOOKUP(K334,Preenchimento!$A:$BV,12,0)</f>
        <v>#N/A</v>
      </c>
      <c r="M335" s="121" t="s">
        <v>300</v>
      </c>
      <c r="O335" s="193" t="e">
        <f>VLOOKUP(N334,Preenchimento!$A:$BV,12,0)</f>
        <v>#N/A</v>
      </c>
      <c r="P335" s="193" t="e">
        <f>VLOOKUP(O334,Preenchimento!$A:$BV,12,0)</f>
        <v>#N/A</v>
      </c>
      <c r="Q335" s="193" t="e">
        <f>VLOOKUP(P334,Preenchimento!$A:$BV,12,0)</f>
        <v>#N/A</v>
      </c>
      <c r="R335" s="194" t="e">
        <f>VLOOKUP(Q334,Preenchimento!$A:$BV,12,0)</f>
        <v>#N/A</v>
      </c>
      <c r="S335" s="121" t="s">
        <v>300</v>
      </c>
      <c r="U335" s="193" t="e">
        <f>VLOOKUP(T334,Preenchimento!$A:$BV,12,0)</f>
        <v>#N/A</v>
      </c>
      <c r="V335" s="193" t="e">
        <f>VLOOKUP(U334,Preenchimento!$A:$BV,12,0)</f>
        <v>#N/A</v>
      </c>
      <c r="W335" s="193" t="e">
        <f>VLOOKUP(V334,Preenchimento!$A:$BV,12,0)</f>
        <v>#N/A</v>
      </c>
      <c r="X335" s="194" t="e">
        <f>VLOOKUP(W334,Preenchimento!$A:$BV,12,0)</f>
        <v>#N/A</v>
      </c>
    </row>
    <row r="336" spans="1:24" ht="9.75" customHeight="1" x14ac:dyDescent="0.15">
      <c r="A336" s="123" t="s">
        <v>301</v>
      </c>
      <c r="B336" s="195" t="e">
        <f>IF(VLOOKUP(B334,Preenchimento!$A:$BV,11,0)=0,"",VLOOKUP(B334,Preenchimento!$A:$BV,11,0))</f>
        <v>#N/A</v>
      </c>
      <c r="C336" s="195"/>
      <c r="D336" s="195"/>
      <c r="E336" s="195"/>
      <c r="F336" s="196"/>
      <c r="G336" s="123" t="s">
        <v>301</v>
      </c>
      <c r="H336" s="195" t="e">
        <f>IF(VLOOKUP(H334,Preenchimento!$A:$BV,11,0)=0,"",VLOOKUP(H334,Preenchimento!$A:$BV,11,0))</f>
        <v>#N/A</v>
      </c>
      <c r="I336" s="195"/>
      <c r="J336" s="195"/>
      <c r="K336" s="195"/>
      <c r="L336" s="196"/>
      <c r="M336" s="123" t="s">
        <v>301</v>
      </c>
      <c r="N336" s="195" t="e">
        <f>IF(VLOOKUP(N334,Preenchimento!$A:$BV,11,0)=0,"",VLOOKUP(N334,Preenchimento!$A:$BV,11,0))</f>
        <v>#N/A</v>
      </c>
      <c r="O336" s="195"/>
      <c r="P336" s="195"/>
      <c r="Q336" s="195"/>
      <c r="R336" s="196"/>
      <c r="S336" s="123" t="s">
        <v>301</v>
      </c>
      <c r="T336" s="195" t="e">
        <f>IF(VLOOKUP(T334,Preenchimento!$A:$BV,11,0)=0,"",VLOOKUP(T334,Preenchimento!$A:$BV,11,0))</f>
        <v>#N/A</v>
      </c>
      <c r="U336" s="195"/>
      <c r="V336" s="195"/>
      <c r="W336" s="195"/>
      <c r="X336" s="196"/>
    </row>
    <row r="337" spans="1:24" s="130" customFormat="1" ht="33.950000000000003" customHeight="1" x14ac:dyDescent="0.25">
      <c r="A337" s="199" t="str">
        <f>Sitio!$A$3</f>
        <v>Projeto 01</v>
      </c>
      <c r="B337" s="200"/>
      <c r="C337" s="200"/>
      <c r="D337" s="200"/>
      <c r="E337" s="200"/>
      <c r="F337" s="201"/>
      <c r="G337" s="199" t="str">
        <f>Sitio!$A$3</f>
        <v>Projeto 01</v>
      </c>
      <c r="H337" s="200"/>
      <c r="I337" s="200"/>
      <c r="J337" s="200"/>
      <c r="K337" s="200"/>
      <c r="L337" s="201"/>
      <c r="M337" s="199" t="str">
        <f>Sitio!$A$3</f>
        <v>Projeto 01</v>
      </c>
      <c r="N337" s="200"/>
      <c r="O337" s="200"/>
      <c r="P337" s="200"/>
      <c r="Q337" s="200"/>
      <c r="R337" s="201"/>
      <c r="S337" s="199" t="str">
        <f>Sitio!$A$3</f>
        <v>Projeto 01</v>
      </c>
      <c r="T337" s="200"/>
      <c r="U337" s="200"/>
      <c r="V337" s="200"/>
      <c r="W337" s="200"/>
      <c r="X337" s="201"/>
    </row>
    <row r="338" spans="1:24" ht="9.75" customHeight="1" x14ac:dyDescent="0.15">
      <c r="A338" s="121" t="s">
        <v>294</v>
      </c>
      <c r="B338" s="193">
        <f>Sitio!$E$3</f>
        <v>0</v>
      </c>
      <c r="C338" s="193"/>
      <c r="D338" s="193"/>
      <c r="E338" s="193"/>
      <c r="F338" s="194"/>
      <c r="G338" s="121" t="s">
        <v>294</v>
      </c>
      <c r="H338" s="193">
        <f>Sitio!$E$3</f>
        <v>0</v>
      </c>
      <c r="I338" s="193"/>
      <c r="J338" s="193"/>
      <c r="K338" s="193"/>
      <c r="L338" s="194"/>
      <c r="M338" s="121" t="s">
        <v>294</v>
      </c>
      <c r="N338" s="193">
        <f>Sitio!$E$3</f>
        <v>0</v>
      </c>
      <c r="O338" s="193"/>
      <c r="P338" s="193"/>
      <c r="Q338" s="193"/>
      <c r="R338" s="194"/>
      <c r="S338" s="121" t="s">
        <v>294</v>
      </c>
      <c r="T338" s="193">
        <f>Sitio!$E$3</f>
        <v>0</v>
      </c>
      <c r="U338" s="193"/>
      <c r="V338" s="193"/>
      <c r="W338" s="193"/>
      <c r="X338" s="194"/>
    </row>
    <row r="339" spans="1:24" ht="9.75" customHeight="1" x14ac:dyDescent="0.15">
      <c r="A339" s="121" t="s">
        <v>295</v>
      </c>
      <c r="C339" s="193" t="e">
        <f>VLOOKUP(B341,Preenchimento!$A:$BV,2,0)</f>
        <v>#N/A</v>
      </c>
      <c r="D339" s="193" t="e">
        <f>VLOOKUP(C341,Preenchimento!$A:$BV,2,0)</f>
        <v>#N/A</v>
      </c>
      <c r="E339" s="193" t="e">
        <f>VLOOKUP(D341,Preenchimento!$A:$BV,2,0)</f>
        <v>#N/A</v>
      </c>
      <c r="F339" s="194" t="e">
        <f>VLOOKUP(E341,Preenchimento!$A:$BV,2,0)</f>
        <v>#N/A</v>
      </c>
      <c r="G339" s="121" t="s">
        <v>295</v>
      </c>
      <c r="I339" s="193" t="e">
        <f>VLOOKUP(H341,Preenchimento!$A:$BV,2,0)</f>
        <v>#N/A</v>
      </c>
      <c r="J339" s="193" t="e">
        <f>VLOOKUP(I341,Preenchimento!$A:$BV,2,0)</f>
        <v>#N/A</v>
      </c>
      <c r="K339" s="193" t="e">
        <f>VLOOKUP(J341,Preenchimento!$A:$BV,2,0)</f>
        <v>#N/A</v>
      </c>
      <c r="L339" s="194" t="e">
        <f>VLOOKUP(K341,Preenchimento!$A:$BV,2,0)</f>
        <v>#N/A</v>
      </c>
      <c r="M339" s="121" t="s">
        <v>295</v>
      </c>
      <c r="O339" s="193" t="e">
        <f>VLOOKUP(N341,Preenchimento!$A:$BV,2,0)</f>
        <v>#N/A</v>
      </c>
      <c r="P339" s="193" t="e">
        <f>VLOOKUP(O341,Preenchimento!$A:$BV,2,0)</f>
        <v>#N/A</v>
      </c>
      <c r="Q339" s="193" t="e">
        <f>VLOOKUP(P341,Preenchimento!$A:$BV,2,0)</f>
        <v>#N/A</v>
      </c>
      <c r="R339" s="194" t="e">
        <f>VLOOKUP(Q341,Preenchimento!$A:$BV,2,0)</f>
        <v>#N/A</v>
      </c>
      <c r="S339" s="121" t="s">
        <v>295</v>
      </c>
      <c r="U339" s="193" t="e">
        <f>VLOOKUP(T341,Preenchimento!$A:$BV,2,0)</f>
        <v>#N/A</v>
      </c>
      <c r="V339" s="193" t="e">
        <f>VLOOKUP(U341,Preenchimento!$A:$BV,2,0)</f>
        <v>#N/A</v>
      </c>
      <c r="W339" s="193" t="e">
        <f>VLOOKUP(V341,Preenchimento!$A:$BV,2,0)</f>
        <v>#N/A</v>
      </c>
      <c r="X339" s="194" t="e">
        <f>VLOOKUP(W341,Preenchimento!$A:$BV,2,0)</f>
        <v>#N/A</v>
      </c>
    </row>
    <row r="340" spans="1:24" ht="9.75" customHeight="1" x14ac:dyDescent="0.15">
      <c r="A340" s="121" t="s">
        <v>296</v>
      </c>
      <c r="B340" s="193" t="e">
        <f>VLOOKUP(B341,Preenchimento!$A:$BV,3,0)</f>
        <v>#N/A</v>
      </c>
      <c r="C340" s="193" t="e">
        <f>VLOOKUP(C341,Preenchimento!$A:$BV,3,0)</f>
        <v>#N/A</v>
      </c>
      <c r="D340" s="120" t="s">
        <v>297</v>
      </c>
      <c r="E340" s="197" t="e">
        <f>VLOOKUP(B341,Preenchimento!$A:$BV,5,0)</f>
        <v>#N/A</v>
      </c>
      <c r="F340" s="198" t="e">
        <f>VLOOKUP(C341,Preenchimento!$A:$BV,5,0)</f>
        <v>#N/A</v>
      </c>
      <c r="G340" s="121" t="s">
        <v>296</v>
      </c>
      <c r="H340" s="193" t="e">
        <f>VLOOKUP(H341,Preenchimento!$A:$BV,3,0)</f>
        <v>#N/A</v>
      </c>
      <c r="I340" s="193" t="e">
        <f>VLOOKUP(I341,Preenchimento!$A:$BV,3,0)</f>
        <v>#N/A</v>
      </c>
      <c r="J340" s="120" t="s">
        <v>297</v>
      </c>
      <c r="K340" s="197" t="e">
        <f>VLOOKUP(H341,Preenchimento!$A:$BV,5,0)</f>
        <v>#N/A</v>
      </c>
      <c r="L340" s="198" t="e">
        <f>VLOOKUP(I341,Preenchimento!$A:$BV,5,0)</f>
        <v>#N/A</v>
      </c>
      <c r="M340" s="121" t="s">
        <v>296</v>
      </c>
      <c r="N340" s="193" t="e">
        <f>VLOOKUP(N341,Preenchimento!$A:$BV,3,0)</f>
        <v>#N/A</v>
      </c>
      <c r="O340" s="193" t="e">
        <f>VLOOKUP(O341,Preenchimento!$A:$BV,3,0)</f>
        <v>#N/A</v>
      </c>
      <c r="P340" s="120" t="s">
        <v>297</v>
      </c>
      <c r="Q340" s="197" t="e">
        <f>VLOOKUP(N341,Preenchimento!$A:$BV,5,0)</f>
        <v>#N/A</v>
      </c>
      <c r="R340" s="198" t="e">
        <f>VLOOKUP(O341,Preenchimento!$A:$BV,5,0)</f>
        <v>#N/A</v>
      </c>
      <c r="S340" s="121" t="s">
        <v>296</v>
      </c>
      <c r="T340" s="193" t="e">
        <f>VLOOKUP(T341,Preenchimento!$A:$BV,3,0)</f>
        <v>#N/A</v>
      </c>
      <c r="U340" s="193" t="e">
        <f>VLOOKUP(U341,Preenchimento!$A:$BV,3,0)</f>
        <v>#N/A</v>
      </c>
      <c r="V340" s="120" t="s">
        <v>297</v>
      </c>
      <c r="W340" s="197" t="e">
        <f>VLOOKUP(T341,Preenchimento!$A:$BV,5,0)</f>
        <v>#N/A</v>
      </c>
      <c r="X340" s="198" t="e">
        <f>VLOOKUP(U341,Preenchimento!$A:$BV,5,0)</f>
        <v>#N/A</v>
      </c>
    </row>
    <row r="341" spans="1:24" ht="9.75" customHeight="1" x14ac:dyDescent="0.15">
      <c r="A341" s="121" t="s">
        <v>298</v>
      </c>
      <c r="B341" s="193"/>
      <c r="C341" s="193"/>
      <c r="D341" s="120" t="s">
        <v>299</v>
      </c>
      <c r="F341" s="131" t="e">
        <f>VLOOKUP(B341,Preenchimento!$A:$BV,10,0)</f>
        <v>#N/A</v>
      </c>
      <c r="G341" s="121" t="s">
        <v>298</v>
      </c>
      <c r="H341" s="193"/>
      <c r="I341" s="193"/>
      <c r="J341" s="120" t="s">
        <v>299</v>
      </c>
      <c r="L341" s="131" t="e">
        <f>VLOOKUP(H341,Preenchimento!$A:$BV,10,0)</f>
        <v>#N/A</v>
      </c>
      <c r="M341" s="121" t="s">
        <v>298</v>
      </c>
      <c r="N341" s="193"/>
      <c r="O341" s="193"/>
      <c r="P341" s="120" t="s">
        <v>299</v>
      </c>
      <c r="R341" s="131" t="e">
        <f>VLOOKUP(N341,Preenchimento!$A:$BV,10,0)</f>
        <v>#N/A</v>
      </c>
      <c r="S341" s="121" t="s">
        <v>298</v>
      </c>
      <c r="T341" s="193"/>
      <c r="U341" s="193"/>
      <c r="V341" s="120" t="s">
        <v>299</v>
      </c>
      <c r="X341" s="131" t="e">
        <f>VLOOKUP(T341,Preenchimento!$A:$BV,10,0)</f>
        <v>#N/A</v>
      </c>
    </row>
    <row r="342" spans="1:24" ht="9.75" customHeight="1" x14ac:dyDescent="0.15">
      <c r="A342" s="121" t="s">
        <v>300</v>
      </c>
      <c r="C342" s="193" t="e">
        <f>VLOOKUP(B341,Preenchimento!$A:$BV,12,0)</f>
        <v>#N/A</v>
      </c>
      <c r="D342" s="193" t="e">
        <f>VLOOKUP(C341,Preenchimento!$A:$BV,12,0)</f>
        <v>#N/A</v>
      </c>
      <c r="E342" s="193" t="e">
        <f>VLOOKUP(D341,Preenchimento!$A:$BV,12,0)</f>
        <v>#N/A</v>
      </c>
      <c r="F342" s="194" t="e">
        <f>VLOOKUP(E341,Preenchimento!$A:$BV,12,0)</f>
        <v>#N/A</v>
      </c>
      <c r="G342" s="121" t="s">
        <v>300</v>
      </c>
      <c r="I342" s="193" t="e">
        <f>VLOOKUP(H341,Preenchimento!$A:$BV,12,0)</f>
        <v>#N/A</v>
      </c>
      <c r="J342" s="193" t="e">
        <f>VLOOKUP(I341,Preenchimento!$A:$BV,12,0)</f>
        <v>#N/A</v>
      </c>
      <c r="K342" s="193" t="e">
        <f>VLOOKUP(J341,Preenchimento!$A:$BV,12,0)</f>
        <v>#N/A</v>
      </c>
      <c r="L342" s="194" t="e">
        <f>VLOOKUP(K341,Preenchimento!$A:$BV,12,0)</f>
        <v>#N/A</v>
      </c>
      <c r="M342" s="121" t="s">
        <v>300</v>
      </c>
      <c r="O342" s="193" t="e">
        <f>VLOOKUP(N341,Preenchimento!$A:$BV,12,0)</f>
        <v>#N/A</v>
      </c>
      <c r="P342" s="193" t="e">
        <f>VLOOKUP(O341,Preenchimento!$A:$BV,12,0)</f>
        <v>#N/A</v>
      </c>
      <c r="Q342" s="193" t="e">
        <f>VLOOKUP(P341,Preenchimento!$A:$BV,12,0)</f>
        <v>#N/A</v>
      </c>
      <c r="R342" s="194" t="e">
        <f>VLOOKUP(Q341,Preenchimento!$A:$BV,12,0)</f>
        <v>#N/A</v>
      </c>
      <c r="S342" s="121" t="s">
        <v>300</v>
      </c>
      <c r="U342" s="193" t="e">
        <f>VLOOKUP(T341,Preenchimento!$A:$BV,12,0)</f>
        <v>#N/A</v>
      </c>
      <c r="V342" s="193" t="e">
        <f>VLOOKUP(U341,Preenchimento!$A:$BV,12,0)</f>
        <v>#N/A</v>
      </c>
      <c r="W342" s="193" t="e">
        <f>VLOOKUP(V341,Preenchimento!$A:$BV,12,0)</f>
        <v>#N/A</v>
      </c>
      <c r="X342" s="194" t="e">
        <f>VLOOKUP(W341,Preenchimento!$A:$BV,12,0)</f>
        <v>#N/A</v>
      </c>
    </row>
    <row r="343" spans="1:24" ht="9.75" customHeight="1" x14ac:dyDescent="0.15">
      <c r="A343" s="123" t="s">
        <v>301</v>
      </c>
      <c r="B343" s="195" t="e">
        <f>IF(VLOOKUP(B341,Preenchimento!$A:$BV,11,0)=0,"",VLOOKUP(B341,Preenchimento!$A:$BV,11,0))</f>
        <v>#N/A</v>
      </c>
      <c r="C343" s="195"/>
      <c r="D343" s="195"/>
      <c r="E343" s="195"/>
      <c r="F343" s="196"/>
      <c r="G343" s="123" t="s">
        <v>301</v>
      </c>
      <c r="H343" s="195" t="e">
        <f>IF(VLOOKUP(H341,Preenchimento!$A:$BV,11,0)=0,"",VLOOKUP(H341,Preenchimento!$A:$BV,11,0))</f>
        <v>#N/A</v>
      </c>
      <c r="I343" s="195"/>
      <c r="J343" s="195"/>
      <c r="K343" s="195"/>
      <c r="L343" s="196"/>
      <c r="M343" s="123" t="s">
        <v>301</v>
      </c>
      <c r="N343" s="195" t="e">
        <f>IF(VLOOKUP(N341,Preenchimento!$A:$BV,11,0)=0,"",VLOOKUP(N341,Preenchimento!$A:$BV,11,0))</f>
        <v>#N/A</v>
      </c>
      <c r="O343" s="195"/>
      <c r="P343" s="195"/>
      <c r="Q343" s="195"/>
      <c r="R343" s="196"/>
      <c r="S343" s="123" t="s">
        <v>301</v>
      </c>
      <c r="T343" s="195" t="e">
        <f>IF(VLOOKUP(T341,Preenchimento!$A:$BV,11,0)=0,"",VLOOKUP(T341,Preenchimento!$A:$BV,11,0))</f>
        <v>#N/A</v>
      </c>
      <c r="U343" s="195"/>
      <c r="V343" s="195"/>
      <c r="W343" s="195"/>
      <c r="X343" s="196"/>
    </row>
    <row r="344" spans="1:24" s="130" customFormat="1" ht="33.950000000000003" customHeight="1" x14ac:dyDescent="0.25">
      <c r="A344" s="199" t="str">
        <f>Sitio!$A$3</f>
        <v>Projeto 01</v>
      </c>
      <c r="B344" s="200"/>
      <c r="C344" s="200"/>
      <c r="D344" s="200"/>
      <c r="E344" s="200"/>
      <c r="F344" s="201"/>
      <c r="G344" s="199" t="str">
        <f>Sitio!$A$3</f>
        <v>Projeto 01</v>
      </c>
      <c r="H344" s="200"/>
      <c r="I344" s="200"/>
      <c r="J344" s="200"/>
      <c r="K344" s="200"/>
      <c r="L344" s="201"/>
      <c r="M344" s="199" t="str">
        <f>Sitio!$A$3</f>
        <v>Projeto 01</v>
      </c>
      <c r="N344" s="200"/>
      <c r="O344" s="200"/>
      <c r="P344" s="200"/>
      <c r="Q344" s="200"/>
      <c r="R344" s="201"/>
      <c r="S344" s="199" t="str">
        <f>Sitio!$A$3</f>
        <v>Projeto 01</v>
      </c>
      <c r="T344" s="200"/>
      <c r="U344" s="200"/>
      <c r="V344" s="200"/>
      <c r="W344" s="200"/>
      <c r="X344" s="201"/>
    </row>
    <row r="345" spans="1:24" ht="9.75" customHeight="1" x14ac:dyDescent="0.15">
      <c r="A345" s="121" t="s">
        <v>294</v>
      </c>
      <c r="B345" s="193">
        <f>Sitio!$E$3</f>
        <v>0</v>
      </c>
      <c r="C345" s="193"/>
      <c r="D345" s="193"/>
      <c r="E345" s="193"/>
      <c r="F345" s="194"/>
      <c r="G345" s="121" t="s">
        <v>294</v>
      </c>
      <c r="H345" s="193">
        <f>Sitio!$E$3</f>
        <v>0</v>
      </c>
      <c r="I345" s="193"/>
      <c r="J345" s="193"/>
      <c r="K345" s="193"/>
      <c r="L345" s="194"/>
      <c r="M345" s="121" t="s">
        <v>294</v>
      </c>
      <c r="N345" s="193">
        <f>Sitio!$E$3</f>
        <v>0</v>
      </c>
      <c r="O345" s="193"/>
      <c r="P345" s="193"/>
      <c r="Q345" s="193"/>
      <c r="R345" s="194"/>
      <c r="S345" s="121" t="s">
        <v>294</v>
      </c>
      <c r="T345" s="193">
        <f>Sitio!$E$3</f>
        <v>0</v>
      </c>
      <c r="U345" s="193"/>
      <c r="V345" s="193"/>
      <c r="W345" s="193"/>
      <c r="X345" s="194"/>
    </row>
    <row r="346" spans="1:24" ht="9.75" customHeight="1" x14ac:dyDescent="0.15">
      <c r="A346" s="121" t="s">
        <v>295</v>
      </c>
      <c r="C346" s="193" t="e">
        <f>VLOOKUP(B348,Preenchimento!$A:$BV,2,0)</f>
        <v>#N/A</v>
      </c>
      <c r="D346" s="193" t="e">
        <f>VLOOKUP(C348,Preenchimento!$A:$BV,2,0)</f>
        <v>#N/A</v>
      </c>
      <c r="E346" s="193" t="e">
        <f>VLOOKUP(D348,Preenchimento!$A:$BV,2,0)</f>
        <v>#N/A</v>
      </c>
      <c r="F346" s="194" t="e">
        <f>VLOOKUP(E348,Preenchimento!$A:$BV,2,0)</f>
        <v>#N/A</v>
      </c>
      <c r="G346" s="121" t="s">
        <v>295</v>
      </c>
      <c r="I346" s="193" t="e">
        <f>VLOOKUP(H348,Preenchimento!$A:$BV,2,0)</f>
        <v>#N/A</v>
      </c>
      <c r="J346" s="193" t="e">
        <f>VLOOKUP(I348,Preenchimento!$A:$BV,2,0)</f>
        <v>#N/A</v>
      </c>
      <c r="K346" s="193" t="e">
        <f>VLOOKUP(J348,Preenchimento!$A:$BV,2,0)</f>
        <v>#N/A</v>
      </c>
      <c r="L346" s="194" t="e">
        <f>VLOOKUP(K348,Preenchimento!$A:$BV,2,0)</f>
        <v>#N/A</v>
      </c>
      <c r="M346" s="121" t="s">
        <v>295</v>
      </c>
      <c r="O346" s="193" t="e">
        <f>VLOOKUP(N348,Preenchimento!$A:$BV,2,0)</f>
        <v>#N/A</v>
      </c>
      <c r="P346" s="193" t="e">
        <f>VLOOKUP(O348,Preenchimento!$A:$BV,2,0)</f>
        <v>#N/A</v>
      </c>
      <c r="Q346" s="193" t="e">
        <f>VLOOKUP(P348,Preenchimento!$A:$BV,2,0)</f>
        <v>#N/A</v>
      </c>
      <c r="R346" s="194" t="e">
        <f>VLOOKUP(Q348,Preenchimento!$A:$BV,2,0)</f>
        <v>#N/A</v>
      </c>
      <c r="S346" s="121" t="s">
        <v>295</v>
      </c>
      <c r="U346" s="193" t="e">
        <f>VLOOKUP(T348,Preenchimento!$A:$BV,2,0)</f>
        <v>#N/A</v>
      </c>
      <c r="V346" s="193" t="e">
        <f>VLOOKUP(U348,Preenchimento!$A:$BV,2,0)</f>
        <v>#N/A</v>
      </c>
      <c r="W346" s="193" t="e">
        <f>VLOOKUP(V348,Preenchimento!$A:$BV,2,0)</f>
        <v>#N/A</v>
      </c>
      <c r="X346" s="194" t="e">
        <f>VLOOKUP(W348,Preenchimento!$A:$BV,2,0)</f>
        <v>#N/A</v>
      </c>
    </row>
    <row r="347" spans="1:24" ht="9.75" customHeight="1" x14ac:dyDescent="0.15">
      <c r="A347" s="121" t="s">
        <v>296</v>
      </c>
      <c r="B347" s="193" t="e">
        <f>VLOOKUP(B348,Preenchimento!$A:$BV,3,0)</f>
        <v>#N/A</v>
      </c>
      <c r="C347" s="193" t="e">
        <f>VLOOKUP(C348,Preenchimento!$A:$BV,3,0)</f>
        <v>#N/A</v>
      </c>
      <c r="D347" s="120" t="s">
        <v>297</v>
      </c>
      <c r="E347" s="197" t="e">
        <f>VLOOKUP(B348,Preenchimento!$A:$BV,5,0)</f>
        <v>#N/A</v>
      </c>
      <c r="F347" s="198" t="e">
        <f>VLOOKUP(C348,Preenchimento!$A:$BV,5,0)</f>
        <v>#N/A</v>
      </c>
      <c r="G347" s="121" t="s">
        <v>296</v>
      </c>
      <c r="H347" s="193" t="e">
        <f>VLOOKUP(H348,Preenchimento!$A:$BV,3,0)</f>
        <v>#N/A</v>
      </c>
      <c r="I347" s="193" t="e">
        <f>VLOOKUP(I348,Preenchimento!$A:$BV,3,0)</f>
        <v>#N/A</v>
      </c>
      <c r="J347" s="120" t="s">
        <v>297</v>
      </c>
      <c r="K347" s="197" t="e">
        <f>VLOOKUP(H348,Preenchimento!$A:$BV,5,0)</f>
        <v>#N/A</v>
      </c>
      <c r="L347" s="198" t="e">
        <f>VLOOKUP(I348,Preenchimento!$A:$BV,5,0)</f>
        <v>#N/A</v>
      </c>
      <c r="M347" s="121" t="s">
        <v>296</v>
      </c>
      <c r="N347" s="193" t="e">
        <f>VLOOKUP(N348,Preenchimento!$A:$BV,3,0)</f>
        <v>#N/A</v>
      </c>
      <c r="O347" s="193" t="e">
        <f>VLOOKUP(O348,Preenchimento!$A:$BV,3,0)</f>
        <v>#N/A</v>
      </c>
      <c r="P347" s="120" t="s">
        <v>297</v>
      </c>
      <c r="Q347" s="197" t="e">
        <f>VLOOKUP(N348,Preenchimento!$A:$BV,5,0)</f>
        <v>#N/A</v>
      </c>
      <c r="R347" s="198" t="e">
        <f>VLOOKUP(O348,Preenchimento!$A:$BV,5,0)</f>
        <v>#N/A</v>
      </c>
      <c r="S347" s="121" t="s">
        <v>296</v>
      </c>
      <c r="T347" s="193" t="e">
        <f>VLOOKUP(T348,Preenchimento!$A:$BV,3,0)</f>
        <v>#N/A</v>
      </c>
      <c r="U347" s="193" t="e">
        <f>VLOOKUP(U348,Preenchimento!$A:$BV,3,0)</f>
        <v>#N/A</v>
      </c>
      <c r="V347" s="120" t="s">
        <v>297</v>
      </c>
      <c r="W347" s="197" t="e">
        <f>VLOOKUP(T348,Preenchimento!$A:$BV,5,0)</f>
        <v>#N/A</v>
      </c>
      <c r="X347" s="198" t="e">
        <f>VLOOKUP(U348,Preenchimento!$A:$BV,5,0)</f>
        <v>#N/A</v>
      </c>
    </row>
    <row r="348" spans="1:24" ht="9.75" customHeight="1" x14ac:dyDescent="0.15">
      <c r="A348" s="121" t="s">
        <v>298</v>
      </c>
      <c r="B348" s="193"/>
      <c r="C348" s="193"/>
      <c r="D348" s="120" t="s">
        <v>299</v>
      </c>
      <c r="F348" s="131" t="e">
        <f>VLOOKUP(B348,Preenchimento!$A:$BV,10,0)</f>
        <v>#N/A</v>
      </c>
      <c r="G348" s="121" t="s">
        <v>298</v>
      </c>
      <c r="H348" s="193"/>
      <c r="I348" s="193"/>
      <c r="J348" s="120" t="s">
        <v>299</v>
      </c>
      <c r="L348" s="131" t="e">
        <f>VLOOKUP(H348,Preenchimento!$A:$BV,10,0)</f>
        <v>#N/A</v>
      </c>
      <c r="M348" s="121" t="s">
        <v>298</v>
      </c>
      <c r="N348" s="193"/>
      <c r="O348" s="193"/>
      <c r="P348" s="120" t="s">
        <v>299</v>
      </c>
      <c r="R348" s="131" t="e">
        <f>VLOOKUP(N348,Preenchimento!$A:$BV,10,0)</f>
        <v>#N/A</v>
      </c>
      <c r="S348" s="121" t="s">
        <v>298</v>
      </c>
      <c r="T348" s="193"/>
      <c r="U348" s="193"/>
      <c r="V348" s="120" t="s">
        <v>299</v>
      </c>
      <c r="X348" s="131" t="e">
        <f>VLOOKUP(T348,Preenchimento!$A:$BV,10,0)</f>
        <v>#N/A</v>
      </c>
    </row>
    <row r="349" spans="1:24" ht="9.75" customHeight="1" x14ac:dyDescent="0.15">
      <c r="A349" s="121" t="s">
        <v>300</v>
      </c>
      <c r="C349" s="193" t="e">
        <f>VLOOKUP(B348,Preenchimento!$A:$BV,12,0)</f>
        <v>#N/A</v>
      </c>
      <c r="D349" s="193" t="e">
        <f>VLOOKUP(C348,Preenchimento!$A:$BV,12,0)</f>
        <v>#N/A</v>
      </c>
      <c r="E349" s="193" t="e">
        <f>VLOOKUP(D348,Preenchimento!$A:$BV,12,0)</f>
        <v>#N/A</v>
      </c>
      <c r="F349" s="194" t="e">
        <f>VLOOKUP(E348,Preenchimento!$A:$BV,12,0)</f>
        <v>#N/A</v>
      </c>
      <c r="G349" s="121" t="s">
        <v>300</v>
      </c>
      <c r="I349" s="193" t="e">
        <f>VLOOKUP(H348,Preenchimento!$A:$BV,12,0)</f>
        <v>#N/A</v>
      </c>
      <c r="J349" s="193" t="e">
        <f>VLOOKUP(I348,Preenchimento!$A:$BV,12,0)</f>
        <v>#N/A</v>
      </c>
      <c r="K349" s="193" t="e">
        <f>VLOOKUP(J348,Preenchimento!$A:$BV,12,0)</f>
        <v>#N/A</v>
      </c>
      <c r="L349" s="194" t="e">
        <f>VLOOKUP(K348,Preenchimento!$A:$BV,12,0)</f>
        <v>#N/A</v>
      </c>
      <c r="M349" s="121" t="s">
        <v>300</v>
      </c>
      <c r="O349" s="193" t="e">
        <f>VLOOKUP(N348,Preenchimento!$A:$BV,12,0)</f>
        <v>#N/A</v>
      </c>
      <c r="P349" s="193" t="e">
        <f>VLOOKUP(O348,Preenchimento!$A:$BV,12,0)</f>
        <v>#N/A</v>
      </c>
      <c r="Q349" s="193" t="e">
        <f>VLOOKUP(P348,Preenchimento!$A:$BV,12,0)</f>
        <v>#N/A</v>
      </c>
      <c r="R349" s="194" t="e">
        <f>VLOOKUP(Q348,Preenchimento!$A:$BV,12,0)</f>
        <v>#N/A</v>
      </c>
      <c r="S349" s="121" t="s">
        <v>300</v>
      </c>
      <c r="U349" s="193" t="e">
        <f>VLOOKUP(T348,Preenchimento!$A:$BV,12,0)</f>
        <v>#N/A</v>
      </c>
      <c r="V349" s="193" t="e">
        <f>VLOOKUP(U348,Preenchimento!$A:$BV,12,0)</f>
        <v>#N/A</v>
      </c>
      <c r="W349" s="193" t="e">
        <f>VLOOKUP(V348,Preenchimento!$A:$BV,12,0)</f>
        <v>#N/A</v>
      </c>
      <c r="X349" s="194" t="e">
        <f>VLOOKUP(W348,Preenchimento!$A:$BV,12,0)</f>
        <v>#N/A</v>
      </c>
    </row>
    <row r="350" spans="1:24" ht="9.75" customHeight="1" x14ac:dyDescent="0.15">
      <c r="A350" s="123" t="s">
        <v>301</v>
      </c>
      <c r="B350" s="195" t="e">
        <f>IF(VLOOKUP(B348,Preenchimento!$A:$BV,11,0)=0,"",VLOOKUP(B348,Preenchimento!$A:$BV,11,0))</f>
        <v>#N/A</v>
      </c>
      <c r="C350" s="195"/>
      <c r="D350" s="195"/>
      <c r="E350" s="195"/>
      <c r="F350" s="196"/>
      <c r="G350" s="123" t="s">
        <v>301</v>
      </c>
      <c r="H350" s="195" t="e">
        <f>IF(VLOOKUP(H348,Preenchimento!$A:$BV,11,0)=0,"",VLOOKUP(H348,Preenchimento!$A:$BV,11,0))</f>
        <v>#N/A</v>
      </c>
      <c r="I350" s="195"/>
      <c r="J350" s="195"/>
      <c r="K350" s="195"/>
      <c r="L350" s="196"/>
      <c r="M350" s="123" t="s">
        <v>301</v>
      </c>
      <c r="N350" s="195" t="e">
        <f>IF(VLOOKUP(N348,Preenchimento!$A:$BV,11,0)=0,"",VLOOKUP(N348,Preenchimento!$A:$BV,11,0))</f>
        <v>#N/A</v>
      </c>
      <c r="O350" s="195"/>
      <c r="P350" s="195"/>
      <c r="Q350" s="195"/>
      <c r="R350" s="196"/>
      <c r="S350" s="123" t="s">
        <v>301</v>
      </c>
      <c r="T350" s="195" t="e">
        <f>IF(VLOOKUP(T348,Preenchimento!$A:$BV,11,0)=0,"",VLOOKUP(T348,Preenchimento!$A:$BV,11,0))</f>
        <v>#N/A</v>
      </c>
      <c r="U350" s="195"/>
      <c r="V350" s="195"/>
      <c r="W350" s="195"/>
      <c r="X350" s="196"/>
    </row>
    <row r="351" spans="1:24" s="130" customFormat="1" ht="33.950000000000003" customHeight="1" x14ac:dyDescent="0.25">
      <c r="A351" s="199" t="str">
        <f>Sitio!$A$3</f>
        <v>Projeto 01</v>
      </c>
      <c r="B351" s="200"/>
      <c r="C351" s="200"/>
      <c r="D351" s="200"/>
      <c r="E351" s="200"/>
      <c r="F351" s="201"/>
      <c r="G351" s="199" t="str">
        <f>Sitio!$A$3</f>
        <v>Projeto 01</v>
      </c>
      <c r="H351" s="200"/>
      <c r="I351" s="200"/>
      <c r="J351" s="200"/>
      <c r="K351" s="200"/>
      <c r="L351" s="201"/>
      <c r="M351" s="199" t="str">
        <f>Sitio!$A$3</f>
        <v>Projeto 01</v>
      </c>
      <c r="N351" s="200"/>
      <c r="O351" s="200"/>
      <c r="P351" s="200"/>
      <c r="Q351" s="200"/>
      <c r="R351" s="201"/>
      <c r="S351" s="199" t="str">
        <f>Sitio!$A$3</f>
        <v>Projeto 01</v>
      </c>
      <c r="T351" s="200"/>
      <c r="U351" s="200"/>
      <c r="V351" s="200"/>
      <c r="W351" s="200"/>
      <c r="X351" s="201"/>
    </row>
    <row r="352" spans="1:24" ht="9.75" customHeight="1" x14ac:dyDescent="0.15">
      <c r="A352" s="121" t="s">
        <v>294</v>
      </c>
      <c r="B352" s="193">
        <f>Sitio!$E$3</f>
        <v>0</v>
      </c>
      <c r="C352" s="193"/>
      <c r="D352" s="193"/>
      <c r="E352" s="193"/>
      <c r="F352" s="194"/>
      <c r="G352" s="121" t="s">
        <v>294</v>
      </c>
      <c r="H352" s="193">
        <f>Sitio!$E$3</f>
        <v>0</v>
      </c>
      <c r="I352" s="193"/>
      <c r="J352" s="193"/>
      <c r="K352" s="193"/>
      <c r="L352" s="194"/>
      <c r="M352" s="121" t="s">
        <v>294</v>
      </c>
      <c r="N352" s="193">
        <f>Sitio!$E$3</f>
        <v>0</v>
      </c>
      <c r="O352" s="193"/>
      <c r="P352" s="193"/>
      <c r="Q352" s="193"/>
      <c r="R352" s="194"/>
      <c r="S352" s="121" t="s">
        <v>294</v>
      </c>
      <c r="T352" s="193">
        <f>Sitio!$E$3</f>
        <v>0</v>
      </c>
      <c r="U352" s="193"/>
      <c r="V352" s="193"/>
      <c r="W352" s="193"/>
      <c r="X352" s="194"/>
    </row>
    <row r="353" spans="1:24" ht="9.75" customHeight="1" x14ac:dyDescent="0.15">
      <c r="A353" s="121" t="s">
        <v>295</v>
      </c>
      <c r="C353" s="193" t="e">
        <f>VLOOKUP(B355,Preenchimento!$A:$BV,2,0)</f>
        <v>#N/A</v>
      </c>
      <c r="D353" s="193" t="e">
        <f>VLOOKUP(C355,Preenchimento!$A:$BV,2,0)</f>
        <v>#N/A</v>
      </c>
      <c r="E353" s="193" t="e">
        <f>VLOOKUP(D355,Preenchimento!$A:$BV,2,0)</f>
        <v>#N/A</v>
      </c>
      <c r="F353" s="194" t="e">
        <f>VLOOKUP(E355,Preenchimento!$A:$BV,2,0)</f>
        <v>#N/A</v>
      </c>
      <c r="G353" s="121" t="s">
        <v>295</v>
      </c>
      <c r="I353" s="193" t="e">
        <f>VLOOKUP(H355,Preenchimento!$A:$BV,2,0)</f>
        <v>#N/A</v>
      </c>
      <c r="J353" s="193" t="e">
        <f>VLOOKUP(I355,Preenchimento!$A:$BV,2,0)</f>
        <v>#N/A</v>
      </c>
      <c r="K353" s="193" t="e">
        <f>VLOOKUP(J355,Preenchimento!$A:$BV,2,0)</f>
        <v>#N/A</v>
      </c>
      <c r="L353" s="194" t="e">
        <f>VLOOKUP(K355,Preenchimento!$A:$BV,2,0)</f>
        <v>#N/A</v>
      </c>
      <c r="M353" s="121" t="s">
        <v>295</v>
      </c>
      <c r="O353" s="193" t="e">
        <f>VLOOKUP(N355,Preenchimento!$A:$BV,2,0)</f>
        <v>#N/A</v>
      </c>
      <c r="P353" s="193" t="e">
        <f>VLOOKUP(O355,Preenchimento!$A:$BV,2,0)</f>
        <v>#N/A</v>
      </c>
      <c r="Q353" s="193" t="e">
        <f>VLOOKUP(P355,Preenchimento!$A:$BV,2,0)</f>
        <v>#N/A</v>
      </c>
      <c r="R353" s="194" t="e">
        <f>VLOOKUP(Q355,Preenchimento!$A:$BV,2,0)</f>
        <v>#N/A</v>
      </c>
      <c r="S353" s="121" t="s">
        <v>295</v>
      </c>
      <c r="U353" s="193" t="e">
        <f>VLOOKUP(T355,Preenchimento!$A:$BV,2,0)</f>
        <v>#N/A</v>
      </c>
      <c r="V353" s="193" t="e">
        <f>VLOOKUP(U355,Preenchimento!$A:$BV,2,0)</f>
        <v>#N/A</v>
      </c>
      <c r="W353" s="193" t="e">
        <f>VLOOKUP(V355,Preenchimento!$A:$BV,2,0)</f>
        <v>#N/A</v>
      </c>
      <c r="X353" s="194" t="e">
        <f>VLOOKUP(W355,Preenchimento!$A:$BV,2,0)</f>
        <v>#N/A</v>
      </c>
    </row>
    <row r="354" spans="1:24" ht="9.75" customHeight="1" x14ac:dyDescent="0.15">
      <c r="A354" s="121" t="s">
        <v>296</v>
      </c>
      <c r="B354" s="193" t="e">
        <f>VLOOKUP(B355,Preenchimento!$A:$BV,3,0)</f>
        <v>#N/A</v>
      </c>
      <c r="C354" s="193" t="e">
        <f>VLOOKUP(C355,Preenchimento!$A:$BV,3,0)</f>
        <v>#N/A</v>
      </c>
      <c r="D354" s="120" t="s">
        <v>297</v>
      </c>
      <c r="E354" s="197" t="e">
        <f>VLOOKUP(B355,Preenchimento!$A:$BV,5,0)</f>
        <v>#N/A</v>
      </c>
      <c r="F354" s="198" t="e">
        <f>VLOOKUP(C355,Preenchimento!$A:$BV,5,0)</f>
        <v>#N/A</v>
      </c>
      <c r="G354" s="121" t="s">
        <v>296</v>
      </c>
      <c r="H354" s="193" t="e">
        <f>VLOOKUP(H355,Preenchimento!$A:$BV,3,0)</f>
        <v>#N/A</v>
      </c>
      <c r="I354" s="193" t="e">
        <f>VLOOKUP(I355,Preenchimento!$A:$BV,3,0)</f>
        <v>#N/A</v>
      </c>
      <c r="J354" s="120" t="s">
        <v>297</v>
      </c>
      <c r="K354" s="197" t="e">
        <f>VLOOKUP(H355,Preenchimento!$A:$BV,5,0)</f>
        <v>#N/A</v>
      </c>
      <c r="L354" s="198" t="e">
        <f>VLOOKUP(I355,Preenchimento!$A:$BV,5,0)</f>
        <v>#N/A</v>
      </c>
      <c r="M354" s="121" t="s">
        <v>296</v>
      </c>
      <c r="N354" s="193" t="e">
        <f>VLOOKUP(N355,Preenchimento!$A:$BV,3,0)</f>
        <v>#N/A</v>
      </c>
      <c r="O354" s="193" t="e">
        <f>VLOOKUP(O355,Preenchimento!$A:$BV,3,0)</f>
        <v>#N/A</v>
      </c>
      <c r="P354" s="120" t="s">
        <v>297</v>
      </c>
      <c r="Q354" s="197" t="e">
        <f>VLOOKUP(N355,Preenchimento!$A:$BV,5,0)</f>
        <v>#N/A</v>
      </c>
      <c r="R354" s="198" t="e">
        <f>VLOOKUP(O355,Preenchimento!$A:$BV,5,0)</f>
        <v>#N/A</v>
      </c>
      <c r="S354" s="121" t="s">
        <v>296</v>
      </c>
      <c r="T354" s="193" t="e">
        <f>VLOOKUP(T355,Preenchimento!$A:$BV,3,0)</f>
        <v>#N/A</v>
      </c>
      <c r="U354" s="193" t="e">
        <f>VLOOKUP(U355,Preenchimento!$A:$BV,3,0)</f>
        <v>#N/A</v>
      </c>
      <c r="V354" s="120" t="s">
        <v>297</v>
      </c>
      <c r="W354" s="197" t="e">
        <f>VLOOKUP(T355,Preenchimento!$A:$BV,5,0)</f>
        <v>#N/A</v>
      </c>
      <c r="X354" s="198" t="e">
        <f>VLOOKUP(U355,Preenchimento!$A:$BV,5,0)</f>
        <v>#N/A</v>
      </c>
    </row>
    <row r="355" spans="1:24" ht="9.75" customHeight="1" x14ac:dyDescent="0.15">
      <c r="A355" s="121" t="s">
        <v>298</v>
      </c>
      <c r="B355" s="193"/>
      <c r="C355" s="193"/>
      <c r="D355" s="120" t="s">
        <v>299</v>
      </c>
      <c r="F355" s="131" t="e">
        <f>VLOOKUP(B355,Preenchimento!$A:$BV,10,0)</f>
        <v>#N/A</v>
      </c>
      <c r="G355" s="121" t="s">
        <v>298</v>
      </c>
      <c r="H355" s="193"/>
      <c r="I355" s="193"/>
      <c r="J355" s="120" t="s">
        <v>299</v>
      </c>
      <c r="L355" s="131" t="e">
        <f>VLOOKUP(H355,Preenchimento!$A:$BV,10,0)</f>
        <v>#N/A</v>
      </c>
      <c r="M355" s="121" t="s">
        <v>298</v>
      </c>
      <c r="N355" s="193"/>
      <c r="O355" s="193"/>
      <c r="P355" s="120" t="s">
        <v>299</v>
      </c>
      <c r="R355" s="131" t="e">
        <f>VLOOKUP(N355,Preenchimento!$A:$BV,10,0)</f>
        <v>#N/A</v>
      </c>
      <c r="S355" s="121" t="s">
        <v>298</v>
      </c>
      <c r="T355" s="193"/>
      <c r="U355" s="193"/>
      <c r="V355" s="120" t="s">
        <v>299</v>
      </c>
      <c r="X355" s="131" t="e">
        <f>VLOOKUP(T355,Preenchimento!$A:$BV,10,0)</f>
        <v>#N/A</v>
      </c>
    </row>
    <row r="356" spans="1:24" ht="9.75" customHeight="1" x14ac:dyDescent="0.15">
      <c r="A356" s="121" t="s">
        <v>300</v>
      </c>
      <c r="C356" s="193" t="e">
        <f>VLOOKUP(B355,Preenchimento!$A:$BV,12,0)</f>
        <v>#N/A</v>
      </c>
      <c r="D356" s="193" t="e">
        <f>VLOOKUP(C355,Preenchimento!$A:$BV,12,0)</f>
        <v>#N/A</v>
      </c>
      <c r="E356" s="193" t="e">
        <f>VLOOKUP(D355,Preenchimento!$A:$BV,12,0)</f>
        <v>#N/A</v>
      </c>
      <c r="F356" s="194" t="e">
        <f>VLOOKUP(E355,Preenchimento!$A:$BV,12,0)</f>
        <v>#N/A</v>
      </c>
      <c r="G356" s="121" t="s">
        <v>300</v>
      </c>
      <c r="I356" s="193" t="e">
        <f>VLOOKUP(H355,Preenchimento!$A:$BV,12,0)</f>
        <v>#N/A</v>
      </c>
      <c r="J356" s="193" t="e">
        <f>VLOOKUP(I355,Preenchimento!$A:$BV,12,0)</f>
        <v>#N/A</v>
      </c>
      <c r="K356" s="193" t="e">
        <f>VLOOKUP(J355,Preenchimento!$A:$BV,12,0)</f>
        <v>#N/A</v>
      </c>
      <c r="L356" s="194" t="e">
        <f>VLOOKUP(K355,Preenchimento!$A:$BV,12,0)</f>
        <v>#N/A</v>
      </c>
      <c r="M356" s="121" t="s">
        <v>300</v>
      </c>
      <c r="O356" s="193" t="e">
        <f>VLOOKUP(N355,Preenchimento!$A:$BV,12,0)</f>
        <v>#N/A</v>
      </c>
      <c r="P356" s="193" t="e">
        <f>VLOOKUP(O355,Preenchimento!$A:$BV,12,0)</f>
        <v>#N/A</v>
      </c>
      <c r="Q356" s="193" t="e">
        <f>VLOOKUP(P355,Preenchimento!$A:$BV,12,0)</f>
        <v>#N/A</v>
      </c>
      <c r="R356" s="194" t="e">
        <f>VLOOKUP(Q355,Preenchimento!$A:$BV,12,0)</f>
        <v>#N/A</v>
      </c>
      <c r="S356" s="121" t="s">
        <v>300</v>
      </c>
      <c r="U356" s="193" t="e">
        <f>VLOOKUP(T355,Preenchimento!$A:$BV,12,0)</f>
        <v>#N/A</v>
      </c>
      <c r="V356" s="193" t="e">
        <f>VLOOKUP(U355,Preenchimento!$A:$BV,12,0)</f>
        <v>#N/A</v>
      </c>
      <c r="W356" s="193" t="e">
        <f>VLOOKUP(V355,Preenchimento!$A:$BV,12,0)</f>
        <v>#N/A</v>
      </c>
      <c r="X356" s="194" t="e">
        <f>VLOOKUP(W355,Preenchimento!$A:$BV,12,0)</f>
        <v>#N/A</v>
      </c>
    </row>
    <row r="357" spans="1:24" ht="9.75" customHeight="1" x14ac:dyDescent="0.15">
      <c r="A357" s="123" t="s">
        <v>301</v>
      </c>
      <c r="B357" s="195" t="e">
        <f>IF(VLOOKUP(B355,Preenchimento!$A:$BV,11,0)=0,"",VLOOKUP(B355,Preenchimento!$A:$BV,11,0))</f>
        <v>#N/A</v>
      </c>
      <c r="C357" s="195"/>
      <c r="D357" s="195"/>
      <c r="E357" s="195"/>
      <c r="F357" s="196"/>
      <c r="G357" s="123" t="s">
        <v>301</v>
      </c>
      <c r="H357" s="195" t="e">
        <f>IF(VLOOKUP(H355,Preenchimento!$A:$BV,11,0)=0,"",VLOOKUP(H355,Preenchimento!$A:$BV,11,0))</f>
        <v>#N/A</v>
      </c>
      <c r="I357" s="195"/>
      <c r="J357" s="195"/>
      <c r="K357" s="195"/>
      <c r="L357" s="196"/>
      <c r="M357" s="123" t="s">
        <v>301</v>
      </c>
      <c r="N357" s="195" t="e">
        <f>IF(VLOOKUP(N355,Preenchimento!$A:$BV,11,0)=0,"",VLOOKUP(N355,Preenchimento!$A:$BV,11,0))</f>
        <v>#N/A</v>
      </c>
      <c r="O357" s="195"/>
      <c r="P357" s="195"/>
      <c r="Q357" s="195"/>
      <c r="R357" s="196"/>
      <c r="S357" s="123" t="s">
        <v>301</v>
      </c>
      <c r="T357" s="195" t="e">
        <f>IF(VLOOKUP(T355,Preenchimento!$A:$BV,11,0)=0,"",VLOOKUP(T355,Preenchimento!$A:$BV,11,0))</f>
        <v>#N/A</v>
      </c>
      <c r="U357" s="195"/>
      <c r="V357" s="195"/>
      <c r="W357" s="195"/>
      <c r="X357" s="196"/>
    </row>
    <row r="358" spans="1:24" s="130" customFormat="1" ht="33.950000000000003" customHeight="1" x14ac:dyDescent="0.25">
      <c r="A358" s="199" t="str">
        <f>Sitio!$A$3</f>
        <v>Projeto 01</v>
      </c>
      <c r="B358" s="200"/>
      <c r="C358" s="200"/>
      <c r="D358" s="200"/>
      <c r="E358" s="200"/>
      <c r="F358" s="201"/>
      <c r="G358" s="199" t="str">
        <f>Sitio!$A$3</f>
        <v>Projeto 01</v>
      </c>
      <c r="H358" s="200"/>
      <c r="I358" s="200"/>
      <c r="J358" s="200"/>
      <c r="K358" s="200"/>
      <c r="L358" s="201"/>
      <c r="M358" s="199" t="str">
        <f>Sitio!$A$3</f>
        <v>Projeto 01</v>
      </c>
      <c r="N358" s="200"/>
      <c r="O358" s="200"/>
      <c r="P358" s="200"/>
      <c r="Q358" s="200"/>
      <c r="R358" s="201"/>
      <c r="S358" s="199" t="str">
        <f>Sitio!$A$3</f>
        <v>Projeto 01</v>
      </c>
      <c r="T358" s="200"/>
      <c r="U358" s="200"/>
      <c r="V358" s="200"/>
      <c r="W358" s="200"/>
      <c r="X358" s="201"/>
    </row>
    <row r="359" spans="1:24" ht="9.75" customHeight="1" x14ac:dyDescent="0.15">
      <c r="A359" s="121" t="s">
        <v>294</v>
      </c>
      <c r="B359" s="193">
        <f>Sitio!$E$3</f>
        <v>0</v>
      </c>
      <c r="C359" s="193"/>
      <c r="D359" s="193"/>
      <c r="E359" s="193"/>
      <c r="F359" s="194"/>
      <c r="G359" s="121" t="s">
        <v>294</v>
      </c>
      <c r="H359" s="193">
        <f>Sitio!$E$3</f>
        <v>0</v>
      </c>
      <c r="I359" s="193"/>
      <c r="J359" s="193"/>
      <c r="K359" s="193"/>
      <c r="L359" s="194"/>
      <c r="M359" s="121" t="s">
        <v>294</v>
      </c>
      <c r="N359" s="193">
        <f>Sitio!$E$3</f>
        <v>0</v>
      </c>
      <c r="O359" s="193"/>
      <c r="P359" s="193"/>
      <c r="Q359" s="193"/>
      <c r="R359" s="194"/>
      <c r="S359" s="121" t="s">
        <v>294</v>
      </c>
      <c r="T359" s="193">
        <f>Sitio!$E$3</f>
        <v>0</v>
      </c>
      <c r="U359" s="193"/>
      <c r="V359" s="193"/>
      <c r="W359" s="193"/>
      <c r="X359" s="194"/>
    </row>
    <row r="360" spans="1:24" ht="9.75" customHeight="1" x14ac:dyDescent="0.15">
      <c r="A360" s="121" t="s">
        <v>295</v>
      </c>
      <c r="C360" s="193" t="e">
        <f>VLOOKUP(B362,Preenchimento!$A:$BV,2,0)</f>
        <v>#N/A</v>
      </c>
      <c r="D360" s="193" t="e">
        <f>VLOOKUP(C362,Preenchimento!$A:$BV,2,0)</f>
        <v>#N/A</v>
      </c>
      <c r="E360" s="193" t="e">
        <f>VLOOKUP(D362,Preenchimento!$A:$BV,2,0)</f>
        <v>#N/A</v>
      </c>
      <c r="F360" s="194" t="e">
        <f>VLOOKUP(E362,Preenchimento!$A:$BV,2,0)</f>
        <v>#N/A</v>
      </c>
      <c r="G360" s="121" t="s">
        <v>295</v>
      </c>
      <c r="I360" s="193" t="e">
        <f>VLOOKUP(H362,Preenchimento!$A:$BV,2,0)</f>
        <v>#N/A</v>
      </c>
      <c r="J360" s="193" t="e">
        <f>VLOOKUP(I362,Preenchimento!$A:$BV,2,0)</f>
        <v>#N/A</v>
      </c>
      <c r="K360" s="193" t="e">
        <f>VLOOKUP(J362,Preenchimento!$A:$BV,2,0)</f>
        <v>#N/A</v>
      </c>
      <c r="L360" s="194" t="e">
        <f>VLOOKUP(K362,Preenchimento!$A:$BV,2,0)</f>
        <v>#N/A</v>
      </c>
      <c r="M360" s="121" t="s">
        <v>295</v>
      </c>
      <c r="O360" s="193" t="e">
        <f>VLOOKUP(N362,Preenchimento!$A:$BV,2,0)</f>
        <v>#N/A</v>
      </c>
      <c r="P360" s="193" t="e">
        <f>VLOOKUP(O362,Preenchimento!$A:$BV,2,0)</f>
        <v>#N/A</v>
      </c>
      <c r="Q360" s="193" t="e">
        <f>VLOOKUP(P362,Preenchimento!$A:$BV,2,0)</f>
        <v>#N/A</v>
      </c>
      <c r="R360" s="194" t="e">
        <f>VLOOKUP(Q362,Preenchimento!$A:$BV,2,0)</f>
        <v>#N/A</v>
      </c>
      <c r="S360" s="121" t="s">
        <v>295</v>
      </c>
      <c r="U360" s="193" t="e">
        <f>VLOOKUP(T362,Preenchimento!$A:$BV,2,0)</f>
        <v>#N/A</v>
      </c>
      <c r="V360" s="193" t="e">
        <f>VLOOKUP(U362,Preenchimento!$A:$BV,2,0)</f>
        <v>#N/A</v>
      </c>
      <c r="W360" s="193" t="e">
        <f>VLOOKUP(V362,Preenchimento!$A:$BV,2,0)</f>
        <v>#N/A</v>
      </c>
      <c r="X360" s="194" t="e">
        <f>VLOOKUP(W362,Preenchimento!$A:$BV,2,0)</f>
        <v>#N/A</v>
      </c>
    </row>
    <row r="361" spans="1:24" ht="9.75" customHeight="1" x14ac:dyDescent="0.15">
      <c r="A361" s="121" t="s">
        <v>296</v>
      </c>
      <c r="B361" s="193" t="e">
        <f>VLOOKUP(B362,Preenchimento!$A:$BV,3,0)</f>
        <v>#N/A</v>
      </c>
      <c r="C361" s="193" t="e">
        <f>VLOOKUP(C362,Preenchimento!$A:$BV,3,0)</f>
        <v>#N/A</v>
      </c>
      <c r="D361" s="120" t="s">
        <v>297</v>
      </c>
      <c r="E361" s="197" t="e">
        <f>VLOOKUP(B362,Preenchimento!$A:$BV,5,0)</f>
        <v>#N/A</v>
      </c>
      <c r="F361" s="198" t="e">
        <f>VLOOKUP(C362,Preenchimento!$A:$BV,5,0)</f>
        <v>#N/A</v>
      </c>
      <c r="G361" s="121" t="s">
        <v>296</v>
      </c>
      <c r="H361" s="193" t="e">
        <f>VLOOKUP(H362,Preenchimento!$A:$BV,3,0)</f>
        <v>#N/A</v>
      </c>
      <c r="I361" s="193" t="e">
        <f>VLOOKUP(I362,Preenchimento!$A:$BV,3,0)</f>
        <v>#N/A</v>
      </c>
      <c r="J361" s="120" t="s">
        <v>297</v>
      </c>
      <c r="K361" s="197" t="e">
        <f>VLOOKUP(H362,Preenchimento!$A:$BV,5,0)</f>
        <v>#N/A</v>
      </c>
      <c r="L361" s="198" t="e">
        <f>VLOOKUP(I362,Preenchimento!$A:$BV,5,0)</f>
        <v>#N/A</v>
      </c>
      <c r="M361" s="121" t="s">
        <v>296</v>
      </c>
      <c r="N361" s="193" t="e">
        <f>VLOOKUP(N362,Preenchimento!$A:$BV,3,0)</f>
        <v>#N/A</v>
      </c>
      <c r="O361" s="193" t="e">
        <f>VLOOKUP(O362,Preenchimento!$A:$BV,3,0)</f>
        <v>#N/A</v>
      </c>
      <c r="P361" s="120" t="s">
        <v>297</v>
      </c>
      <c r="Q361" s="197" t="e">
        <f>VLOOKUP(N362,Preenchimento!$A:$BV,5,0)</f>
        <v>#N/A</v>
      </c>
      <c r="R361" s="198" t="e">
        <f>VLOOKUP(O362,Preenchimento!$A:$BV,5,0)</f>
        <v>#N/A</v>
      </c>
      <c r="S361" s="121" t="s">
        <v>296</v>
      </c>
      <c r="T361" s="193" t="e">
        <f>VLOOKUP(T362,Preenchimento!$A:$BV,3,0)</f>
        <v>#N/A</v>
      </c>
      <c r="U361" s="193" t="e">
        <f>VLOOKUP(U362,Preenchimento!$A:$BV,3,0)</f>
        <v>#N/A</v>
      </c>
      <c r="V361" s="120" t="s">
        <v>297</v>
      </c>
      <c r="W361" s="197" t="e">
        <f>VLOOKUP(T362,Preenchimento!$A:$BV,5,0)</f>
        <v>#N/A</v>
      </c>
      <c r="X361" s="198" t="e">
        <f>VLOOKUP(U362,Preenchimento!$A:$BV,5,0)</f>
        <v>#N/A</v>
      </c>
    </row>
    <row r="362" spans="1:24" ht="9.75" customHeight="1" x14ac:dyDescent="0.15">
      <c r="A362" s="121" t="s">
        <v>298</v>
      </c>
      <c r="B362" s="193"/>
      <c r="C362" s="193"/>
      <c r="D362" s="120" t="s">
        <v>299</v>
      </c>
      <c r="F362" s="131" t="e">
        <f>VLOOKUP(B362,Preenchimento!$A:$BV,10,0)</f>
        <v>#N/A</v>
      </c>
      <c r="G362" s="121" t="s">
        <v>298</v>
      </c>
      <c r="H362" s="193"/>
      <c r="I362" s="193"/>
      <c r="J362" s="120" t="s">
        <v>299</v>
      </c>
      <c r="L362" s="131" t="e">
        <f>VLOOKUP(H362,Preenchimento!$A:$BV,10,0)</f>
        <v>#N/A</v>
      </c>
      <c r="M362" s="121" t="s">
        <v>298</v>
      </c>
      <c r="N362" s="193"/>
      <c r="O362" s="193"/>
      <c r="P362" s="120" t="s">
        <v>299</v>
      </c>
      <c r="R362" s="131" t="e">
        <f>VLOOKUP(N362,Preenchimento!$A:$BV,10,0)</f>
        <v>#N/A</v>
      </c>
      <c r="S362" s="121" t="s">
        <v>298</v>
      </c>
      <c r="T362" s="193"/>
      <c r="U362" s="193"/>
      <c r="V362" s="120" t="s">
        <v>299</v>
      </c>
      <c r="X362" s="131" t="e">
        <f>VLOOKUP(T362,Preenchimento!$A:$BV,10,0)</f>
        <v>#N/A</v>
      </c>
    </row>
    <row r="363" spans="1:24" ht="9.75" customHeight="1" x14ac:dyDescent="0.15">
      <c r="A363" s="121" t="s">
        <v>300</v>
      </c>
      <c r="C363" s="193" t="e">
        <f>VLOOKUP(B362,Preenchimento!$A:$BV,12,0)</f>
        <v>#N/A</v>
      </c>
      <c r="D363" s="193" t="e">
        <f>VLOOKUP(C362,Preenchimento!$A:$BV,12,0)</f>
        <v>#N/A</v>
      </c>
      <c r="E363" s="193" t="e">
        <f>VLOOKUP(D362,Preenchimento!$A:$BV,12,0)</f>
        <v>#N/A</v>
      </c>
      <c r="F363" s="194" t="e">
        <f>VLOOKUP(E362,Preenchimento!$A:$BV,12,0)</f>
        <v>#N/A</v>
      </c>
      <c r="G363" s="121" t="s">
        <v>300</v>
      </c>
      <c r="I363" s="193" t="e">
        <f>VLOOKUP(H362,Preenchimento!$A:$BV,12,0)</f>
        <v>#N/A</v>
      </c>
      <c r="J363" s="193" t="e">
        <f>VLOOKUP(I362,Preenchimento!$A:$BV,12,0)</f>
        <v>#N/A</v>
      </c>
      <c r="K363" s="193" t="e">
        <f>VLOOKUP(J362,Preenchimento!$A:$BV,12,0)</f>
        <v>#N/A</v>
      </c>
      <c r="L363" s="194" t="e">
        <f>VLOOKUP(K362,Preenchimento!$A:$BV,12,0)</f>
        <v>#N/A</v>
      </c>
      <c r="M363" s="121" t="s">
        <v>300</v>
      </c>
      <c r="O363" s="193" t="e">
        <f>VLOOKUP(N362,Preenchimento!$A:$BV,12,0)</f>
        <v>#N/A</v>
      </c>
      <c r="P363" s="193" t="e">
        <f>VLOOKUP(O362,Preenchimento!$A:$BV,12,0)</f>
        <v>#N/A</v>
      </c>
      <c r="Q363" s="193" t="e">
        <f>VLOOKUP(P362,Preenchimento!$A:$BV,12,0)</f>
        <v>#N/A</v>
      </c>
      <c r="R363" s="194" t="e">
        <f>VLOOKUP(Q362,Preenchimento!$A:$BV,12,0)</f>
        <v>#N/A</v>
      </c>
      <c r="S363" s="121" t="s">
        <v>300</v>
      </c>
      <c r="U363" s="193" t="e">
        <f>VLOOKUP(T362,Preenchimento!$A:$BV,12,0)</f>
        <v>#N/A</v>
      </c>
      <c r="V363" s="193" t="e">
        <f>VLOOKUP(U362,Preenchimento!$A:$BV,12,0)</f>
        <v>#N/A</v>
      </c>
      <c r="W363" s="193" t="e">
        <f>VLOOKUP(V362,Preenchimento!$A:$BV,12,0)</f>
        <v>#N/A</v>
      </c>
      <c r="X363" s="194" t="e">
        <f>VLOOKUP(W362,Preenchimento!$A:$BV,12,0)</f>
        <v>#N/A</v>
      </c>
    </row>
    <row r="364" spans="1:24" ht="9.75" customHeight="1" x14ac:dyDescent="0.15">
      <c r="A364" s="123" t="s">
        <v>301</v>
      </c>
      <c r="B364" s="195" t="e">
        <f>IF(VLOOKUP(B362,Preenchimento!$A:$BV,11,0)=0,"",VLOOKUP(B362,Preenchimento!$A:$BV,11,0))</f>
        <v>#N/A</v>
      </c>
      <c r="C364" s="195"/>
      <c r="D364" s="195"/>
      <c r="E364" s="195"/>
      <c r="F364" s="196"/>
      <c r="G364" s="123" t="s">
        <v>301</v>
      </c>
      <c r="H364" s="195" t="e">
        <f>IF(VLOOKUP(H362,Preenchimento!$A:$BV,11,0)=0,"",VLOOKUP(H362,Preenchimento!$A:$BV,11,0))</f>
        <v>#N/A</v>
      </c>
      <c r="I364" s="195"/>
      <c r="J364" s="195"/>
      <c r="K364" s="195"/>
      <c r="L364" s="196"/>
      <c r="M364" s="123" t="s">
        <v>301</v>
      </c>
      <c r="N364" s="195" t="e">
        <f>IF(VLOOKUP(N362,Preenchimento!$A:$BV,11,0)=0,"",VLOOKUP(N362,Preenchimento!$A:$BV,11,0))</f>
        <v>#N/A</v>
      </c>
      <c r="O364" s="195"/>
      <c r="P364" s="195"/>
      <c r="Q364" s="195"/>
      <c r="R364" s="196"/>
      <c r="S364" s="123" t="s">
        <v>301</v>
      </c>
      <c r="T364" s="195" t="e">
        <f>IF(VLOOKUP(T362,Preenchimento!$A:$BV,11,0)=0,"",VLOOKUP(T362,Preenchimento!$A:$BV,11,0))</f>
        <v>#N/A</v>
      </c>
      <c r="U364" s="195"/>
      <c r="V364" s="195"/>
      <c r="W364" s="195"/>
      <c r="X364" s="196"/>
    </row>
    <row r="365" spans="1:24" s="130" customFormat="1" ht="33.950000000000003" customHeight="1" x14ac:dyDescent="0.25">
      <c r="A365" s="199" t="str">
        <f>Sitio!$A$3</f>
        <v>Projeto 01</v>
      </c>
      <c r="B365" s="200"/>
      <c r="C365" s="200"/>
      <c r="D365" s="200"/>
      <c r="E365" s="200"/>
      <c r="F365" s="201"/>
      <c r="G365" s="199" t="str">
        <f>Sitio!$A$3</f>
        <v>Projeto 01</v>
      </c>
      <c r="H365" s="200"/>
      <c r="I365" s="200"/>
      <c r="J365" s="200"/>
      <c r="K365" s="200"/>
      <c r="L365" s="201"/>
      <c r="M365" s="199" t="str">
        <f>Sitio!$A$3</f>
        <v>Projeto 01</v>
      </c>
      <c r="N365" s="200"/>
      <c r="O365" s="200"/>
      <c r="P365" s="200"/>
      <c r="Q365" s="200"/>
      <c r="R365" s="201"/>
      <c r="S365" s="199" t="str">
        <f>Sitio!$A$3</f>
        <v>Projeto 01</v>
      </c>
      <c r="T365" s="200"/>
      <c r="U365" s="200"/>
      <c r="V365" s="200"/>
      <c r="W365" s="200"/>
      <c r="X365" s="201"/>
    </row>
    <row r="366" spans="1:24" ht="9.75" customHeight="1" x14ac:dyDescent="0.15">
      <c r="A366" s="121" t="s">
        <v>294</v>
      </c>
      <c r="B366" s="193">
        <f>Sitio!$E$3</f>
        <v>0</v>
      </c>
      <c r="C366" s="193"/>
      <c r="D366" s="193"/>
      <c r="E366" s="193"/>
      <c r="F366" s="194"/>
      <c r="G366" s="121" t="s">
        <v>294</v>
      </c>
      <c r="H366" s="193">
        <f>Sitio!$E$3</f>
        <v>0</v>
      </c>
      <c r="I366" s="193"/>
      <c r="J366" s="193"/>
      <c r="K366" s="193"/>
      <c r="L366" s="194"/>
      <c r="M366" s="121" t="s">
        <v>294</v>
      </c>
      <c r="N366" s="193">
        <f>Sitio!$E$3</f>
        <v>0</v>
      </c>
      <c r="O366" s="193"/>
      <c r="P366" s="193"/>
      <c r="Q366" s="193"/>
      <c r="R366" s="194"/>
      <c r="S366" s="121" t="s">
        <v>294</v>
      </c>
      <c r="T366" s="193">
        <f>Sitio!$E$3</f>
        <v>0</v>
      </c>
      <c r="U366" s="193"/>
      <c r="V366" s="193"/>
      <c r="W366" s="193"/>
      <c r="X366" s="194"/>
    </row>
    <row r="367" spans="1:24" ht="9.75" customHeight="1" x14ac:dyDescent="0.15">
      <c r="A367" s="121" t="s">
        <v>295</v>
      </c>
      <c r="C367" s="193" t="e">
        <f>VLOOKUP(B369,Preenchimento!$A:$BV,2,0)</f>
        <v>#N/A</v>
      </c>
      <c r="D367" s="193" t="e">
        <f>VLOOKUP(C369,Preenchimento!$A:$BV,2,0)</f>
        <v>#N/A</v>
      </c>
      <c r="E367" s="193" t="e">
        <f>VLOOKUP(D369,Preenchimento!$A:$BV,2,0)</f>
        <v>#N/A</v>
      </c>
      <c r="F367" s="194" t="e">
        <f>VLOOKUP(E369,Preenchimento!$A:$BV,2,0)</f>
        <v>#N/A</v>
      </c>
      <c r="G367" s="121" t="s">
        <v>295</v>
      </c>
      <c r="I367" s="193" t="e">
        <f>VLOOKUP(H369,Preenchimento!$A:$BV,2,0)</f>
        <v>#N/A</v>
      </c>
      <c r="J367" s="193" t="e">
        <f>VLOOKUP(I369,Preenchimento!$A:$BV,2,0)</f>
        <v>#N/A</v>
      </c>
      <c r="K367" s="193" t="e">
        <f>VLOOKUP(J369,Preenchimento!$A:$BV,2,0)</f>
        <v>#N/A</v>
      </c>
      <c r="L367" s="194" t="e">
        <f>VLOOKUP(K369,Preenchimento!$A:$BV,2,0)</f>
        <v>#N/A</v>
      </c>
      <c r="M367" s="121" t="s">
        <v>295</v>
      </c>
      <c r="O367" s="193" t="e">
        <f>VLOOKUP(N369,Preenchimento!$A:$BV,2,0)</f>
        <v>#N/A</v>
      </c>
      <c r="P367" s="193" t="e">
        <f>VLOOKUP(O369,Preenchimento!$A:$BV,2,0)</f>
        <v>#N/A</v>
      </c>
      <c r="Q367" s="193" t="e">
        <f>VLOOKUP(P369,Preenchimento!$A:$BV,2,0)</f>
        <v>#N/A</v>
      </c>
      <c r="R367" s="194" t="e">
        <f>VLOOKUP(Q369,Preenchimento!$A:$BV,2,0)</f>
        <v>#N/A</v>
      </c>
      <c r="S367" s="121" t="s">
        <v>295</v>
      </c>
      <c r="U367" s="193" t="e">
        <f>VLOOKUP(T369,Preenchimento!$A:$BV,2,0)</f>
        <v>#N/A</v>
      </c>
      <c r="V367" s="193" t="e">
        <f>VLOOKUP(U369,Preenchimento!$A:$BV,2,0)</f>
        <v>#N/A</v>
      </c>
      <c r="W367" s="193" t="e">
        <f>VLOOKUP(V369,Preenchimento!$A:$BV,2,0)</f>
        <v>#N/A</v>
      </c>
      <c r="X367" s="194" t="e">
        <f>VLOOKUP(W369,Preenchimento!$A:$BV,2,0)</f>
        <v>#N/A</v>
      </c>
    </row>
    <row r="368" spans="1:24" ht="9.75" customHeight="1" x14ac:dyDescent="0.15">
      <c r="A368" s="121" t="s">
        <v>296</v>
      </c>
      <c r="B368" s="193" t="e">
        <f>VLOOKUP(B369,Preenchimento!$A:$BV,3,0)</f>
        <v>#N/A</v>
      </c>
      <c r="C368" s="193" t="e">
        <f>VLOOKUP(C369,Preenchimento!$A:$BV,3,0)</f>
        <v>#N/A</v>
      </c>
      <c r="D368" s="120" t="s">
        <v>297</v>
      </c>
      <c r="E368" s="197" t="e">
        <f>VLOOKUP(B369,Preenchimento!$A:$BV,5,0)</f>
        <v>#N/A</v>
      </c>
      <c r="F368" s="198" t="e">
        <f>VLOOKUP(C369,Preenchimento!$A:$BV,5,0)</f>
        <v>#N/A</v>
      </c>
      <c r="G368" s="121" t="s">
        <v>296</v>
      </c>
      <c r="H368" s="193" t="e">
        <f>VLOOKUP(H369,Preenchimento!$A:$BV,3,0)</f>
        <v>#N/A</v>
      </c>
      <c r="I368" s="193" t="e">
        <f>VLOOKUP(I369,Preenchimento!$A:$BV,3,0)</f>
        <v>#N/A</v>
      </c>
      <c r="J368" s="120" t="s">
        <v>297</v>
      </c>
      <c r="K368" s="197" t="e">
        <f>VLOOKUP(H369,Preenchimento!$A:$BV,5,0)</f>
        <v>#N/A</v>
      </c>
      <c r="L368" s="198" t="e">
        <f>VLOOKUP(I369,Preenchimento!$A:$BV,5,0)</f>
        <v>#N/A</v>
      </c>
      <c r="M368" s="121" t="s">
        <v>296</v>
      </c>
      <c r="N368" s="193" t="e">
        <f>VLOOKUP(N369,Preenchimento!$A:$BV,3,0)</f>
        <v>#N/A</v>
      </c>
      <c r="O368" s="193" t="e">
        <f>VLOOKUP(O369,Preenchimento!$A:$BV,3,0)</f>
        <v>#N/A</v>
      </c>
      <c r="P368" s="120" t="s">
        <v>297</v>
      </c>
      <c r="Q368" s="197" t="e">
        <f>VLOOKUP(N369,Preenchimento!$A:$BV,5,0)</f>
        <v>#N/A</v>
      </c>
      <c r="R368" s="198" t="e">
        <f>VLOOKUP(O369,Preenchimento!$A:$BV,5,0)</f>
        <v>#N/A</v>
      </c>
      <c r="S368" s="121" t="s">
        <v>296</v>
      </c>
      <c r="T368" s="193" t="e">
        <f>VLOOKUP(T369,Preenchimento!$A:$BV,3,0)</f>
        <v>#N/A</v>
      </c>
      <c r="U368" s="193" t="e">
        <f>VLOOKUP(U369,Preenchimento!$A:$BV,3,0)</f>
        <v>#N/A</v>
      </c>
      <c r="V368" s="120" t="s">
        <v>297</v>
      </c>
      <c r="W368" s="197" t="e">
        <f>VLOOKUP(T369,Preenchimento!$A:$BV,5,0)</f>
        <v>#N/A</v>
      </c>
      <c r="X368" s="198" t="e">
        <f>VLOOKUP(U369,Preenchimento!$A:$BV,5,0)</f>
        <v>#N/A</v>
      </c>
    </row>
    <row r="369" spans="1:24" ht="9.75" customHeight="1" x14ac:dyDescent="0.15">
      <c r="A369" s="121" t="s">
        <v>298</v>
      </c>
      <c r="B369" s="193"/>
      <c r="C369" s="193"/>
      <c r="D369" s="120" t="s">
        <v>299</v>
      </c>
      <c r="F369" s="131" t="e">
        <f>VLOOKUP(B369,Preenchimento!$A:$BV,10,0)</f>
        <v>#N/A</v>
      </c>
      <c r="G369" s="121" t="s">
        <v>298</v>
      </c>
      <c r="H369" s="193"/>
      <c r="I369" s="193"/>
      <c r="J369" s="120" t="s">
        <v>299</v>
      </c>
      <c r="L369" s="131" t="e">
        <f>VLOOKUP(H369,Preenchimento!$A:$BV,10,0)</f>
        <v>#N/A</v>
      </c>
      <c r="M369" s="121" t="s">
        <v>298</v>
      </c>
      <c r="N369" s="193"/>
      <c r="O369" s="193"/>
      <c r="P369" s="120" t="s">
        <v>299</v>
      </c>
      <c r="R369" s="131" t="e">
        <f>VLOOKUP(N369,Preenchimento!$A:$BV,10,0)</f>
        <v>#N/A</v>
      </c>
      <c r="S369" s="121" t="s">
        <v>298</v>
      </c>
      <c r="T369" s="193"/>
      <c r="U369" s="193"/>
      <c r="V369" s="120" t="s">
        <v>299</v>
      </c>
      <c r="X369" s="131" t="e">
        <f>VLOOKUP(T369,Preenchimento!$A:$BV,10,0)</f>
        <v>#N/A</v>
      </c>
    </row>
    <row r="370" spans="1:24" ht="9.75" customHeight="1" x14ac:dyDescent="0.15">
      <c r="A370" s="121" t="s">
        <v>300</v>
      </c>
      <c r="C370" s="193" t="e">
        <f>VLOOKUP(B369,Preenchimento!$A:$BV,12,0)</f>
        <v>#N/A</v>
      </c>
      <c r="D370" s="193" t="e">
        <f>VLOOKUP(C369,Preenchimento!$A:$BV,12,0)</f>
        <v>#N/A</v>
      </c>
      <c r="E370" s="193" t="e">
        <f>VLOOKUP(D369,Preenchimento!$A:$BV,12,0)</f>
        <v>#N/A</v>
      </c>
      <c r="F370" s="194" t="e">
        <f>VLOOKUP(E369,Preenchimento!$A:$BV,12,0)</f>
        <v>#N/A</v>
      </c>
      <c r="G370" s="121" t="s">
        <v>300</v>
      </c>
      <c r="I370" s="193" t="e">
        <f>VLOOKUP(H369,Preenchimento!$A:$BV,12,0)</f>
        <v>#N/A</v>
      </c>
      <c r="J370" s="193" t="e">
        <f>VLOOKUP(I369,Preenchimento!$A:$BV,12,0)</f>
        <v>#N/A</v>
      </c>
      <c r="K370" s="193" t="e">
        <f>VLOOKUP(J369,Preenchimento!$A:$BV,12,0)</f>
        <v>#N/A</v>
      </c>
      <c r="L370" s="194" t="e">
        <f>VLOOKUP(K369,Preenchimento!$A:$BV,12,0)</f>
        <v>#N/A</v>
      </c>
      <c r="M370" s="121" t="s">
        <v>300</v>
      </c>
      <c r="O370" s="193" t="e">
        <f>VLOOKUP(N369,Preenchimento!$A:$BV,12,0)</f>
        <v>#N/A</v>
      </c>
      <c r="P370" s="193" t="e">
        <f>VLOOKUP(O369,Preenchimento!$A:$BV,12,0)</f>
        <v>#N/A</v>
      </c>
      <c r="Q370" s="193" t="e">
        <f>VLOOKUP(P369,Preenchimento!$A:$BV,12,0)</f>
        <v>#N/A</v>
      </c>
      <c r="R370" s="194" t="e">
        <f>VLOOKUP(Q369,Preenchimento!$A:$BV,12,0)</f>
        <v>#N/A</v>
      </c>
      <c r="S370" s="121" t="s">
        <v>300</v>
      </c>
      <c r="U370" s="193" t="e">
        <f>VLOOKUP(T369,Preenchimento!$A:$BV,12,0)</f>
        <v>#N/A</v>
      </c>
      <c r="V370" s="193" t="e">
        <f>VLOOKUP(U369,Preenchimento!$A:$BV,12,0)</f>
        <v>#N/A</v>
      </c>
      <c r="W370" s="193" t="e">
        <f>VLOOKUP(V369,Preenchimento!$A:$BV,12,0)</f>
        <v>#N/A</v>
      </c>
      <c r="X370" s="194" t="e">
        <f>VLOOKUP(W369,Preenchimento!$A:$BV,12,0)</f>
        <v>#N/A</v>
      </c>
    </row>
    <row r="371" spans="1:24" ht="9.75" customHeight="1" x14ac:dyDescent="0.15">
      <c r="A371" s="123" t="s">
        <v>301</v>
      </c>
      <c r="B371" s="195" t="e">
        <f>IF(VLOOKUP(B369,Preenchimento!$A:$BV,11,0)=0,"",VLOOKUP(B369,Preenchimento!$A:$BV,11,0))</f>
        <v>#N/A</v>
      </c>
      <c r="C371" s="195"/>
      <c r="D371" s="195"/>
      <c r="E371" s="195"/>
      <c r="F371" s="196"/>
      <c r="G371" s="123" t="s">
        <v>301</v>
      </c>
      <c r="H371" s="195" t="e">
        <f>IF(VLOOKUP(H369,Preenchimento!$A:$BV,11,0)=0,"",VLOOKUP(H369,Preenchimento!$A:$BV,11,0))</f>
        <v>#N/A</v>
      </c>
      <c r="I371" s="195"/>
      <c r="J371" s="195"/>
      <c r="K371" s="195"/>
      <c r="L371" s="196"/>
      <c r="M371" s="123" t="s">
        <v>301</v>
      </c>
      <c r="N371" s="195" t="e">
        <f>IF(VLOOKUP(N369,Preenchimento!$A:$BV,11,0)=0,"",VLOOKUP(N369,Preenchimento!$A:$BV,11,0))</f>
        <v>#N/A</v>
      </c>
      <c r="O371" s="195"/>
      <c r="P371" s="195"/>
      <c r="Q371" s="195"/>
      <c r="R371" s="196"/>
      <c r="S371" s="123" t="s">
        <v>301</v>
      </c>
      <c r="T371" s="195" t="e">
        <f>IF(VLOOKUP(T369,Preenchimento!$A:$BV,11,0)=0,"",VLOOKUP(T369,Preenchimento!$A:$BV,11,0))</f>
        <v>#N/A</v>
      </c>
      <c r="U371" s="195"/>
      <c r="V371" s="195"/>
      <c r="W371" s="195"/>
      <c r="X371" s="196"/>
    </row>
    <row r="372" spans="1:24" s="130" customFormat="1" ht="33.950000000000003" customHeight="1" x14ac:dyDescent="0.25">
      <c r="A372" s="199" t="str">
        <f>Sitio!$A$3</f>
        <v>Projeto 01</v>
      </c>
      <c r="B372" s="200"/>
      <c r="C372" s="200"/>
      <c r="D372" s="200"/>
      <c r="E372" s="200"/>
      <c r="F372" s="201"/>
      <c r="G372" s="199" t="str">
        <f>Sitio!$A$3</f>
        <v>Projeto 01</v>
      </c>
      <c r="H372" s="200"/>
      <c r="I372" s="200"/>
      <c r="J372" s="200"/>
      <c r="K372" s="200"/>
      <c r="L372" s="201"/>
      <c r="M372" s="199" t="str">
        <f>Sitio!$A$3</f>
        <v>Projeto 01</v>
      </c>
      <c r="N372" s="200"/>
      <c r="O372" s="200"/>
      <c r="P372" s="200"/>
      <c r="Q372" s="200"/>
      <c r="R372" s="201"/>
      <c r="S372" s="199" t="str">
        <f>Sitio!$A$3</f>
        <v>Projeto 01</v>
      </c>
      <c r="T372" s="200"/>
      <c r="U372" s="200"/>
      <c r="V372" s="200"/>
      <c r="W372" s="200"/>
      <c r="X372" s="201"/>
    </row>
    <row r="373" spans="1:24" ht="9.75" customHeight="1" x14ac:dyDescent="0.15">
      <c r="A373" s="121" t="s">
        <v>294</v>
      </c>
      <c r="B373" s="193">
        <f>Sitio!$E$3</f>
        <v>0</v>
      </c>
      <c r="C373" s="193"/>
      <c r="D373" s="193"/>
      <c r="E373" s="193"/>
      <c r="F373" s="194"/>
      <c r="G373" s="121" t="s">
        <v>294</v>
      </c>
      <c r="H373" s="193">
        <f>Sitio!$E$3</f>
        <v>0</v>
      </c>
      <c r="I373" s="193"/>
      <c r="J373" s="193"/>
      <c r="K373" s="193"/>
      <c r="L373" s="194"/>
      <c r="M373" s="121" t="s">
        <v>294</v>
      </c>
      <c r="N373" s="193">
        <f>Sitio!$E$3</f>
        <v>0</v>
      </c>
      <c r="O373" s="193"/>
      <c r="P373" s="193"/>
      <c r="Q373" s="193"/>
      <c r="R373" s="194"/>
      <c r="S373" s="121" t="s">
        <v>294</v>
      </c>
      <c r="T373" s="193">
        <f>Sitio!$E$3</f>
        <v>0</v>
      </c>
      <c r="U373" s="193"/>
      <c r="V373" s="193"/>
      <c r="W373" s="193"/>
      <c r="X373" s="194"/>
    </row>
    <row r="374" spans="1:24" ht="9.75" customHeight="1" x14ac:dyDescent="0.15">
      <c r="A374" s="121" t="s">
        <v>295</v>
      </c>
      <c r="C374" s="193" t="e">
        <f>VLOOKUP(B376,Preenchimento!$A:$BV,2,0)</f>
        <v>#N/A</v>
      </c>
      <c r="D374" s="193" t="e">
        <f>VLOOKUP(C376,Preenchimento!$A:$BV,2,0)</f>
        <v>#N/A</v>
      </c>
      <c r="E374" s="193" t="e">
        <f>VLOOKUP(D376,Preenchimento!$A:$BV,2,0)</f>
        <v>#N/A</v>
      </c>
      <c r="F374" s="194" t="e">
        <f>VLOOKUP(E376,Preenchimento!$A:$BV,2,0)</f>
        <v>#N/A</v>
      </c>
      <c r="G374" s="121" t="s">
        <v>295</v>
      </c>
      <c r="I374" s="193" t="e">
        <f>VLOOKUP(H376,Preenchimento!$A:$BV,2,0)</f>
        <v>#N/A</v>
      </c>
      <c r="J374" s="193" t="e">
        <f>VLOOKUP(I376,Preenchimento!$A:$BV,2,0)</f>
        <v>#N/A</v>
      </c>
      <c r="K374" s="193" t="e">
        <f>VLOOKUP(J376,Preenchimento!$A:$BV,2,0)</f>
        <v>#N/A</v>
      </c>
      <c r="L374" s="194" t="e">
        <f>VLOOKUP(K376,Preenchimento!$A:$BV,2,0)</f>
        <v>#N/A</v>
      </c>
      <c r="M374" s="121" t="s">
        <v>295</v>
      </c>
      <c r="O374" s="193" t="e">
        <f>VLOOKUP(N376,Preenchimento!$A:$BV,2,0)</f>
        <v>#N/A</v>
      </c>
      <c r="P374" s="193" t="e">
        <f>VLOOKUP(O376,Preenchimento!$A:$BV,2,0)</f>
        <v>#N/A</v>
      </c>
      <c r="Q374" s="193" t="e">
        <f>VLOOKUP(P376,Preenchimento!$A:$BV,2,0)</f>
        <v>#N/A</v>
      </c>
      <c r="R374" s="194" t="e">
        <f>VLOOKUP(Q376,Preenchimento!$A:$BV,2,0)</f>
        <v>#N/A</v>
      </c>
      <c r="S374" s="121" t="s">
        <v>295</v>
      </c>
      <c r="U374" s="193" t="e">
        <f>VLOOKUP(T376,Preenchimento!$A:$BV,2,0)</f>
        <v>#N/A</v>
      </c>
      <c r="V374" s="193" t="e">
        <f>VLOOKUP(U376,Preenchimento!$A:$BV,2,0)</f>
        <v>#N/A</v>
      </c>
      <c r="W374" s="193" t="e">
        <f>VLOOKUP(V376,Preenchimento!$A:$BV,2,0)</f>
        <v>#N/A</v>
      </c>
      <c r="X374" s="194" t="e">
        <f>VLOOKUP(W376,Preenchimento!$A:$BV,2,0)</f>
        <v>#N/A</v>
      </c>
    </row>
    <row r="375" spans="1:24" ht="9.75" customHeight="1" x14ac:dyDescent="0.15">
      <c r="A375" s="121" t="s">
        <v>296</v>
      </c>
      <c r="B375" s="193" t="e">
        <f>VLOOKUP(B376,Preenchimento!$A:$BV,3,0)</f>
        <v>#N/A</v>
      </c>
      <c r="C375" s="193" t="e">
        <f>VLOOKUP(C376,Preenchimento!$A:$BV,3,0)</f>
        <v>#N/A</v>
      </c>
      <c r="D375" s="120" t="s">
        <v>297</v>
      </c>
      <c r="E375" s="197" t="e">
        <f>VLOOKUP(B376,Preenchimento!$A:$BV,5,0)</f>
        <v>#N/A</v>
      </c>
      <c r="F375" s="198" t="e">
        <f>VLOOKUP(C376,Preenchimento!$A:$BV,5,0)</f>
        <v>#N/A</v>
      </c>
      <c r="G375" s="121" t="s">
        <v>296</v>
      </c>
      <c r="H375" s="193" t="e">
        <f>VLOOKUP(H376,Preenchimento!$A:$BV,3,0)</f>
        <v>#N/A</v>
      </c>
      <c r="I375" s="193" t="e">
        <f>VLOOKUP(I376,Preenchimento!$A:$BV,3,0)</f>
        <v>#N/A</v>
      </c>
      <c r="J375" s="120" t="s">
        <v>297</v>
      </c>
      <c r="K375" s="197" t="e">
        <f>VLOOKUP(H376,Preenchimento!$A:$BV,5,0)</f>
        <v>#N/A</v>
      </c>
      <c r="L375" s="198" t="e">
        <f>VLOOKUP(I376,Preenchimento!$A:$BV,5,0)</f>
        <v>#N/A</v>
      </c>
      <c r="M375" s="121" t="s">
        <v>296</v>
      </c>
      <c r="N375" s="193" t="e">
        <f>VLOOKUP(N376,Preenchimento!$A:$BV,3,0)</f>
        <v>#N/A</v>
      </c>
      <c r="O375" s="193" t="e">
        <f>VLOOKUP(O376,Preenchimento!$A:$BV,3,0)</f>
        <v>#N/A</v>
      </c>
      <c r="P375" s="120" t="s">
        <v>297</v>
      </c>
      <c r="Q375" s="197" t="e">
        <f>VLOOKUP(N376,Preenchimento!$A:$BV,5,0)</f>
        <v>#N/A</v>
      </c>
      <c r="R375" s="198" t="e">
        <f>VLOOKUP(O376,Preenchimento!$A:$BV,5,0)</f>
        <v>#N/A</v>
      </c>
      <c r="S375" s="121" t="s">
        <v>296</v>
      </c>
      <c r="T375" s="193" t="e">
        <f>VLOOKUP(T376,Preenchimento!$A:$BV,3,0)</f>
        <v>#N/A</v>
      </c>
      <c r="U375" s="193" t="e">
        <f>VLOOKUP(U376,Preenchimento!$A:$BV,3,0)</f>
        <v>#N/A</v>
      </c>
      <c r="V375" s="120" t="s">
        <v>297</v>
      </c>
      <c r="W375" s="197" t="e">
        <f>VLOOKUP(T376,Preenchimento!$A:$BV,5,0)</f>
        <v>#N/A</v>
      </c>
      <c r="X375" s="198" t="e">
        <f>VLOOKUP(U376,Preenchimento!$A:$BV,5,0)</f>
        <v>#N/A</v>
      </c>
    </row>
    <row r="376" spans="1:24" ht="9.75" customHeight="1" x14ac:dyDescent="0.15">
      <c r="A376" s="121" t="s">
        <v>298</v>
      </c>
      <c r="B376" s="193"/>
      <c r="C376" s="193"/>
      <c r="D376" s="120" t="s">
        <v>299</v>
      </c>
      <c r="F376" s="131" t="e">
        <f>VLOOKUP(B376,Preenchimento!$A:$BV,10,0)</f>
        <v>#N/A</v>
      </c>
      <c r="G376" s="121" t="s">
        <v>298</v>
      </c>
      <c r="H376" s="193"/>
      <c r="I376" s="193"/>
      <c r="J376" s="120" t="s">
        <v>299</v>
      </c>
      <c r="L376" s="131" t="e">
        <f>VLOOKUP(H376,Preenchimento!$A:$BV,10,0)</f>
        <v>#N/A</v>
      </c>
      <c r="M376" s="121" t="s">
        <v>298</v>
      </c>
      <c r="N376" s="193"/>
      <c r="O376" s="193"/>
      <c r="P376" s="120" t="s">
        <v>299</v>
      </c>
      <c r="R376" s="131" t="e">
        <f>VLOOKUP(N376,Preenchimento!$A:$BV,10,0)</f>
        <v>#N/A</v>
      </c>
      <c r="S376" s="121" t="s">
        <v>298</v>
      </c>
      <c r="T376" s="193"/>
      <c r="U376" s="193"/>
      <c r="V376" s="120" t="s">
        <v>299</v>
      </c>
      <c r="X376" s="131" t="e">
        <f>VLOOKUP(T376,Preenchimento!$A:$BV,10,0)</f>
        <v>#N/A</v>
      </c>
    </row>
    <row r="377" spans="1:24" ht="9.75" customHeight="1" x14ac:dyDescent="0.15">
      <c r="A377" s="121" t="s">
        <v>300</v>
      </c>
      <c r="C377" s="193" t="e">
        <f>VLOOKUP(B376,Preenchimento!$A:$BV,12,0)</f>
        <v>#N/A</v>
      </c>
      <c r="D377" s="193" t="e">
        <f>VLOOKUP(C376,Preenchimento!$A:$BV,12,0)</f>
        <v>#N/A</v>
      </c>
      <c r="E377" s="193" t="e">
        <f>VLOOKUP(D376,Preenchimento!$A:$BV,12,0)</f>
        <v>#N/A</v>
      </c>
      <c r="F377" s="194" t="e">
        <f>VLOOKUP(E376,Preenchimento!$A:$BV,12,0)</f>
        <v>#N/A</v>
      </c>
      <c r="G377" s="121" t="s">
        <v>300</v>
      </c>
      <c r="I377" s="193" t="e">
        <f>VLOOKUP(H376,Preenchimento!$A:$BV,12,0)</f>
        <v>#N/A</v>
      </c>
      <c r="J377" s="193" t="e">
        <f>VLOOKUP(I376,Preenchimento!$A:$BV,12,0)</f>
        <v>#N/A</v>
      </c>
      <c r="K377" s="193" t="e">
        <f>VLOOKUP(J376,Preenchimento!$A:$BV,12,0)</f>
        <v>#N/A</v>
      </c>
      <c r="L377" s="194" t="e">
        <f>VLOOKUP(K376,Preenchimento!$A:$BV,12,0)</f>
        <v>#N/A</v>
      </c>
      <c r="M377" s="121" t="s">
        <v>300</v>
      </c>
      <c r="O377" s="193" t="e">
        <f>VLOOKUP(N376,Preenchimento!$A:$BV,12,0)</f>
        <v>#N/A</v>
      </c>
      <c r="P377" s="193" t="e">
        <f>VLOOKUP(O376,Preenchimento!$A:$BV,12,0)</f>
        <v>#N/A</v>
      </c>
      <c r="Q377" s="193" t="e">
        <f>VLOOKUP(P376,Preenchimento!$A:$BV,12,0)</f>
        <v>#N/A</v>
      </c>
      <c r="R377" s="194" t="e">
        <f>VLOOKUP(Q376,Preenchimento!$A:$BV,12,0)</f>
        <v>#N/A</v>
      </c>
      <c r="S377" s="121" t="s">
        <v>300</v>
      </c>
      <c r="U377" s="193" t="e">
        <f>VLOOKUP(T376,Preenchimento!$A:$BV,12,0)</f>
        <v>#N/A</v>
      </c>
      <c r="V377" s="193" t="e">
        <f>VLOOKUP(U376,Preenchimento!$A:$BV,12,0)</f>
        <v>#N/A</v>
      </c>
      <c r="W377" s="193" t="e">
        <f>VLOOKUP(V376,Preenchimento!$A:$BV,12,0)</f>
        <v>#N/A</v>
      </c>
      <c r="X377" s="194" t="e">
        <f>VLOOKUP(W376,Preenchimento!$A:$BV,12,0)</f>
        <v>#N/A</v>
      </c>
    </row>
    <row r="378" spans="1:24" ht="9.75" customHeight="1" x14ac:dyDescent="0.15">
      <c r="A378" s="123" t="s">
        <v>301</v>
      </c>
      <c r="B378" s="195" t="e">
        <f>IF(VLOOKUP(B376,Preenchimento!$A:$BV,11,0)=0,"",VLOOKUP(B376,Preenchimento!$A:$BV,11,0))</f>
        <v>#N/A</v>
      </c>
      <c r="C378" s="195"/>
      <c r="D378" s="195"/>
      <c r="E378" s="195"/>
      <c r="F378" s="196"/>
      <c r="G378" s="123" t="s">
        <v>301</v>
      </c>
      <c r="H378" s="195" t="e">
        <f>IF(VLOOKUP(H376,Preenchimento!$A:$BV,11,0)=0,"",VLOOKUP(H376,Preenchimento!$A:$BV,11,0))</f>
        <v>#N/A</v>
      </c>
      <c r="I378" s="195"/>
      <c r="J378" s="195"/>
      <c r="K378" s="195"/>
      <c r="L378" s="196"/>
      <c r="M378" s="123" t="s">
        <v>301</v>
      </c>
      <c r="N378" s="195" t="e">
        <f>IF(VLOOKUP(N376,Preenchimento!$A:$BV,11,0)=0,"",VLOOKUP(N376,Preenchimento!$A:$BV,11,0))</f>
        <v>#N/A</v>
      </c>
      <c r="O378" s="195"/>
      <c r="P378" s="195"/>
      <c r="Q378" s="195"/>
      <c r="R378" s="196"/>
      <c r="S378" s="123" t="s">
        <v>301</v>
      </c>
      <c r="T378" s="195" t="e">
        <f>IF(VLOOKUP(T376,Preenchimento!$A:$BV,11,0)=0,"",VLOOKUP(T376,Preenchimento!$A:$BV,11,0))</f>
        <v>#N/A</v>
      </c>
      <c r="U378" s="195"/>
      <c r="V378" s="195"/>
      <c r="W378" s="195"/>
      <c r="X378" s="196"/>
    </row>
    <row r="379" spans="1:24" s="130" customFormat="1" ht="33.950000000000003" customHeight="1" x14ac:dyDescent="0.25">
      <c r="A379" s="199" t="str">
        <f>Sitio!$A$3</f>
        <v>Projeto 01</v>
      </c>
      <c r="B379" s="200"/>
      <c r="C379" s="200"/>
      <c r="D379" s="200"/>
      <c r="E379" s="200"/>
      <c r="F379" s="201"/>
      <c r="G379" s="199" t="str">
        <f>Sitio!$A$3</f>
        <v>Projeto 01</v>
      </c>
      <c r="H379" s="200"/>
      <c r="I379" s="200"/>
      <c r="J379" s="200"/>
      <c r="K379" s="200"/>
      <c r="L379" s="201"/>
      <c r="M379" s="199" t="str">
        <f>Sitio!$A$3</f>
        <v>Projeto 01</v>
      </c>
      <c r="N379" s="200"/>
      <c r="O379" s="200"/>
      <c r="P379" s="200"/>
      <c r="Q379" s="200"/>
      <c r="R379" s="201"/>
      <c r="S379" s="199" t="str">
        <f>Sitio!$A$3</f>
        <v>Projeto 01</v>
      </c>
      <c r="T379" s="200"/>
      <c r="U379" s="200"/>
      <c r="V379" s="200"/>
      <c r="W379" s="200"/>
      <c r="X379" s="201"/>
    </row>
    <row r="380" spans="1:24" ht="9.75" customHeight="1" x14ac:dyDescent="0.15">
      <c r="A380" s="121" t="s">
        <v>294</v>
      </c>
      <c r="B380" s="193">
        <f>Sitio!$E$3</f>
        <v>0</v>
      </c>
      <c r="C380" s="193"/>
      <c r="D380" s="193"/>
      <c r="E380" s="193"/>
      <c r="F380" s="194"/>
      <c r="G380" s="121" t="s">
        <v>294</v>
      </c>
      <c r="H380" s="193">
        <f>Sitio!$E$3</f>
        <v>0</v>
      </c>
      <c r="I380" s="193"/>
      <c r="J380" s="193"/>
      <c r="K380" s="193"/>
      <c r="L380" s="194"/>
      <c r="M380" s="121" t="s">
        <v>294</v>
      </c>
      <c r="N380" s="193">
        <f>Sitio!$E$3</f>
        <v>0</v>
      </c>
      <c r="O380" s="193"/>
      <c r="P380" s="193"/>
      <c r="Q380" s="193"/>
      <c r="R380" s="194"/>
      <c r="S380" s="121" t="s">
        <v>294</v>
      </c>
      <c r="T380" s="193">
        <f>Sitio!$E$3</f>
        <v>0</v>
      </c>
      <c r="U380" s="193"/>
      <c r="V380" s="193"/>
      <c r="W380" s="193"/>
      <c r="X380" s="194"/>
    </row>
    <row r="381" spans="1:24" ht="9.75" customHeight="1" x14ac:dyDescent="0.15">
      <c r="A381" s="121" t="s">
        <v>295</v>
      </c>
      <c r="C381" s="193" t="e">
        <f>VLOOKUP(B383,Preenchimento!$A:$BV,2,0)</f>
        <v>#N/A</v>
      </c>
      <c r="D381" s="193" t="e">
        <f>VLOOKUP(C383,Preenchimento!$A:$BV,2,0)</f>
        <v>#N/A</v>
      </c>
      <c r="E381" s="193" t="e">
        <f>VLOOKUP(D383,Preenchimento!$A:$BV,2,0)</f>
        <v>#N/A</v>
      </c>
      <c r="F381" s="194" t="e">
        <f>VLOOKUP(E383,Preenchimento!$A:$BV,2,0)</f>
        <v>#N/A</v>
      </c>
      <c r="G381" s="121" t="s">
        <v>295</v>
      </c>
      <c r="I381" s="193" t="e">
        <f>VLOOKUP(H383,Preenchimento!$A:$BV,2,0)</f>
        <v>#N/A</v>
      </c>
      <c r="J381" s="193" t="e">
        <f>VLOOKUP(I383,Preenchimento!$A:$BV,2,0)</f>
        <v>#N/A</v>
      </c>
      <c r="K381" s="193" t="e">
        <f>VLOOKUP(J383,Preenchimento!$A:$BV,2,0)</f>
        <v>#N/A</v>
      </c>
      <c r="L381" s="194" t="e">
        <f>VLOOKUP(K383,Preenchimento!$A:$BV,2,0)</f>
        <v>#N/A</v>
      </c>
      <c r="M381" s="121" t="s">
        <v>295</v>
      </c>
      <c r="O381" s="193" t="e">
        <f>VLOOKUP(N383,Preenchimento!$A:$BV,2,0)</f>
        <v>#N/A</v>
      </c>
      <c r="P381" s="193" t="e">
        <f>VLOOKUP(O383,Preenchimento!$A:$BV,2,0)</f>
        <v>#N/A</v>
      </c>
      <c r="Q381" s="193" t="e">
        <f>VLOOKUP(P383,Preenchimento!$A:$BV,2,0)</f>
        <v>#N/A</v>
      </c>
      <c r="R381" s="194" t="e">
        <f>VLOOKUP(Q383,Preenchimento!$A:$BV,2,0)</f>
        <v>#N/A</v>
      </c>
      <c r="S381" s="121" t="s">
        <v>295</v>
      </c>
      <c r="U381" s="193" t="e">
        <f>VLOOKUP(T383,Preenchimento!$A:$BV,2,0)</f>
        <v>#N/A</v>
      </c>
      <c r="V381" s="193" t="e">
        <f>VLOOKUP(U383,Preenchimento!$A:$BV,2,0)</f>
        <v>#N/A</v>
      </c>
      <c r="W381" s="193" t="e">
        <f>VLOOKUP(V383,Preenchimento!$A:$BV,2,0)</f>
        <v>#N/A</v>
      </c>
      <c r="X381" s="194" t="e">
        <f>VLOOKUP(W383,Preenchimento!$A:$BV,2,0)</f>
        <v>#N/A</v>
      </c>
    </row>
    <row r="382" spans="1:24" ht="9.75" customHeight="1" x14ac:dyDescent="0.15">
      <c r="A382" s="121" t="s">
        <v>296</v>
      </c>
      <c r="B382" s="193" t="e">
        <f>VLOOKUP(B383,Preenchimento!$A:$BV,3,0)</f>
        <v>#N/A</v>
      </c>
      <c r="C382" s="193" t="e">
        <f>VLOOKUP(C383,Preenchimento!$A:$BV,3,0)</f>
        <v>#N/A</v>
      </c>
      <c r="D382" s="120" t="s">
        <v>297</v>
      </c>
      <c r="E382" s="197" t="e">
        <f>VLOOKUP(B383,Preenchimento!$A:$BV,5,0)</f>
        <v>#N/A</v>
      </c>
      <c r="F382" s="198" t="e">
        <f>VLOOKUP(C383,Preenchimento!$A:$BV,5,0)</f>
        <v>#N/A</v>
      </c>
      <c r="G382" s="121" t="s">
        <v>296</v>
      </c>
      <c r="H382" s="193" t="e">
        <f>VLOOKUP(H383,Preenchimento!$A:$BV,3,0)</f>
        <v>#N/A</v>
      </c>
      <c r="I382" s="193" t="e">
        <f>VLOOKUP(I383,Preenchimento!$A:$BV,3,0)</f>
        <v>#N/A</v>
      </c>
      <c r="J382" s="120" t="s">
        <v>297</v>
      </c>
      <c r="K382" s="197" t="e">
        <f>VLOOKUP(H383,Preenchimento!$A:$BV,5,0)</f>
        <v>#N/A</v>
      </c>
      <c r="L382" s="198" t="e">
        <f>VLOOKUP(I383,Preenchimento!$A:$BV,5,0)</f>
        <v>#N/A</v>
      </c>
      <c r="M382" s="121" t="s">
        <v>296</v>
      </c>
      <c r="N382" s="193" t="e">
        <f>VLOOKUP(N383,Preenchimento!$A:$BV,3,0)</f>
        <v>#N/A</v>
      </c>
      <c r="O382" s="193" t="e">
        <f>VLOOKUP(O383,Preenchimento!$A:$BV,3,0)</f>
        <v>#N/A</v>
      </c>
      <c r="P382" s="120" t="s">
        <v>297</v>
      </c>
      <c r="Q382" s="197" t="e">
        <f>VLOOKUP(N383,Preenchimento!$A:$BV,5,0)</f>
        <v>#N/A</v>
      </c>
      <c r="R382" s="198" t="e">
        <f>VLOOKUP(O383,Preenchimento!$A:$BV,5,0)</f>
        <v>#N/A</v>
      </c>
      <c r="S382" s="121" t="s">
        <v>296</v>
      </c>
      <c r="T382" s="193" t="e">
        <f>VLOOKUP(T383,Preenchimento!$A:$BV,3,0)</f>
        <v>#N/A</v>
      </c>
      <c r="U382" s="193" t="e">
        <f>VLOOKUP(U383,Preenchimento!$A:$BV,3,0)</f>
        <v>#N/A</v>
      </c>
      <c r="V382" s="120" t="s">
        <v>297</v>
      </c>
      <c r="W382" s="197" t="e">
        <f>VLOOKUP(T383,Preenchimento!$A:$BV,5,0)</f>
        <v>#N/A</v>
      </c>
      <c r="X382" s="198" t="e">
        <f>VLOOKUP(U383,Preenchimento!$A:$BV,5,0)</f>
        <v>#N/A</v>
      </c>
    </row>
    <row r="383" spans="1:24" ht="9.75" customHeight="1" x14ac:dyDescent="0.15">
      <c r="A383" s="121" t="s">
        <v>298</v>
      </c>
      <c r="B383" s="193"/>
      <c r="C383" s="193"/>
      <c r="D383" s="120" t="s">
        <v>299</v>
      </c>
      <c r="F383" s="131" t="e">
        <f>VLOOKUP(B383,Preenchimento!$A:$BV,10,0)</f>
        <v>#N/A</v>
      </c>
      <c r="G383" s="121" t="s">
        <v>298</v>
      </c>
      <c r="H383" s="193"/>
      <c r="I383" s="193"/>
      <c r="J383" s="120" t="s">
        <v>299</v>
      </c>
      <c r="L383" s="131" t="e">
        <f>VLOOKUP(H383,Preenchimento!$A:$BV,10,0)</f>
        <v>#N/A</v>
      </c>
      <c r="M383" s="121" t="s">
        <v>298</v>
      </c>
      <c r="N383" s="193"/>
      <c r="O383" s="193"/>
      <c r="P383" s="120" t="s">
        <v>299</v>
      </c>
      <c r="R383" s="131" t="e">
        <f>VLOOKUP(N383,Preenchimento!$A:$BV,10,0)</f>
        <v>#N/A</v>
      </c>
      <c r="S383" s="121" t="s">
        <v>298</v>
      </c>
      <c r="T383" s="193"/>
      <c r="U383" s="193"/>
      <c r="V383" s="120" t="s">
        <v>299</v>
      </c>
      <c r="X383" s="131" t="e">
        <f>VLOOKUP(T383,Preenchimento!$A:$BV,10,0)</f>
        <v>#N/A</v>
      </c>
    </row>
    <row r="384" spans="1:24" ht="9.75" customHeight="1" x14ac:dyDescent="0.15">
      <c r="A384" s="121" t="s">
        <v>300</v>
      </c>
      <c r="C384" s="193" t="e">
        <f>VLOOKUP(B383,Preenchimento!$A:$BV,12,0)</f>
        <v>#N/A</v>
      </c>
      <c r="D384" s="193" t="e">
        <f>VLOOKUP(C383,Preenchimento!$A:$BV,12,0)</f>
        <v>#N/A</v>
      </c>
      <c r="E384" s="193" t="e">
        <f>VLOOKUP(D383,Preenchimento!$A:$BV,12,0)</f>
        <v>#N/A</v>
      </c>
      <c r="F384" s="194" t="e">
        <f>VLOOKUP(E383,Preenchimento!$A:$BV,12,0)</f>
        <v>#N/A</v>
      </c>
      <c r="G384" s="121" t="s">
        <v>300</v>
      </c>
      <c r="I384" s="193" t="e">
        <f>VLOOKUP(H383,Preenchimento!$A:$BV,12,0)</f>
        <v>#N/A</v>
      </c>
      <c r="J384" s="193" t="e">
        <f>VLOOKUP(I383,Preenchimento!$A:$BV,12,0)</f>
        <v>#N/A</v>
      </c>
      <c r="K384" s="193" t="e">
        <f>VLOOKUP(J383,Preenchimento!$A:$BV,12,0)</f>
        <v>#N/A</v>
      </c>
      <c r="L384" s="194" t="e">
        <f>VLOOKUP(K383,Preenchimento!$A:$BV,12,0)</f>
        <v>#N/A</v>
      </c>
      <c r="M384" s="121" t="s">
        <v>300</v>
      </c>
      <c r="O384" s="193" t="e">
        <f>VLOOKUP(N383,Preenchimento!$A:$BV,12,0)</f>
        <v>#N/A</v>
      </c>
      <c r="P384" s="193" t="e">
        <f>VLOOKUP(O383,Preenchimento!$A:$BV,12,0)</f>
        <v>#N/A</v>
      </c>
      <c r="Q384" s="193" t="e">
        <f>VLOOKUP(P383,Preenchimento!$A:$BV,12,0)</f>
        <v>#N/A</v>
      </c>
      <c r="R384" s="194" t="e">
        <f>VLOOKUP(Q383,Preenchimento!$A:$BV,12,0)</f>
        <v>#N/A</v>
      </c>
      <c r="S384" s="121" t="s">
        <v>300</v>
      </c>
      <c r="U384" s="193" t="e">
        <f>VLOOKUP(T383,Preenchimento!$A:$BV,12,0)</f>
        <v>#N/A</v>
      </c>
      <c r="V384" s="193" t="e">
        <f>VLOOKUP(U383,Preenchimento!$A:$BV,12,0)</f>
        <v>#N/A</v>
      </c>
      <c r="W384" s="193" t="e">
        <f>VLOOKUP(V383,Preenchimento!$A:$BV,12,0)</f>
        <v>#N/A</v>
      </c>
      <c r="X384" s="194" t="e">
        <f>VLOOKUP(W383,Preenchimento!$A:$BV,12,0)</f>
        <v>#N/A</v>
      </c>
    </row>
    <row r="385" spans="1:24" ht="9.75" customHeight="1" x14ac:dyDescent="0.15">
      <c r="A385" s="123" t="s">
        <v>301</v>
      </c>
      <c r="B385" s="195" t="e">
        <f>IF(VLOOKUP(B383,Preenchimento!$A:$BV,11,0)=0,"",VLOOKUP(B383,Preenchimento!$A:$BV,11,0))</f>
        <v>#N/A</v>
      </c>
      <c r="C385" s="195"/>
      <c r="D385" s="195"/>
      <c r="E385" s="195"/>
      <c r="F385" s="196"/>
      <c r="G385" s="123" t="s">
        <v>301</v>
      </c>
      <c r="H385" s="195" t="e">
        <f>IF(VLOOKUP(H383,Preenchimento!$A:$BV,11,0)=0,"",VLOOKUP(H383,Preenchimento!$A:$BV,11,0))</f>
        <v>#N/A</v>
      </c>
      <c r="I385" s="195"/>
      <c r="J385" s="195"/>
      <c r="K385" s="195"/>
      <c r="L385" s="196"/>
      <c r="M385" s="123" t="s">
        <v>301</v>
      </c>
      <c r="N385" s="195" t="e">
        <f>IF(VLOOKUP(N383,Preenchimento!$A:$BV,11,0)=0,"",VLOOKUP(N383,Preenchimento!$A:$BV,11,0))</f>
        <v>#N/A</v>
      </c>
      <c r="O385" s="195"/>
      <c r="P385" s="195"/>
      <c r="Q385" s="195"/>
      <c r="R385" s="196"/>
      <c r="S385" s="123" t="s">
        <v>301</v>
      </c>
      <c r="T385" s="195" t="e">
        <f>IF(VLOOKUP(T383,Preenchimento!$A:$BV,11,0)=0,"",VLOOKUP(T383,Preenchimento!$A:$BV,11,0))</f>
        <v>#N/A</v>
      </c>
      <c r="U385" s="195"/>
      <c r="V385" s="195"/>
      <c r="W385" s="195"/>
      <c r="X385" s="196"/>
    </row>
    <row r="386" spans="1:24" s="130" customFormat="1" ht="33.950000000000003" customHeight="1" x14ac:dyDescent="0.25">
      <c r="A386" s="199" t="str">
        <f>Sitio!$A$3</f>
        <v>Projeto 01</v>
      </c>
      <c r="B386" s="200"/>
      <c r="C386" s="200"/>
      <c r="D386" s="200"/>
      <c r="E386" s="200"/>
      <c r="F386" s="201"/>
      <c r="G386" s="199" t="str">
        <f>Sitio!$A$3</f>
        <v>Projeto 01</v>
      </c>
      <c r="H386" s="200"/>
      <c r="I386" s="200"/>
      <c r="J386" s="200"/>
      <c r="K386" s="200"/>
      <c r="L386" s="201"/>
      <c r="M386" s="199" t="str">
        <f>Sitio!$A$3</f>
        <v>Projeto 01</v>
      </c>
      <c r="N386" s="200"/>
      <c r="O386" s="200"/>
      <c r="P386" s="200"/>
      <c r="Q386" s="200"/>
      <c r="R386" s="201"/>
      <c r="S386" s="199" t="str">
        <f>Sitio!$A$3</f>
        <v>Projeto 01</v>
      </c>
      <c r="T386" s="200"/>
      <c r="U386" s="200"/>
      <c r="V386" s="200"/>
      <c r="W386" s="200"/>
      <c r="X386" s="201"/>
    </row>
    <row r="387" spans="1:24" ht="9.75" customHeight="1" x14ac:dyDescent="0.15">
      <c r="A387" s="121" t="s">
        <v>294</v>
      </c>
      <c r="B387" s="193">
        <f>Sitio!$E$3</f>
        <v>0</v>
      </c>
      <c r="C387" s="193"/>
      <c r="D387" s="193"/>
      <c r="E387" s="193"/>
      <c r="F387" s="194"/>
      <c r="G387" s="121" t="s">
        <v>294</v>
      </c>
      <c r="H387" s="193">
        <f>Sitio!$E$3</f>
        <v>0</v>
      </c>
      <c r="I387" s="193"/>
      <c r="J387" s="193"/>
      <c r="K387" s="193"/>
      <c r="L387" s="194"/>
      <c r="M387" s="121" t="s">
        <v>294</v>
      </c>
      <c r="N387" s="193">
        <f>Sitio!$E$3</f>
        <v>0</v>
      </c>
      <c r="O387" s="193"/>
      <c r="P387" s="193"/>
      <c r="Q387" s="193"/>
      <c r="R387" s="194"/>
      <c r="S387" s="121" t="s">
        <v>294</v>
      </c>
      <c r="T387" s="193">
        <f>Sitio!$E$3</f>
        <v>0</v>
      </c>
      <c r="U387" s="193"/>
      <c r="V387" s="193"/>
      <c r="W387" s="193"/>
      <c r="X387" s="194"/>
    </row>
    <row r="388" spans="1:24" ht="9.75" customHeight="1" x14ac:dyDescent="0.15">
      <c r="A388" s="121" t="s">
        <v>295</v>
      </c>
      <c r="C388" s="193" t="e">
        <f>VLOOKUP(B390,Preenchimento!$A:$BV,2,0)</f>
        <v>#N/A</v>
      </c>
      <c r="D388" s="193" t="e">
        <f>VLOOKUP(C390,Preenchimento!$A:$BV,2,0)</f>
        <v>#N/A</v>
      </c>
      <c r="E388" s="193" t="e">
        <f>VLOOKUP(D390,Preenchimento!$A:$BV,2,0)</f>
        <v>#N/A</v>
      </c>
      <c r="F388" s="194" t="e">
        <f>VLOOKUP(E390,Preenchimento!$A:$BV,2,0)</f>
        <v>#N/A</v>
      </c>
      <c r="G388" s="121" t="s">
        <v>295</v>
      </c>
      <c r="I388" s="193" t="e">
        <f>VLOOKUP(H390,Preenchimento!$A:$BV,2,0)</f>
        <v>#N/A</v>
      </c>
      <c r="J388" s="193" t="e">
        <f>VLOOKUP(I390,Preenchimento!$A:$BV,2,0)</f>
        <v>#N/A</v>
      </c>
      <c r="K388" s="193" t="e">
        <f>VLOOKUP(J390,Preenchimento!$A:$BV,2,0)</f>
        <v>#N/A</v>
      </c>
      <c r="L388" s="194" t="e">
        <f>VLOOKUP(K390,Preenchimento!$A:$BV,2,0)</f>
        <v>#N/A</v>
      </c>
      <c r="M388" s="121" t="s">
        <v>295</v>
      </c>
      <c r="O388" s="193" t="e">
        <f>VLOOKUP(N390,Preenchimento!$A:$BV,2,0)</f>
        <v>#N/A</v>
      </c>
      <c r="P388" s="193" t="e">
        <f>VLOOKUP(O390,Preenchimento!$A:$BV,2,0)</f>
        <v>#N/A</v>
      </c>
      <c r="Q388" s="193" t="e">
        <f>VLOOKUP(P390,Preenchimento!$A:$BV,2,0)</f>
        <v>#N/A</v>
      </c>
      <c r="R388" s="194" t="e">
        <f>VLOOKUP(Q390,Preenchimento!$A:$BV,2,0)</f>
        <v>#N/A</v>
      </c>
      <c r="S388" s="121" t="s">
        <v>295</v>
      </c>
      <c r="U388" s="193" t="e">
        <f>VLOOKUP(T390,Preenchimento!$A:$BV,2,0)</f>
        <v>#N/A</v>
      </c>
      <c r="V388" s="193" t="e">
        <f>VLOOKUP(U390,Preenchimento!$A:$BV,2,0)</f>
        <v>#N/A</v>
      </c>
      <c r="W388" s="193" t="e">
        <f>VLOOKUP(V390,Preenchimento!$A:$BV,2,0)</f>
        <v>#N/A</v>
      </c>
      <c r="X388" s="194" t="e">
        <f>VLOOKUP(W390,Preenchimento!$A:$BV,2,0)</f>
        <v>#N/A</v>
      </c>
    </row>
    <row r="389" spans="1:24" ht="9.75" customHeight="1" x14ac:dyDescent="0.15">
      <c r="A389" s="121" t="s">
        <v>296</v>
      </c>
      <c r="B389" s="193" t="e">
        <f>VLOOKUP(B390,Preenchimento!$A:$BV,3,0)</f>
        <v>#N/A</v>
      </c>
      <c r="C389" s="193" t="e">
        <f>VLOOKUP(C390,Preenchimento!$A:$BV,3,0)</f>
        <v>#N/A</v>
      </c>
      <c r="D389" s="120" t="s">
        <v>297</v>
      </c>
      <c r="E389" s="197" t="e">
        <f>VLOOKUP(B390,Preenchimento!$A:$BV,5,0)</f>
        <v>#N/A</v>
      </c>
      <c r="F389" s="198" t="e">
        <f>VLOOKUP(C390,Preenchimento!$A:$BV,5,0)</f>
        <v>#N/A</v>
      </c>
      <c r="G389" s="121" t="s">
        <v>296</v>
      </c>
      <c r="H389" s="193" t="e">
        <f>VLOOKUP(H390,Preenchimento!$A:$BV,3,0)</f>
        <v>#N/A</v>
      </c>
      <c r="I389" s="193" t="e">
        <f>VLOOKUP(I390,Preenchimento!$A:$BV,3,0)</f>
        <v>#N/A</v>
      </c>
      <c r="J389" s="120" t="s">
        <v>297</v>
      </c>
      <c r="K389" s="197" t="e">
        <f>VLOOKUP(H390,Preenchimento!$A:$BV,5,0)</f>
        <v>#N/A</v>
      </c>
      <c r="L389" s="198" t="e">
        <f>VLOOKUP(I390,Preenchimento!$A:$BV,5,0)</f>
        <v>#N/A</v>
      </c>
      <c r="M389" s="121" t="s">
        <v>296</v>
      </c>
      <c r="N389" s="193" t="e">
        <f>VLOOKUP(N390,Preenchimento!$A:$BV,3,0)</f>
        <v>#N/A</v>
      </c>
      <c r="O389" s="193" t="e">
        <f>VLOOKUP(O390,Preenchimento!$A:$BV,3,0)</f>
        <v>#N/A</v>
      </c>
      <c r="P389" s="120" t="s">
        <v>297</v>
      </c>
      <c r="Q389" s="197" t="e">
        <f>VLOOKUP(N390,Preenchimento!$A:$BV,5,0)</f>
        <v>#N/A</v>
      </c>
      <c r="R389" s="198" t="e">
        <f>VLOOKUP(O390,Preenchimento!$A:$BV,5,0)</f>
        <v>#N/A</v>
      </c>
      <c r="S389" s="121" t="s">
        <v>296</v>
      </c>
      <c r="T389" s="193" t="e">
        <f>VLOOKUP(T390,Preenchimento!$A:$BV,3,0)</f>
        <v>#N/A</v>
      </c>
      <c r="U389" s="193" t="e">
        <f>VLOOKUP(U390,Preenchimento!$A:$BV,3,0)</f>
        <v>#N/A</v>
      </c>
      <c r="V389" s="120" t="s">
        <v>297</v>
      </c>
      <c r="W389" s="197" t="e">
        <f>VLOOKUP(T390,Preenchimento!$A:$BV,5,0)</f>
        <v>#N/A</v>
      </c>
      <c r="X389" s="198" t="e">
        <f>VLOOKUP(U390,Preenchimento!$A:$BV,5,0)</f>
        <v>#N/A</v>
      </c>
    </row>
    <row r="390" spans="1:24" ht="9.75" customHeight="1" x14ac:dyDescent="0.15">
      <c r="A390" s="121" t="s">
        <v>298</v>
      </c>
      <c r="B390" s="193"/>
      <c r="C390" s="193"/>
      <c r="D390" s="120" t="s">
        <v>299</v>
      </c>
      <c r="F390" s="131" t="e">
        <f>VLOOKUP(B390,Preenchimento!$A:$BV,10,0)</f>
        <v>#N/A</v>
      </c>
      <c r="G390" s="121" t="s">
        <v>298</v>
      </c>
      <c r="H390" s="193"/>
      <c r="I390" s="193"/>
      <c r="J390" s="120" t="s">
        <v>299</v>
      </c>
      <c r="L390" s="131" t="e">
        <f>VLOOKUP(H390,Preenchimento!$A:$BV,10,0)</f>
        <v>#N/A</v>
      </c>
      <c r="M390" s="121" t="s">
        <v>298</v>
      </c>
      <c r="N390" s="193"/>
      <c r="O390" s="193"/>
      <c r="P390" s="120" t="s">
        <v>299</v>
      </c>
      <c r="R390" s="131" t="e">
        <f>VLOOKUP(N390,Preenchimento!$A:$BV,10,0)</f>
        <v>#N/A</v>
      </c>
      <c r="S390" s="121" t="s">
        <v>298</v>
      </c>
      <c r="T390" s="193"/>
      <c r="U390" s="193"/>
      <c r="V390" s="120" t="s">
        <v>299</v>
      </c>
      <c r="X390" s="131" t="e">
        <f>VLOOKUP(T390,Preenchimento!$A:$BV,10,0)</f>
        <v>#N/A</v>
      </c>
    </row>
    <row r="391" spans="1:24" ht="9.75" customHeight="1" x14ac:dyDescent="0.15">
      <c r="A391" s="121" t="s">
        <v>300</v>
      </c>
      <c r="C391" s="193" t="e">
        <f>VLOOKUP(B390,Preenchimento!$A:$BV,12,0)</f>
        <v>#N/A</v>
      </c>
      <c r="D391" s="193" t="e">
        <f>VLOOKUP(C390,Preenchimento!$A:$BV,12,0)</f>
        <v>#N/A</v>
      </c>
      <c r="E391" s="193" t="e">
        <f>VLOOKUP(D390,Preenchimento!$A:$BV,12,0)</f>
        <v>#N/A</v>
      </c>
      <c r="F391" s="194" t="e">
        <f>VLOOKUP(E390,Preenchimento!$A:$BV,12,0)</f>
        <v>#N/A</v>
      </c>
      <c r="G391" s="121" t="s">
        <v>300</v>
      </c>
      <c r="I391" s="193" t="e">
        <f>VLOOKUP(H390,Preenchimento!$A:$BV,12,0)</f>
        <v>#N/A</v>
      </c>
      <c r="J391" s="193" t="e">
        <f>VLOOKUP(I390,Preenchimento!$A:$BV,12,0)</f>
        <v>#N/A</v>
      </c>
      <c r="K391" s="193" t="e">
        <f>VLOOKUP(J390,Preenchimento!$A:$BV,12,0)</f>
        <v>#N/A</v>
      </c>
      <c r="L391" s="194" t="e">
        <f>VLOOKUP(K390,Preenchimento!$A:$BV,12,0)</f>
        <v>#N/A</v>
      </c>
      <c r="M391" s="121" t="s">
        <v>300</v>
      </c>
      <c r="O391" s="193" t="e">
        <f>VLOOKUP(N390,Preenchimento!$A:$BV,12,0)</f>
        <v>#N/A</v>
      </c>
      <c r="P391" s="193" t="e">
        <f>VLOOKUP(O390,Preenchimento!$A:$BV,12,0)</f>
        <v>#N/A</v>
      </c>
      <c r="Q391" s="193" t="e">
        <f>VLOOKUP(P390,Preenchimento!$A:$BV,12,0)</f>
        <v>#N/A</v>
      </c>
      <c r="R391" s="194" t="e">
        <f>VLOOKUP(Q390,Preenchimento!$A:$BV,12,0)</f>
        <v>#N/A</v>
      </c>
      <c r="S391" s="121" t="s">
        <v>300</v>
      </c>
      <c r="U391" s="193" t="e">
        <f>VLOOKUP(T390,Preenchimento!$A:$BV,12,0)</f>
        <v>#N/A</v>
      </c>
      <c r="V391" s="193" t="e">
        <f>VLOOKUP(U390,Preenchimento!$A:$BV,12,0)</f>
        <v>#N/A</v>
      </c>
      <c r="W391" s="193" t="e">
        <f>VLOOKUP(V390,Preenchimento!$A:$BV,12,0)</f>
        <v>#N/A</v>
      </c>
      <c r="X391" s="194" t="e">
        <f>VLOOKUP(W390,Preenchimento!$A:$BV,12,0)</f>
        <v>#N/A</v>
      </c>
    </row>
    <row r="392" spans="1:24" ht="9.75" customHeight="1" x14ac:dyDescent="0.15">
      <c r="A392" s="123" t="s">
        <v>301</v>
      </c>
      <c r="B392" s="195" t="e">
        <f>IF(VLOOKUP(B390,Preenchimento!$A:$BV,11,0)=0,"",VLOOKUP(B390,Preenchimento!$A:$BV,11,0))</f>
        <v>#N/A</v>
      </c>
      <c r="C392" s="195"/>
      <c r="D392" s="195"/>
      <c r="E392" s="195"/>
      <c r="F392" s="196"/>
      <c r="G392" s="123" t="s">
        <v>301</v>
      </c>
      <c r="H392" s="195" t="e">
        <f>IF(VLOOKUP(H390,Preenchimento!$A:$BV,11,0)=0,"",VLOOKUP(H390,Preenchimento!$A:$BV,11,0))</f>
        <v>#N/A</v>
      </c>
      <c r="I392" s="195"/>
      <c r="J392" s="195"/>
      <c r="K392" s="195"/>
      <c r="L392" s="196"/>
      <c r="M392" s="123" t="s">
        <v>301</v>
      </c>
      <c r="N392" s="195" t="e">
        <f>IF(VLOOKUP(N390,Preenchimento!$A:$BV,11,0)=0,"",VLOOKUP(N390,Preenchimento!$A:$BV,11,0))</f>
        <v>#N/A</v>
      </c>
      <c r="O392" s="195"/>
      <c r="P392" s="195"/>
      <c r="Q392" s="195"/>
      <c r="R392" s="196"/>
      <c r="S392" s="123" t="s">
        <v>301</v>
      </c>
      <c r="T392" s="195" t="e">
        <f>IF(VLOOKUP(T390,Preenchimento!$A:$BV,11,0)=0,"",VLOOKUP(T390,Preenchimento!$A:$BV,11,0))</f>
        <v>#N/A</v>
      </c>
      <c r="U392" s="195"/>
      <c r="V392" s="195"/>
      <c r="W392" s="195"/>
      <c r="X392" s="196"/>
    </row>
    <row r="393" spans="1:24" s="130" customFormat="1" ht="33.950000000000003" customHeight="1" x14ac:dyDescent="0.25">
      <c r="A393" s="199" t="str">
        <f>Sitio!$A$3</f>
        <v>Projeto 01</v>
      </c>
      <c r="B393" s="200"/>
      <c r="C393" s="200"/>
      <c r="D393" s="200"/>
      <c r="E393" s="200"/>
      <c r="F393" s="201"/>
      <c r="G393" s="199" t="str">
        <f>Sitio!$A$3</f>
        <v>Projeto 01</v>
      </c>
      <c r="H393" s="200"/>
      <c r="I393" s="200"/>
      <c r="J393" s="200"/>
      <c r="K393" s="200"/>
      <c r="L393" s="201"/>
      <c r="M393" s="199" t="str">
        <f>Sitio!$A$3</f>
        <v>Projeto 01</v>
      </c>
      <c r="N393" s="200"/>
      <c r="O393" s="200"/>
      <c r="P393" s="200"/>
      <c r="Q393" s="200"/>
      <c r="R393" s="201"/>
      <c r="S393" s="199" t="str">
        <f>Sitio!$A$3</f>
        <v>Projeto 01</v>
      </c>
      <c r="T393" s="200"/>
      <c r="U393" s="200"/>
      <c r="V393" s="200"/>
      <c r="W393" s="200"/>
      <c r="X393" s="201"/>
    </row>
    <row r="394" spans="1:24" ht="9.75" customHeight="1" x14ac:dyDescent="0.15">
      <c r="A394" s="121" t="s">
        <v>294</v>
      </c>
      <c r="B394" s="193">
        <f>Sitio!$E$3</f>
        <v>0</v>
      </c>
      <c r="C394" s="193"/>
      <c r="D394" s="193"/>
      <c r="E394" s="193"/>
      <c r="F394" s="194"/>
      <c r="G394" s="121" t="s">
        <v>294</v>
      </c>
      <c r="H394" s="193">
        <f>Sitio!$E$3</f>
        <v>0</v>
      </c>
      <c r="I394" s="193"/>
      <c r="J394" s="193"/>
      <c r="K394" s="193"/>
      <c r="L394" s="194"/>
      <c r="M394" s="121" t="s">
        <v>294</v>
      </c>
      <c r="N394" s="193">
        <f>Sitio!$E$3</f>
        <v>0</v>
      </c>
      <c r="O394" s="193"/>
      <c r="P394" s="193"/>
      <c r="Q394" s="193"/>
      <c r="R394" s="194"/>
      <c r="S394" s="121" t="s">
        <v>294</v>
      </c>
      <c r="T394" s="193">
        <f>Sitio!$E$3</f>
        <v>0</v>
      </c>
      <c r="U394" s="193"/>
      <c r="V394" s="193"/>
      <c r="W394" s="193"/>
      <c r="X394" s="194"/>
    </row>
    <row r="395" spans="1:24" ht="9.75" customHeight="1" x14ac:dyDescent="0.15">
      <c r="A395" s="121" t="s">
        <v>295</v>
      </c>
      <c r="C395" s="193" t="e">
        <f>VLOOKUP(B397,Preenchimento!$A:$BV,2,0)</f>
        <v>#N/A</v>
      </c>
      <c r="D395" s="193" t="e">
        <f>VLOOKUP(C397,Preenchimento!$A:$BV,2,0)</f>
        <v>#N/A</v>
      </c>
      <c r="E395" s="193" t="e">
        <f>VLOOKUP(D397,Preenchimento!$A:$BV,2,0)</f>
        <v>#N/A</v>
      </c>
      <c r="F395" s="194" t="e">
        <f>VLOOKUP(E397,Preenchimento!$A:$BV,2,0)</f>
        <v>#N/A</v>
      </c>
      <c r="G395" s="121" t="s">
        <v>295</v>
      </c>
      <c r="I395" s="193" t="e">
        <f>VLOOKUP(H397,Preenchimento!$A:$BV,2,0)</f>
        <v>#N/A</v>
      </c>
      <c r="J395" s="193" t="e">
        <f>VLOOKUP(I397,Preenchimento!$A:$BV,2,0)</f>
        <v>#N/A</v>
      </c>
      <c r="K395" s="193" t="e">
        <f>VLOOKUP(J397,Preenchimento!$A:$BV,2,0)</f>
        <v>#N/A</v>
      </c>
      <c r="L395" s="194" t="e">
        <f>VLOOKUP(K397,Preenchimento!$A:$BV,2,0)</f>
        <v>#N/A</v>
      </c>
      <c r="M395" s="121" t="s">
        <v>295</v>
      </c>
      <c r="O395" s="193" t="e">
        <f>VLOOKUP(N397,Preenchimento!$A:$BV,2,0)</f>
        <v>#N/A</v>
      </c>
      <c r="P395" s="193" t="e">
        <f>VLOOKUP(O397,Preenchimento!$A:$BV,2,0)</f>
        <v>#N/A</v>
      </c>
      <c r="Q395" s="193" t="e">
        <f>VLOOKUP(P397,Preenchimento!$A:$BV,2,0)</f>
        <v>#N/A</v>
      </c>
      <c r="R395" s="194" t="e">
        <f>VLOOKUP(Q397,Preenchimento!$A:$BV,2,0)</f>
        <v>#N/A</v>
      </c>
      <c r="S395" s="121" t="s">
        <v>295</v>
      </c>
      <c r="U395" s="193" t="e">
        <f>VLOOKUP(T397,Preenchimento!$A:$BV,2,0)</f>
        <v>#N/A</v>
      </c>
      <c r="V395" s="193" t="e">
        <f>VLOOKUP(U397,Preenchimento!$A:$BV,2,0)</f>
        <v>#N/A</v>
      </c>
      <c r="W395" s="193" t="e">
        <f>VLOOKUP(V397,Preenchimento!$A:$BV,2,0)</f>
        <v>#N/A</v>
      </c>
      <c r="X395" s="194" t="e">
        <f>VLOOKUP(W397,Preenchimento!$A:$BV,2,0)</f>
        <v>#N/A</v>
      </c>
    </row>
    <row r="396" spans="1:24" ht="9.75" customHeight="1" x14ac:dyDescent="0.15">
      <c r="A396" s="121" t="s">
        <v>296</v>
      </c>
      <c r="B396" s="193" t="e">
        <f>VLOOKUP(B397,Preenchimento!$A:$BV,3,0)</f>
        <v>#N/A</v>
      </c>
      <c r="C396" s="193" t="e">
        <f>VLOOKUP(C397,Preenchimento!$A:$BV,3,0)</f>
        <v>#N/A</v>
      </c>
      <c r="D396" s="120" t="s">
        <v>297</v>
      </c>
      <c r="E396" s="197" t="e">
        <f>VLOOKUP(B397,Preenchimento!$A:$BV,5,0)</f>
        <v>#N/A</v>
      </c>
      <c r="F396" s="198" t="e">
        <f>VLOOKUP(C397,Preenchimento!$A:$BV,5,0)</f>
        <v>#N/A</v>
      </c>
      <c r="G396" s="121" t="s">
        <v>296</v>
      </c>
      <c r="H396" s="193" t="e">
        <f>VLOOKUP(H397,Preenchimento!$A:$BV,3,0)</f>
        <v>#N/A</v>
      </c>
      <c r="I396" s="193" t="e">
        <f>VLOOKUP(I397,Preenchimento!$A:$BV,3,0)</f>
        <v>#N/A</v>
      </c>
      <c r="J396" s="120" t="s">
        <v>297</v>
      </c>
      <c r="K396" s="197" t="e">
        <f>VLOOKUP(H397,Preenchimento!$A:$BV,5,0)</f>
        <v>#N/A</v>
      </c>
      <c r="L396" s="198" t="e">
        <f>VLOOKUP(I397,Preenchimento!$A:$BV,5,0)</f>
        <v>#N/A</v>
      </c>
      <c r="M396" s="121" t="s">
        <v>296</v>
      </c>
      <c r="N396" s="193" t="e">
        <f>VLOOKUP(N397,Preenchimento!$A:$BV,3,0)</f>
        <v>#N/A</v>
      </c>
      <c r="O396" s="193" t="e">
        <f>VLOOKUP(O397,Preenchimento!$A:$BV,3,0)</f>
        <v>#N/A</v>
      </c>
      <c r="P396" s="120" t="s">
        <v>297</v>
      </c>
      <c r="Q396" s="197" t="e">
        <f>VLOOKUP(N397,Preenchimento!$A:$BV,5,0)</f>
        <v>#N/A</v>
      </c>
      <c r="R396" s="198" t="e">
        <f>VLOOKUP(O397,Preenchimento!$A:$BV,5,0)</f>
        <v>#N/A</v>
      </c>
      <c r="S396" s="121" t="s">
        <v>296</v>
      </c>
      <c r="T396" s="193" t="e">
        <f>VLOOKUP(T397,Preenchimento!$A:$BV,3,0)</f>
        <v>#N/A</v>
      </c>
      <c r="U396" s="193" t="e">
        <f>VLOOKUP(U397,Preenchimento!$A:$BV,3,0)</f>
        <v>#N/A</v>
      </c>
      <c r="V396" s="120" t="s">
        <v>297</v>
      </c>
      <c r="W396" s="197" t="e">
        <f>VLOOKUP(T397,Preenchimento!$A:$BV,5,0)</f>
        <v>#N/A</v>
      </c>
      <c r="X396" s="198" t="e">
        <f>VLOOKUP(U397,Preenchimento!$A:$BV,5,0)</f>
        <v>#N/A</v>
      </c>
    </row>
    <row r="397" spans="1:24" ht="9.75" customHeight="1" x14ac:dyDescent="0.15">
      <c r="A397" s="121" t="s">
        <v>298</v>
      </c>
      <c r="B397" s="193"/>
      <c r="C397" s="193"/>
      <c r="D397" s="120" t="s">
        <v>299</v>
      </c>
      <c r="F397" s="131" t="e">
        <f>VLOOKUP(B397,Preenchimento!$A:$BV,10,0)</f>
        <v>#N/A</v>
      </c>
      <c r="G397" s="121" t="s">
        <v>298</v>
      </c>
      <c r="H397" s="193"/>
      <c r="I397" s="193"/>
      <c r="J397" s="120" t="s">
        <v>299</v>
      </c>
      <c r="L397" s="131" t="e">
        <f>VLOOKUP(H397,Preenchimento!$A:$BV,10,0)</f>
        <v>#N/A</v>
      </c>
      <c r="M397" s="121" t="s">
        <v>298</v>
      </c>
      <c r="N397" s="193"/>
      <c r="O397" s="193"/>
      <c r="P397" s="120" t="s">
        <v>299</v>
      </c>
      <c r="R397" s="131" t="e">
        <f>VLOOKUP(N397,Preenchimento!$A:$BV,10,0)</f>
        <v>#N/A</v>
      </c>
      <c r="S397" s="121" t="s">
        <v>298</v>
      </c>
      <c r="T397" s="193"/>
      <c r="U397" s="193"/>
      <c r="V397" s="120" t="s">
        <v>299</v>
      </c>
      <c r="X397" s="131" t="e">
        <f>VLOOKUP(T397,Preenchimento!$A:$BV,10,0)</f>
        <v>#N/A</v>
      </c>
    </row>
    <row r="398" spans="1:24" ht="9.75" customHeight="1" x14ac:dyDescent="0.15">
      <c r="A398" s="121" t="s">
        <v>300</v>
      </c>
      <c r="C398" s="193" t="e">
        <f>VLOOKUP(B397,Preenchimento!$A:$BV,12,0)</f>
        <v>#N/A</v>
      </c>
      <c r="D398" s="193" t="e">
        <f>VLOOKUP(C397,Preenchimento!$A:$BV,12,0)</f>
        <v>#N/A</v>
      </c>
      <c r="E398" s="193" t="e">
        <f>VLOOKUP(D397,Preenchimento!$A:$BV,12,0)</f>
        <v>#N/A</v>
      </c>
      <c r="F398" s="194" t="e">
        <f>VLOOKUP(E397,Preenchimento!$A:$BV,12,0)</f>
        <v>#N/A</v>
      </c>
      <c r="G398" s="121" t="s">
        <v>300</v>
      </c>
      <c r="I398" s="193" t="e">
        <f>VLOOKUP(H397,Preenchimento!$A:$BV,12,0)</f>
        <v>#N/A</v>
      </c>
      <c r="J398" s="193" t="e">
        <f>VLOOKUP(I397,Preenchimento!$A:$BV,12,0)</f>
        <v>#N/A</v>
      </c>
      <c r="K398" s="193" t="e">
        <f>VLOOKUP(J397,Preenchimento!$A:$BV,12,0)</f>
        <v>#N/A</v>
      </c>
      <c r="L398" s="194" t="e">
        <f>VLOOKUP(K397,Preenchimento!$A:$BV,12,0)</f>
        <v>#N/A</v>
      </c>
      <c r="M398" s="121" t="s">
        <v>300</v>
      </c>
      <c r="O398" s="193" t="e">
        <f>VLOOKUP(N397,Preenchimento!$A:$BV,12,0)</f>
        <v>#N/A</v>
      </c>
      <c r="P398" s="193" t="e">
        <f>VLOOKUP(O397,Preenchimento!$A:$BV,12,0)</f>
        <v>#N/A</v>
      </c>
      <c r="Q398" s="193" t="e">
        <f>VLOOKUP(P397,Preenchimento!$A:$BV,12,0)</f>
        <v>#N/A</v>
      </c>
      <c r="R398" s="194" t="e">
        <f>VLOOKUP(Q397,Preenchimento!$A:$BV,12,0)</f>
        <v>#N/A</v>
      </c>
      <c r="S398" s="121" t="s">
        <v>300</v>
      </c>
      <c r="U398" s="193" t="e">
        <f>VLOOKUP(T397,Preenchimento!$A:$BV,12,0)</f>
        <v>#N/A</v>
      </c>
      <c r="V398" s="193" t="e">
        <f>VLOOKUP(U397,Preenchimento!$A:$BV,12,0)</f>
        <v>#N/A</v>
      </c>
      <c r="W398" s="193" t="e">
        <f>VLOOKUP(V397,Preenchimento!$A:$BV,12,0)</f>
        <v>#N/A</v>
      </c>
      <c r="X398" s="194" t="e">
        <f>VLOOKUP(W397,Preenchimento!$A:$BV,12,0)</f>
        <v>#N/A</v>
      </c>
    </row>
    <row r="399" spans="1:24" ht="9.75" customHeight="1" x14ac:dyDescent="0.15">
      <c r="A399" s="123" t="s">
        <v>301</v>
      </c>
      <c r="B399" s="195" t="e">
        <f>IF(VLOOKUP(B397,Preenchimento!$A:$BV,11,0)=0,"",VLOOKUP(B397,Preenchimento!$A:$BV,11,0))</f>
        <v>#N/A</v>
      </c>
      <c r="C399" s="195"/>
      <c r="D399" s="195"/>
      <c r="E399" s="195"/>
      <c r="F399" s="196"/>
      <c r="G399" s="123" t="s">
        <v>301</v>
      </c>
      <c r="H399" s="195" t="e">
        <f>IF(VLOOKUP(H397,Preenchimento!$A:$BV,11,0)=0,"",VLOOKUP(H397,Preenchimento!$A:$BV,11,0))</f>
        <v>#N/A</v>
      </c>
      <c r="I399" s="195"/>
      <c r="J399" s="195"/>
      <c r="K399" s="195"/>
      <c r="L399" s="196"/>
      <c r="M399" s="123" t="s">
        <v>301</v>
      </c>
      <c r="N399" s="195" t="e">
        <f>IF(VLOOKUP(N397,Preenchimento!$A:$BV,11,0)=0,"",VLOOKUP(N397,Preenchimento!$A:$BV,11,0))</f>
        <v>#N/A</v>
      </c>
      <c r="O399" s="195"/>
      <c r="P399" s="195"/>
      <c r="Q399" s="195"/>
      <c r="R399" s="196"/>
      <c r="S399" s="123" t="s">
        <v>301</v>
      </c>
      <c r="T399" s="195" t="e">
        <f>IF(VLOOKUP(T397,Preenchimento!$A:$BV,11,0)=0,"",VLOOKUP(T397,Preenchimento!$A:$BV,11,0))</f>
        <v>#N/A</v>
      </c>
      <c r="U399" s="195"/>
      <c r="V399" s="195"/>
      <c r="W399" s="195"/>
      <c r="X399" s="196"/>
    </row>
    <row r="400" spans="1:24" s="130" customFormat="1" ht="33.950000000000003" customHeight="1" x14ac:dyDescent="0.25">
      <c r="A400" s="199" t="str">
        <f>Sitio!$A$3</f>
        <v>Projeto 01</v>
      </c>
      <c r="B400" s="200"/>
      <c r="C400" s="200"/>
      <c r="D400" s="200"/>
      <c r="E400" s="200"/>
      <c r="F400" s="201"/>
      <c r="G400" s="199" t="str">
        <f>Sitio!$A$3</f>
        <v>Projeto 01</v>
      </c>
      <c r="H400" s="200"/>
      <c r="I400" s="200"/>
      <c r="J400" s="200"/>
      <c r="K400" s="200"/>
      <c r="L400" s="201"/>
      <c r="M400" s="199" t="str">
        <f>Sitio!$A$3</f>
        <v>Projeto 01</v>
      </c>
      <c r="N400" s="200"/>
      <c r="O400" s="200"/>
      <c r="P400" s="200"/>
      <c r="Q400" s="200"/>
      <c r="R400" s="201"/>
      <c r="S400" s="199" t="str">
        <f>Sitio!$A$3</f>
        <v>Projeto 01</v>
      </c>
      <c r="T400" s="200"/>
      <c r="U400" s="200"/>
      <c r="V400" s="200"/>
      <c r="W400" s="200"/>
      <c r="X400" s="201"/>
    </row>
    <row r="401" spans="1:24" ht="9.75" customHeight="1" x14ac:dyDescent="0.15">
      <c r="A401" s="121" t="s">
        <v>294</v>
      </c>
      <c r="B401" s="193">
        <f>Sitio!$E$3</f>
        <v>0</v>
      </c>
      <c r="C401" s="193"/>
      <c r="D401" s="193"/>
      <c r="E401" s="193"/>
      <c r="F401" s="194"/>
      <c r="G401" s="121" t="s">
        <v>294</v>
      </c>
      <c r="H401" s="193">
        <f>Sitio!$E$3</f>
        <v>0</v>
      </c>
      <c r="I401" s="193"/>
      <c r="J401" s="193"/>
      <c r="K401" s="193"/>
      <c r="L401" s="194"/>
      <c r="M401" s="121" t="s">
        <v>294</v>
      </c>
      <c r="N401" s="193">
        <f>Sitio!$E$3</f>
        <v>0</v>
      </c>
      <c r="O401" s="193"/>
      <c r="P401" s="193"/>
      <c r="Q401" s="193"/>
      <c r="R401" s="194"/>
      <c r="S401" s="121" t="s">
        <v>294</v>
      </c>
      <c r="T401" s="193">
        <f>Sitio!$E$3</f>
        <v>0</v>
      </c>
      <c r="U401" s="193"/>
      <c r="V401" s="193"/>
      <c r="W401" s="193"/>
      <c r="X401" s="194"/>
    </row>
    <row r="402" spans="1:24" ht="9.75" customHeight="1" x14ac:dyDescent="0.15">
      <c r="A402" s="121" t="s">
        <v>295</v>
      </c>
      <c r="C402" s="193" t="e">
        <f>VLOOKUP(B404,Preenchimento!$A:$BV,2,0)</f>
        <v>#N/A</v>
      </c>
      <c r="D402" s="193" t="e">
        <f>VLOOKUP(C404,Preenchimento!$A:$BV,2,0)</f>
        <v>#N/A</v>
      </c>
      <c r="E402" s="193" t="e">
        <f>VLOOKUP(D404,Preenchimento!$A:$BV,2,0)</f>
        <v>#N/A</v>
      </c>
      <c r="F402" s="194" t="e">
        <f>VLOOKUP(E404,Preenchimento!$A:$BV,2,0)</f>
        <v>#N/A</v>
      </c>
      <c r="G402" s="121" t="s">
        <v>295</v>
      </c>
      <c r="I402" s="193" t="e">
        <f>VLOOKUP(H404,Preenchimento!$A:$BV,2,0)</f>
        <v>#N/A</v>
      </c>
      <c r="J402" s="193" t="e">
        <f>VLOOKUP(I404,Preenchimento!$A:$BV,2,0)</f>
        <v>#N/A</v>
      </c>
      <c r="K402" s="193" t="e">
        <f>VLOOKUP(J404,Preenchimento!$A:$BV,2,0)</f>
        <v>#N/A</v>
      </c>
      <c r="L402" s="194" t="e">
        <f>VLOOKUP(K404,Preenchimento!$A:$BV,2,0)</f>
        <v>#N/A</v>
      </c>
      <c r="M402" s="121" t="s">
        <v>295</v>
      </c>
      <c r="O402" s="193" t="e">
        <f>VLOOKUP(N404,Preenchimento!$A:$BV,2,0)</f>
        <v>#N/A</v>
      </c>
      <c r="P402" s="193" t="e">
        <f>VLOOKUP(O404,Preenchimento!$A:$BV,2,0)</f>
        <v>#N/A</v>
      </c>
      <c r="Q402" s="193" t="e">
        <f>VLOOKUP(P404,Preenchimento!$A:$BV,2,0)</f>
        <v>#N/A</v>
      </c>
      <c r="R402" s="194" t="e">
        <f>VLOOKUP(Q404,Preenchimento!$A:$BV,2,0)</f>
        <v>#N/A</v>
      </c>
      <c r="S402" s="121" t="s">
        <v>295</v>
      </c>
      <c r="U402" s="193" t="e">
        <f>VLOOKUP(T404,Preenchimento!$A:$BV,2,0)</f>
        <v>#N/A</v>
      </c>
      <c r="V402" s="193" t="e">
        <f>VLOOKUP(U404,Preenchimento!$A:$BV,2,0)</f>
        <v>#N/A</v>
      </c>
      <c r="W402" s="193" t="e">
        <f>VLOOKUP(V404,Preenchimento!$A:$BV,2,0)</f>
        <v>#N/A</v>
      </c>
      <c r="X402" s="194" t="e">
        <f>VLOOKUP(W404,Preenchimento!$A:$BV,2,0)</f>
        <v>#N/A</v>
      </c>
    </row>
    <row r="403" spans="1:24" ht="9.75" customHeight="1" x14ac:dyDescent="0.15">
      <c r="A403" s="121" t="s">
        <v>296</v>
      </c>
      <c r="B403" s="193" t="e">
        <f>VLOOKUP(B404,Preenchimento!$A:$BV,3,0)</f>
        <v>#N/A</v>
      </c>
      <c r="C403" s="193" t="e">
        <f>VLOOKUP(C404,Preenchimento!$A:$BV,3,0)</f>
        <v>#N/A</v>
      </c>
      <c r="D403" s="120" t="s">
        <v>297</v>
      </c>
      <c r="E403" s="197" t="e">
        <f>VLOOKUP(B404,Preenchimento!$A:$BV,5,0)</f>
        <v>#N/A</v>
      </c>
      <c r="F403" s="198" t="e">
        <f>VLOOKUP(C404,Preenchimento!$A:$BV,5,0)</f>
        <v>#N/A</v>
      </c>
      <c r="G403" s="121" t="s">
        <v>296</v>
      </c>
      <c r="H403" s="193" t="e">
        <f>VLOOKUP(H404,Preenchimento!$A:$BV,3,0)</f>
        <v>#N/A</v>
      </c>
      <c r="I403" s="193" t="e">
        <f>VLOOKUP(I404,Preenchimento!$A:$BV,3,0)</f>
        <v>#N/A</v>
      </c>
      <c r="J403" s="120" t="s">
        <v>297</v>
      </c>
      <c r="K403" s="197" t="e">
        <f>VLOOKUP(H404,Preenchimento!$A:$BV,5,0)</f>
        <v>#N/A</v>
      </c>
      <c r="L403" s="198" t="e">
        <f>VLOOKUP(I404,Preenchimento!$A:$BV,5,0)</f>
        <v>#N/A</v>
      </c>
      <c r="M403" s="121" t="s">
        <v>296</v>
      </c>
      <c r="N403" s="193" t="e">
        <f>VLOOKUP(N404,Preenchimento!$A:$BV,3,0)</f>
        <v>#N/A</v>
      </c>
      <c r="O403" s="193" t="e">
        <f>VLOOKUP(O404,Preenchimento!$A:$BV,3,0)</f>
        <v>#N/A</v>
      </c>
      <c r="P403" s="120" t="s">
        <v>297</v>
      </c>
      <c r="Q403" s="197" t="e">
        <f>VLOOKUP(N404,Preenchimento!$A:$BV,5,0)</f>
        <v>#N/A</v>
      </c>
      <c r="R403" s="198" t="e">
        <f>VLOOKUP(O404,Preenchimento!$A:$BV,5,0)</f>
        <v>#N/A</v>
      </c>
      <c r="S403" s="121" t="s">
        <v>296</v>
      </c>
      <c r="T403" s="193" t="e">
        <f>VLOOKUP(T404,Preenchimento!$A:$BV,3,0)</f>
        <v>#N/A</v>
      </c>
      <c r="U403" s="193" t="e">
        <f>VLOOKUP(U404,Preenchimento!$A:$BV,3,0)</f>
        <v>#N/A</v>
      </c>
      <c r="V403" s="120" t="s">
        <v>297</v>
      </c>
      <c r="W403" s="197" t="e">
        <f>VLOOKUP(T404,Preenchimento!$A:$BV,5,0)</f>
        <v>#N/A</v>
      </c>
      <c r="X403" s="198" t="e">
        <f>VLOOKUP(U404,Preenchimento!$A:$BV,5,0)</f>
        <v>#N/A</v>
      </c>
    </row>
    <row r="404" spans="1:24" ht="9.75" customHeight="1" x14ac:dyDescent="0.15">
      <c r="A404" s="121" t="s">
        <v>298</v>
      </c>
      <c r="B404" s="193"/>
      <c r="C404" s="193"/>
      <c r="D404" s="120" t="s">
        <v>299</v>
      </c>
      <c r="F404" s="131" t="e">
        <f>VLOOKUP(B404,Preenchimento!$A:$BV,10,0)</f>
        <v>#N/A</v>
      </c>
      <c r="G404" s="121" t="s">
        <v>298</v>
      </c>
      <c r="H404" s="193"/>
      <c r="I404" s="193"/>
      <c r="J404" s="120" t="s">
        <v>299</v>
      </c>
      <c r="L404" s="131" t="e">
        <f>VLOOKUP(H404,Preenchimento!$A:$BV,10,0)</f>
        <v>#N/A</v>
      </c>
      <c r="M404" s="121" t="s">
        <v>298</v>
      </c>
      <c r="N404" s="193"/>
      <c r="O404" s="193"/>
      <c r="P404" s="120" t="s">
        <v>299</v>
      </c>
      <c r="R404" s="131" t="e">
        <f>VLOOKUP(N404,Preenchimento!$A:$BV,10,0)</f>
        <v>#N/A</v>
      </c>
      <c r="S404" s="121" t="s">
        <v>298</v>
      </c>
      <c r="T404" s="193"/>
      <c r="U404" s="193"/>
      <c r="V404" s="120" t="s">
        <v>299</v>
      </c>
      <c r="X404" s="131" t="e">
        <f>VLOOKUP(T404,Preenchimento!$A:$BV,10,0)</f>
        <v>#N/A</v>
      </c>
    </row>
    <row r="405" spans="1:24" ht="9.75" customHeight="1" x14ac:dyDescent="0.15">
      <c r="A405" s="121" t="s">
        <v>300</v>
      </c>
      <c r="C405" s="193" t="e">
        <f>VLOOKUP(B404,Preenchimento!$A:$BV,12,0)</f>
        <v>#N/A</v>
      </c>
      <c r="D405" s="193" t="e">
        <f>VLOOKUP(C404,Preenchimento!$A:$BV,12,0)</f>
        <v>#N/A</v>
      </c>
      <c r="E405" s="193" t="e">
        <f>VLOOKUP(D404,Preenchimento!$A:$BV,12,0)</f>
        <v>#N/A</v>
      </c>
      <c r="F405" s="194" t="e">
        <f>VLOOKUP(E404,Preenchimento!$A:$BV,12,0)</f>
        <v>#N/A</v>
      </c>
      <c r="G405" s="121" t="s">
        <v>300</v>
      </c>
      <c r="I405" s="193" t="e">
        <f>VLOOKUP(H404,Preenchimento!$A:$BV,12,0)</f>
        <v>#N/A</v>
      </c>
      <c r="J405" s="193" t="e">
        <f>VLOOKUP(I404,Preenchimento!$A:$BV,12,0)</f>
        <v>#N/A</v>
      </c>
      <c r="K405" s="193" t="e">
        <f>VLOOKUP(J404,Preenchimento!$A:$BV,12,0)</f>
        <v>#N/A</v>
      </c>
      <c r="L405" s="194" t="e">
        <f>VLOOKUP(K404,Preenchimento!$A:$BV,12,0)</f>
        <v>#N/A</v>
      </c>
      <c r="M405" s="121" t="s">
        <v>300</v>
      </c>
      <c r="O405" s="193" t="e">
        <f>VLOOKUP(N404,Preenchimento!$A:$BV,12,0)</f>
        <v>#N/A</v>
      </c>
      <c r="P405" s="193" t="e">
        <f>VLOOKUP(O404,Preenchimento!$A:$BV,12,0)</f>
        <v>#N/A</v>
      </c>
      <c r="Q405" s="193" t="e">
        <f>VLOOKUP(P404,Preenchimento!$A:$BV,12,0)</f>
        <v>#N/A</v>
      </c>
      <c r="R405" s="194" t="e">
        <f>VLOOKUP(Q404,Preenchimento!$A:$BV,12,0)</f>
        <v>#N/A</v>
      </c>
      <c r="S405" s="121" t="s">
        <v>300</v>
      </c>
      <c r="U405" s="193" t="e">
        <f>VLOOKUP(T404,Preenchimento!$A:$BV,12,0)</f>
        <v>#N/A</v>
      </c>
      <c r="V405" s="193" t="e">
        <f>VLOOKUP(U404,Preenchimento!$A:$BV,12,0)</f>
        <v>#N/A</v>
      </c>
      <c r="W405" s="193" t="e">
        <f>VLOOKUP(V404,Preenchimento!$A:$BV,12,0)</f>
        <v>#N/A</v>
      </c>
      <c r="X405" s="194" t="e">
        <f>VLOOKUP(W404,Preenchimento!$A:$BV,12,0)</f>
        <v>#N/A</v>
      </c>
    </row>
    <row r="406" spans="1:24" ht="9.75" customHeight="1" x14ac:dyDescent="0.15">
      <c r="A406" s="123" t="s">
        <v>301</v>
      </c>
      <c r="B406" s="195" t="e">
        <f>IF(VLOOKUP(B404,Preenchimento!$A:$BV,11,0)=0,"",VLOOKUP(B404,Preenchimento!$A:$BV,11,0))</f>
        <v>#N/A</v>
      </c>
      <c r="C406" s="195"/>
      <c r="D406" s="195"/>
      <c r="E406" s="195"/>
      <c r="F406" s="196"/>
      <c r="G406" s="123" t="s">
        <v>301</v>
      </c>
      <c r="H406" s="195" t="e">
        <f>IF(VLOOKUP(H404,Preenchimento!$A:$BV,11,0)=0,"",VLOOKUP(H404,Preenchimento!$A:$BV,11,0))</f>
        <v>#N/A</v>
      </c>
      <c r="I406" s="195"/>
      <c r="J406" s="195"/>
      <c r="K406" s="195"/>
      <c r="L406" s="196"/>
      <c r="M406" s="123" t="s">
        <v>301</v>
      </c>
      <c r="N406" s="195" t="e">
        <f>IF(VLOOKUP(N404,Preenchimento!$A:$BV,11,0)=0,"",VLOOKUP(N404,Preenchimento!$A:$BV,11,0))</f>
        <v>#N/A</v>
      </c>
      <c r="O406" s="195"/>
      <c r="P406" s="195"/>
      <c r="Q406" s="195"/>
      <c r="R406" s="196"/>
      <c r="S406" s="123" t="s">
        <v>301</v>
      </c>
      <c r="T406" s="195" t="e">
        <f>IF(VLOOKUP(T404,Preenchimento!$A:$BV,11,0)=0,"",VLOOKUP(T404,Preenchimento!$A:$BV,11,0))</f>
        <v>#N/A</v>
      </c>
      <c r="U406" s="195"/>
      <c r="V406" s="195"/>
      <c r="W406" s="195"/>
      <c r="X406" s="196"/>
    </row>
    <row r="407" spans="1:24" s="130" customFormat="1" ht="33.950000000000003" customHeight="1" x14ac:dyDescent="0.25">
      <c r="A407" s="199" t="str">
        <f>Sitio!$A$3</f>
        <v>Projeto 01</v>
      </c>
      <c r="B407" s="200"/>
      <c r="C407" s="200"/>
      <c r="D407" s="200"/>
      <c r="E407" s="200"/>
      <c r="F407" s="201"/>
      <c r="G407" s="199" t="str">
        <f>Sitio!$A$3</f>
        <v>Projeto 01</v>
      </c>
      <c r="H407" s="200"/>
      <c r="I407" s="200"/>
      <c r="J407" s="200"/>
      <c r="K407" s="200"/>
      <c r="L407" s="201"/>
      <c r="M407" s="199" t="str">
        <f>Sitio!$A$3</f>
        <v>Projeto 01</v>
      </c>
      <c r="N407" s="200"/>
      <c r="O407" s="200"/>
      <c r="P407" s="200"/>
      <c r="Q407" s="200"/>
      <c r="R407" s="201"/>
      <c r="S407" s="199" t="str">
        <f>Sitio!$A$3</f>
        <v>Projeto 01</v>
      </c>
      <c r="T407" s="200"/>
      <c r="U407" s="200"/>
      <c r="V407" s="200"/>
      <c r="W407" s="200"/>
      <c r="X407" s="201"/>
    </row>
    <row r="408" spans="1:24" ht="9.75" customHeight="1" x14ac:dyDescent="0.15">
      <c r="A408" s="121" t="s">
        <v>294</v>
      </c>
      <c r="B408" s="193">
        <f>Sitio!$E$3</f>
        <v>0</v>
      </c>
      <c r="C408" s="193"/>
      <c r="D408" s="193"/>
      <c r="E408" s="193"/>
      <c r="F408" s="194"/>
      <c r="G408" s="121" t="s">
        <v>294</v>
      </c>
      <c r="H408" s="193">
        <f>Sitio!$E$3</f>
        <v>0</v>
      </c>
      <c r="I408" s="193"/>
      <c r="J408" s="193"/>
      <c r="K408" s="193"/>
      <c r="L408" s="194"/>
      <c r="M408" s="121" t="s">
        <v>294</v>
      </c>
      <c r="N408" s="193">
        <f>Sitio!$E$3</f>
        <v>0</v>
      </c>
      <c r="O408" s="193"/>
      <c r="P408" s="193"/>
      <c r="Q408" s="193"/>
      <c r="R408" s="194"/>
      <c r="S408" s="121" t="s">
        <v>294</v>
      </c>
      <c r="T408" s="193">
        <f>Sitio!$E$3</f>
        <v>0</v>
      </c>
      <c r="U408" s="193"/>
      <c r="V408" s="193"/>
      <c r="W408" s="193"/>
      <c r="X408" s="194"/>
    </row>
    <row r="409" spans="1:24" ht="9.75" customHeight="1" x14ac:dyDescent="0.15">
      <c r="A409" s="121" t="s">
        <v>295</v>
      </c>
      <c r="C409" s="193" t="e">
        <f>VLOOKUP(B411,Preenchimento!$A:$BV,2,0)</f>
        <v>#N/A</v>
      </c>
      <c r="D409" s="193" t="e">
        <f>VLOOKUP(C411,Preenchimento!$A:$BV,2,0)</f>
        <v>#N/A</v>
      </c>
      <c r="E409" s="193" t="e">
        <f>VLOOKUP(D411,Preenchimento!$A:$BV,2,0)</f>
        <v>#N/A</v>
      </c>
      <c r="F409" s="194" t="e">
        <f>VLOOKUP(E411,Preenchimento!$A:$BV,2,0)</f>
        <v>#N/A</v>
      </c>
      <c r="G409" s="121" t="s">
        <v>295</v>
      </c>
      <c r="I409" s="193" t="e">
        <f>VLOOKUP(H411,Preenchimento!$A:$BV,2,0)</f>
        <v>#N/A</v>
      </c>
      <c r="J409" s="193" t="e">
        <f>VLOOKUP(I411,Preenchimento!$A:$BV,2,0)</f>
        <v>#N/A</v>
      </c>
      <c r="K409" s="193" t="e">
        <f>VLOOKUP(J411,Preenchimento!$A:$BV,2,0)</f>
        <v>#N/A</v>
      </c>
      <c r="L409" s="194" t="e">
        <f>VLOOKUP(K411,Preenchimento!$A:$BV,2,0)</f>
        <v>#N/A</v>
      </c>
      <c r="M409" s="121" t="s">
        <v>295</v>
      </c>
      <c r="O409" s="193" t="e">
        <f>VLOOKUP(N411,Preenchimento!$A:$BV,2,0)</f>
        <v>#N/A</v>
      </c>
      <c r="P409" s="193" t="e">
        <f>VLOOKUP(O411,Preenchimento!$A:$BV,2,0)</f>
        <v>#N/A</v>
      </c>
      <c r="Q409" s="193" t="e">
        <f>VLOOKUP(P411,Preenchimento!$A:$BV,2,0)</f>
        <v>#N/A</v>
      </c>
      <c r="R409" s="194" t="e">
        <f>VLOOKUP(Q411,Preenchimento!$A:$BV,2,0)</f>
        <v>#N/A</v>
      </c>
      <c r="S409" s="121" t="s">
        <v>295</v>
      </c>
      <c r="U409" s="193" t="e">
        <f>VLOOKUP(T411,Preenchimento!$A:$BV,2,0)</f>
        <v>#N/A</v>
      </c>
      <c r="V409" s="193" t="e">
        <f>VLOOKUP(U411,Preenchimento!$A:$BV,2,0)</f>
        <v>#N/A</v>
      </c>
      <c r="W409" s="193" t="e">
        <f>VLOOKUP(V411,Preenchimento!$A:$BV,2,0)</f>
        <v>#N/A</v>
      </c>
      <c r="X409" s="194" t="e">
        <f>VLOOKUP(W411,Preenchimento!$A:$BV,2,0)</f>
        <v>#N/A</v>
      </c>
    </row>
    <row r="410" spans="1:24" ht="9.75" customHeight="1" x14ac:dyDescent="0.15">
      <c r="A410" s="121" t="s">
        <v>296</v>
      </c>
      <c r="B410" s="193" t="e">
        <f>VLOOKUP(B411,Preenchimento!$A:$BV,3,0)</f>
        <v>#N/A</v>
      </c>
      <c r="C410" s="193" t="e">
        <f>VLOOKUP(C411,Preenchimento!$A:$BV,3,0)</f>
        <v>#N/A</v>
      </c>
      <c r="D410" s="120" t="s">
        <v>297</v>
      </c>
      <c r="E410" s="197" t="e">
        <f>VLOOKUP(B411,Preenchimento!$A:$BV,5,0)</f>
        <v>#N/A</v>
      </c>
      <c r="F410" s="198" t="e">
        <f>VLOOKUP(C411,Preenchimento!$A:$BV,5,0)</f>
        <v>#N/A</v>
      </c>
      <c r="G410" s="121" t="s">
        <v>296</v>
      </c>
      <c r="H410" s="193" t="e">
        <f>VLOOKUP(H411,Preenchimento!$A:$BV,3,0)</f>
        <v>#N/A</v>
      </c>
      <c r="I410" s="193" t="e">
        <f>VLOOKUP(I411,Preenchimento!$A:$BV,3,0)</f>
        <v>#N/A</v>
      </c>
      <c r="J410" s="120" t="s">
        <v>297</v>
      </c>
      <c r="K410" s="197" t="e">
        <f>VLOOKUP(H411,Preenchimento!$A:$BV,5,0)</f>
        <v>#N/A</v>
      </c>
      <c r="L410" s="198" t="e">
        <f>VLOOKUP(I411,Preenchimento!$A:$BV,5,0)</f>
        <v>#N/A</v>
      </c>
      <c r="M410" s="121" t="s">
        <v>296</v>
      </c>
      <c r="N410" s="193" t="e">
        <f>VLOOKUP(N411,Preenchimento!$A:$BV,3,0)</f>
        <v>#N/A</v>
      </c>
      <c r="O410" s="193" t="e">
        <f>VLOOKUP(O411,Preenchimento!$A:$BV,3,0)</f>
        <v>#N/A</v>
      </c>
      <c r="P410" s="120" t="s">
        <v>297</v>
      </c>
      <c r="Q410" s="197" t="e">
        <f>VLOOKUP(N411,Preenchimento!$A:$BV,5,0)</f>
        <v>#N/A</v>
      </c>
      <c r="R410" s="198" t="e">
        <f>VLOOKUP(O411,Preenchimento!$A:$BV,5,0)</f>
        <v>#N/A</v>
      </c>
      <c r="S410" s="121" t="s">
        <v>296</v>
      </c>
      <c r="T410" s="193" t="e">
        <f>VLOOKUP(T411,Preenchimento!$A:$BV,3,0)</f>
        <v>#N/A</v>
      </c>
      <c r="U410" s="193" t="e">
        <f>VLOOKUP(U411,Preenchimento!$A:$BV,3,0)</f>
        <v>#N/A</v>
      </c>
      <c r="V410" s="120" t="s">
        <v>297</v>
      </c>
      <c r="W410" s="197" t="e">
        <f>VLOOKUP(T411,Preenchimento!$A:$BV,5,0)</f>
        <v>#N/A</v>
      </c>
      <c r="X410" s="198" t="e">
        <f>VLOOKUP(U411,Preenchimento!$A:$BV,5,0)</f>
        <v>#N/A</v>
      </c>
    </row>
    <row r="411" spans="1:24" ht="9.75" customHeight="1" x14ac:dyDescent="0.15">
      <c r="A411" s="121" t="s">
        <v>298</v>
      </c>
      <c r="B411" s="193"/>
      <c r="C411" s="193"/>
      <c r="D411" s="120" t="s">
        <v>299</v>
      </c>
      <c r="F411" s="131" t="e">
        <f>VLOOKUP(B411,Preenchimento!$A:$BV,10,0)</f>
        <v>#N/A</v>
      </c>
      <c r="G411" s="121" t="s">
        <v>298</v>
      </c>
      <c r="H411" s="193"/>
      <c r="I411" s="193"/>
      <c r="J411" s="120" t="s">
        <v>299</v>
      </c>
      <c r="L411" s="131" t="e">
        <f>VLOOKUP(H411,Preenchimento!$A:$BV,10,0)</f>
        <v>#N/A</v>
      </c>
      <c r="M411" s="121" t="s">
        <v>298</v>
      </c>
      <c r="N411" s="193"/>
      <c r="O411" s="193"/>
      <c r="P411" s="120" t="s">
        <v>299</v>
      </c>
      <c r="R411" s="131" t="e">
        <f>VLOOKUP(N411,Preenchimento!$A:$BV,10,0)</f>
        <v>#N/A</v>
      </c>
      <c r="S411" s="121" t="s">
        <v>298</v>
      </c>
      <c r="T411" s="193"/>
      <c r="U411" s="193"/>
      <c r="V411" s="120" t="s">
        <v>299</v>
      </c>
      <c r="X411" s="131" t="e">
        <f>VLOOKUP(T411,Preenchimento!$A:$BV,10,0)</f>
        <v>#N/A</v>
      </c>
    </row>
    <row r="412" spans="1:24" ht="9.75" customHeight="1" x14ac:dyDescent="0.15">
      <c r="A412" s="121" t="s">
        <v>300</v>
      </c>
      <c r="C412" s="193" t="e">
        <f>VLOOKUP(B411,Preenchimento!$A:$BV,12,0)</f>
        <v>#N/A</v>
      </c>
      <c r="D412" s="193" t="e">
        <f>VLOOKUP(C411,Preenchimento!$A:$BV,12,0)</f>
        <v>#N/A</v>
      </c>
      <c r="E412" s="193" t="e">
        <f>VLOOKUP(D411,Preenchimento!$A:$BV,12,0)</f>
        <v>#N/A</v>
      </c>
      <c r="F412" s="194" t="e">
        <f>VLOOKUP(E411,Preenchimento!$A:$BV,12,0)</f>
        <v>#N/A</v>
      </c>
      <c r="G412" s="121" t="s">
        <v>300</v>
      </c>
      <c r="I412" s="193" t="e">
        <f>VLOOKUP(H411,Preenchimento!$A:$BV,12,0)</f>
        <v>#N/A</v>
      </c>
      <c r="J412" s="193" t="e">
        <f>VLOOKUP(I411,Preenchimento!$A:$BV,12,0)</f>
        <v>#N/A</v>
      </c>
      <c r="K412" s="193" t="e">
        <f>VLOOKUP(J411,Preenchimento!$A:$BV,12,0)</f>
        <v>#N/A</v>
      </c>
      <c r="L412" s="194" t="e">
        <f>VLOOKUP(K411,Preenchimento!$A:$BV,12,0)</f>
        <v>#N/A</v>
      </c>
      <c r="M412" s="121" t="s">
        <v>300</v>
      </c>
      <c r="O412" s="193" t="e">
        <f>VLOOKUP(N411,Preenchimento!$A:$BV,12,0)</f>
        <v>#N/A</v>
      </c>
      <c r="P412" s="193" t="e">
        <f>VLOOKUP(O411,Preenchimento!$A:$BV,12,0)</f>
        <v>#N/A</v>
      </c>
      <c r="Q412" s="193" t="e">
        <f>VLOOKUP(P411,Preenchimento!$A:$BV,12,0)</f>
        <v>#N/A</v>
      </c>
      <c r="R412" s="194" t="e">
        <f>VLOOKUP(Q411,Preenchimento!$A:$BV,12,0)</f>
        <v>#N/A</v>
      </c>
      <c r="S412" s="121" t="s">
        <v>300</v>
      </c>
      <c r="U412" s="193" t="e">
        <f>VLOOKUP(T411,Preenchimento!$A:$BV,12,0)</f>
        <v>#N/A</v>
      </c>
      <c r="V412" s="193" t="e">
        <f>VLOOKUP(U411,Preenchimento!$A:$BV,12,0)</f>
        <v>#N/A</v>
      </c>
      <c r="W412" s="193" t="e">
        <f>VLOOKUP(V411,Preenchimento!$A:$BV,12,0)</f>
        <v>#N/A</v>
      </c>
      <c r="X412" s="194" t="e">
        <f>VLOOKUP(W411,Preenchimento!$A:$BV,12,0)</f>
        <v>#N/A</v>
      </c>
    </row>
    <row r="413" spans="1:24" ht="9.75" customHeight="1" x14ac:dyDescent="0.15">
      <c r="A413" s="123" t="s">
        <v>301</v>
      </c>
      <c r="B413" s="195" t="e">
        <f>IF(VLOOKUP(B411,Preenchimento!$A:$BV,11,0)=0,"",VLOOKUP(B411,Preenchimento!$A:$BV,11,0))</f>
        <v>#N/A</v>
      </c>
      <c r="C413" s="195"/>
      <c r="D413" s="195"/>
      <c r="E413" s="195"/>
      <c r="F413" s="196"/>
      <c r="G413" s="123" t="s">
        <v>301</v>
      </c>
      <c r="H413" s="195" t="e">
        <f>IF(VLOOKUP(H411,Preenchimento!$A:$BV,11,0)=0,"",VLOOKUP(H411,Preenchimento!$A:$BV,11,0))</f>
        <v>#N/A</v>
      </c>
      <c r="I413" s="195"/>
      <c r="J413" s="195"/>
      <c r="K413" s="195"/>
      <c r="L413" s="196"/>
      <c r="M413" s="123" t="s">
        <v>301</v>
      </c>
      <c r="N413" s="195" t="e">
        <f>IF(VLOOKUP(N411,Preenchimento!$A:$BV,11,0)=0,"",VLOOKUP(N411,Preenchimento!$A:$BV,11,0))</f>
        <v>#N/A</v>
      </c>
      <c r="O413" s="195"/>
      <c r="P413" s="195"/>
      <c r="Q413" s="195"/>
      <c r="R413" s="196"/>
      <c r="S413" s="123" t="s">
        <v>301</v>
      </c>
      <c r="T413" s="195" t="e">
        <f>IF(VLOOKUP(T411,Preenchimento!$A:$BV,11,0)=0,"",VLOOKUP(T411,Preenchimento!$A:$BV,11,0))</f>
        <v>#N/A</v>
      </c>
      <c r="U413" s="195"/>
      <c r="V413" s="195"/>
      <c r="W413" s="195"/>
      <c r="X413" s="196"/>
    </row>
    <row r="414" spans="1:24" s="130" customFormat="1" ht="33.950000000000003" customHeight="1" x14ac:dyDescent="0.25">
      <c r="A414" s="199" t="str">
        <f>Sitio!$A$3</f>
        <v>Projeto 01</v>
      </c>
      <c r="B414" s="200"/>
      <c r="C414" s="200"/>
      <c r="D414" s="200"/>
      <c r="E414" s="200"/>
      <c r="F414" s="201"/>
      <c r="G414" s="199" t="str">
        <f>Sitio!$A$3</f>
        <v>Projeto 01</v>
      </c>
      <c r="H414" s="200"/>
      <c r="I414" s="200"/>
      <c r="J414" s="200"/>
      <c r="K414" s="200"/>
      <c r="L414" s="201"/>
      <c r="M414" s="199" t="str">
        <f>Sitio!$A$3</f>
        <v>Projeto 01</v>
      </c>
      <c r="N414" s="200"/>
      <c r="O414" s="200"/>
      <c r="P414" s="200"/>
      <c r="Q414" s="200"/>
      <c r="R414" s="201"/>
      <c r="S414" s="199" t="str">
        <f>Sitio!$A$3</f>
        <v>Projeto 01</v>
      </c>
      <c r="T414" s="200"/>
      <c r="U414" s="200"/>
      <c r="V414" s="200"/>
      <c r="W414" s="200"/>
      <c r="X414" s="201"/>
    </row>
    <row r="415" spans="1:24" ht="9.75" customHeight="1" x14ac:dyDescent="0.15">
      <c r="A415" s="121" t="s">
        <v>294</v>
      </c>
      <c r="B415" s="193">
        <f>Sitio!$E$3</f>
        <v>0</v>
      </c>
      <c r="C415" s="193"/>
      <c r="D415" s="193"/>
      <c r="E415" s="193"/>
      <c r="F415" s="194"/>
      <c r="G415" s="121" t="s">
        <v>294</v>
      </c>
      <c r="H415" s="193">
        <f>Sitio!$E$3</f>
        <v>0</v>
      </c>
      <c r="I415" s="193"/>
      <c r="J415" s="193"/>
      <c r="K415" s="193"/>
      <c r="L415" s="194"/>
      <c r="M415" s="121" t="s">
        <v>294</v>
      </c>
      <c r="N415" s="193">
        <f>Sitio!$E$3</f>
        <v>0</v>
      </c>
      <c r="O415" s="193"/>
      <c r="P415" s="193"/>
      <c r="Q415" s="193"/>
      <c r="R415" s="194"/>
      <c r="S415" s="121" t="s">
        <v>294</v>
      </c>
      <c r="T415" s="193">
        <f>Sitio!$E$3</f>
        <v>0</v>
      </c>
      <c r="U415" s="193"/>
      <c r="V415" s="193"/>
      <c r="W415" s="193"/>
      <c r="X415" s="194"/>
    </row>
    <row r="416" spans="1:24" ht="9.75" customHeight="1" x14ac:dyDescent="0.15">
      <c r="A416" s="121" t="s">
        <v>295</v>
      </c>
      <c r="C416" s="193" t="e">
        <f>VLOOKUP(B418,Preenchimento!$A:$BV,2,0)</f>
        <v>#N/A</v>
      </c>
      <c r="D416" s="193" t="e">
        <f>VLOOKUP(C418,Preenchimento!$A:$BV,2,0)</f>
        <v>#N/A</v>
      </c>
      <c r="E416" s="193" t="e">
        <f>VLOOKUP(D418,Preenchimento!$A:$BV,2,0)</f>
        <v>#N/A</v>
      </c>
      <c r="F416" s="194" t="e">
        <f>VLOOKUP(E418,Preenchimento!$A:$BV,2,0)</f>
        <v>#N/A</v>
      </c>
      <c r="G416" s="121" t="s">
        <v>295</v>
      </c>
      <c r="I416" s="193" t="e">
        <f>VLOOKUP(H418,Preenchimento!$A:$BV,2,0)</f>
        <v>#N/A</v>
      </c>
      <c r="J416" s="193" t="e">
        <f>VLOOKUP(I418,Preenchimento!$A:$BV,2,0)</f>
        <v>#N/A</v>
      </c>
      <c r="K416" s="193" t="e">
        <f>VLOOKUP(J418,Preenchimento!$A:$BV,2,0)</f>
        <v>#N/A</v>
      </c>
      <c r="L416" s="194" t="e">
        <f>VLOOKUP(K418,Preenchimento!$A:$BV,2,0)</f>
        <v>#N/A</v>
      </c>
      <c r="M416" s="121" t="s">
        <v>295</v>
      </c>
      <c r="O416" s="193" t="e">
        <f>VLOOKUP(N418,Preenchimento!$A:$BV,2,0)</f>
        <v>#N/A</v>
      </c>
      <c r="P416" s="193" t="e">
        <f>VLOOKUP(O418,Preenchimento!$A:$BV,2,0)</f>
        <v>#N/A</v>
      </c>
      <c r="Q416" s="193" t="e">
        <f>VLOOKUP(P418,Preenchimento!$A:$BV,2,0)</f>
        <v>#N/A</v>
      </c>
      <c r="R416" s="194" t="e">
        <f>VLOOKUP(Q418,Preenchimento!$A:$BV,2,0)</f>
        <v>#N/A</v>
      </c>
      <c r="S416" s="121" t="s">
        <v>295</v>
      </c>
      <c r="U416" s="193" t="e">
        <f>VLOOKUP(T418,Preenchimento!$A:$BV,2,0)</f>
        <v>#N/A</v>
      </c>
      <c r="V416" s="193" t="e">
        <f>VLOOKUP(U418,Preenchimento!$A:$BV,2,0)</f>
        <v>#N/A</v>
      </c>
      <c r="W416" s="193" t="e">
        <f>VLOOKUP(V418,Preenchimento!$A:$BV,2,0)</f>
        <v>#N/A</v>
      </c>
      <c r="X416" s="194" t="e">
        <f>VLOOKUP(W418,Preenchimento!$A:$BV,2,0)</f>
        <v>#N/A</v>
      </c>
    </row>
    <row r="417" spans="1:24" ht="9.75" customHeight="1" x14ac:dyDescent="0.15">
      <c r="A417" s="121" t="s">
        <v>296</v>
      </c>
      <c r="B417" s="193" t="e">
        <f>VLOOKUP(B418,Preenchimento!$A:$BV,3,0)</f>
        <v>#N/A</v>
      </c>
      <c r="C417" s="193" t="e">
        <f>VLOOKUP(C418,Preenchimento!$A:$BV,3,0)</f>
        <v>#N/A</v>
      </c>
      <c r="D417" s="120" t="s">
        <v>297</v>
      </c>
      <c r="E417" s="197" t="e">
        <f>VLOOKUP(B418,Preenchimento!$A:$BV,5,0)</f>
        <v>#N/A</v>
      </c>
      <c r="F417" s="198" t="e">
        <f>VLOOKUP(C418,Preenchimento!$A:$BV,5,0)</f>
        <v>#N/A</v>
      </c>
      <c r="G417" s="121" t="s">
        <v>296</v>
      </c>
      <c r="H417" s="193" t="e">
        <f>VLOOKUP(H418,Preenchimento!$A:$BV,3,0)</f>
        <v>#N/A</v>
      </c>
      <c r="I417" s="193" t="e">
        <f>VLOOKUP(I418,Preenchimento!$A:$BV,3,0)</f>
        <v>#N/A</v>
      </c>
      <c r="J417" s="120" t="s">
        <v>297</v>
      </c>
      <c r="K417" s="197" t="e">
        <f>VLOOKUP(H418,Preenchimento!$A:$BV,5,0)</f>
        <v>#N/A</v>
      </c>
      <c r="L417" s="198" t="e">
        <f>VLOOKUP(I418,Preenchimento!$A:$BV,5,0)</f>
        <v>#N/A</v>
      </c>
      <c r="M417" s="121" t="s">
        <v>296</v>
      </c>
      <c r="N417" s="193" t="e">
        <f>VLOOKUP(N418,Preenchimento!$A:$BV,3,0)</f>
        <v>#N/A</v>
      </c>
      <c r="O417" s="193" t="e">
        <f>VLOOKUP(O418,Preenchimento!$A:$BV,3,0)</f>
        <v>#N/A</v>
      </c>
      <c r="P417" s="120" t="s">
        <v>297</v>
      </c>
      <c r="Q417" s="197" t="e">
        <f>VLOOKUP(N418,Preenchimento!$A:$BV,5,0)</f>
        <v>#N/A</v>
      </c>
      <c r="R417" s="198" t="e">
        <f>VLOOKUP(O418,Preenchimento!$A:$BV,5,0)</f>
        <v>#N/A</v>
      </c>
      <c r="S417" s="121" t="s">
        <v>296</v>
      </c>
      <c r="T417" s="193" t="e">
        <f>VLOOKUP(T418,Preenchimento!$A:$BV,3,0)</f>
        <v>#N/A</v>
      </c>
      <c r="U417" s="193" t="e">
        <f>VLOOKUP(U418,Preenchimento!$A:$BV,3,0)</f>
        <v>#N/A</v>
      </c>
      <c r="V417" s="120" t="s">
        <v>297</v>
      </c>
      <c r="W417" s="197" t="e">
        <f>VLOOKUP(T418,Preenchimento!$A:$BV,5,0)</f>
        <v>#N/A</v>
      </c>
      <c r="X417" s="198" t="e">
        <f>VLOOKUP(U418,Preenchimento!$A:$BV,5,0)</f>
        <v>#N/A</v>
      </c>
    </row>
    <row r="418" spans="1:24" ht="9.75" customHeight="1" x14ac:dyDescent="0.15">
      <c r="A418" s="121" t="s">
        <v>298</v>
      </c>
      <c r="B418" s="193"/>
      <c r="C418" s="193"/>
      <c r="D418" s="120" t="s">
        <v>299</v>
      </c>
      <c r="F418" s="131" t="e">
        <f>VLOOKUP(B418,Preenchimento!$A:$BV,10,0)</f>
        <v>#N/A</v>
      </c>
      <c r="G418" s="121" t="s">
        <v>298</v>
      </c>
      <c r="H418" s="193"/>
      <c r="I418" s="193"/>
      <c r="J418" s="120" t="s">
        <v>299</v>
      </c>
      <c r="L418" s="131" t="e">
        <f>VLOOKUP(H418,Preenchimento!$A:$BV,10,0)</f>
        <v>#N/A</v>
      </c>
      <c r="M418" s="121" t="s">
        <v>298</v>
      </c>
      <c r="N418" s="193"/>
      <c r="O418" s="193"/>
      <c r="P418" s="120" t="s">
        <v>299</v>
      </c>
      <c r="R418" s="131" t="e">
        <f>VLOOKUP(N418,Preenchimento!$A:$BV,10,0)</f>
        <v>#N/A</v>
      </c>
      <c r="S418" s="121" t="s">
        <v>298</v>
      </c>
      <c r="T418" s="193"/>
      <c r="U418" s="193"/>
      <c r="V418" s="120" t="s">
        <v>299</v>
      </c>
      <c r="X418" s="131" t="e">
        <f>VLOOKUP(T418,Preenchimento!$A:$BV,10,0)</f>
        <v>#N/A</v>
      </c>
    </row>
    <row r="419" spans="1:24" ht="9.75" customHeight="1" x14ac:dyDescent="0.15">
      <c r="A419" s="121" t="s">
        <v>300</v>
      </c>
      <c r="C419" s="193" t="e">
        <f>VLOOKUP(B418,Preenchimento!$A:$BV,12,0)</f>
        <v>#N/A</v>
      </c>
      <c r="D419" s="193" t="e">
        <f>VLOOKUP(C418,Preenchimento!$A:$BV,12,0)</f>
        <v>#N/A</v>
      </c>
      <c r="E419" s="193" t="e">
        <f>VLOOKUP(D418,Preenchimento!$A:$BV,12,0)</f>
        <v>#N/A</v>
      </c>
      <c r="F419" s="194" t="e">
        <f>VLOOKUP(E418,Preenchimento!$A:$BV,12,0)</f>
        <v>#N/A</v>
      </c>
      <c r="G419" s="121" t="s">
        <v>300</v>
      </c>
      <c r="I419" s="193" t="e">
        <f>VLOOKUP(H418,Preenchimento!$A:$BV,12,0)</f>
        <v>#N/A</v>
      </c>
      <c r="J419" s="193" t="e">
        <f>VLOOKUP(I418,Preenchimento!$A:$BV,12,0)</f>
        <v>#N/A</v>
      </c>
      <c r="K419" s="193" t="e">
        <f>VLOOKUP(J418,Preenchimento!$A:$BV,12,0)</f>
        <v>#N/A</v>
      </c>
      <c r="L419" s="194" t="e">
        <f>VLOOKUP(K418,Preenchimento!$A:$BV,12,0)</f>
        <v>#N/A</v>
      </c>
      <c r="M419" s="121" t="s">
        <v>300</v>
      </c>
      <c r="O419" s="193" t="e">
        <f>VLOOKUP(N418,Preenchimento!$A:$BV,12,0)</f>
        <v>#N/A</v>
      </c>
      <c r="P419" s="193" t="e">
        <f>VLOOKUP(O418,Preenchimento!$A:$BV,12,0)</f>
        <v>#N/A</v>
      </c>
      <c r="Q419" s="193" t="e">
        <f>VLOOKUP(P418,Preenchimento!$A:$BV,12,0)</f>
        <v>#N/A</v>
      </c>
      <c r="R419" s="194" t="e">
        <f>VLOOKUP(Q418,Preenchimento!$A:$BV,12,0)</f>
        <v>#N/A</v>
      </c>
      <c r="S419" s="121" t="s">
        <v>300</v>
      </c>
      <c r="U419" s="193" t="e">
        <f>VLOOKUP(T418,Preenchimento!$A:$BV,12,0)</f>
        <v>#N/A</v>
      </c>
      <c r="V419" s="193" t="e">
        <f>VLOOKUP(U418,Preenchimento!$A:$BV,12,0)</f>
        <v>#N/A</v>
      </c>
      <c r="W419" s="193" t="e">
        <f>VLOOKUP(V418,Preenchimento!$A:$BV,12,0)</f>
        <v>#N/A</v>
      </c>
      <c r="X419" s="194" t="e">
        <f>VLOOKUP(W418,Preenchimento!$A:$BV,12,0)</f>
        <v>#N/A</v>
      </c>
    </row>
    <row r="420" spans="1:24" ht="9.75" customHeight="1" x14ac:dyDescent="0.15">
      <c r="A420" s="123" t="s">
        <v>301</v>
      </c>
      <c r="B420" s="195" t="e">
        <f>IF(VLOOKUP(B418,Preenchimento!$A:$BV,11,0)=0,"",VLOOKUP(B418,Preenchimento!$A:$BV,11,0))</f>
        <v>#N/A</v>
      </c>
      <c r="C420" s="195"/>
      <c r="D420" s="195"/>
      <c r="E420" s="195"/>
      <c r="F420" s="196"/>
      <c r="G420" s="123" t="s">
        <v>301</v>
      </c>
      <c r="H420" s="195" t="e">
        <f>IF(VLOOKUP(H418,Preenchimento!$A:$BV,11,0)=0,"",VLOOKUP(H418,Preenchimento!$A:$BV,11,0))</f>
        <v>#N/A</v>
      </c>
      <c r="I420" s="195"/>
      <c r="J420" s="195"/>
      <c r="K420" s="195"/>
      <c r="L420" s="196"/>
      <c r="M420" s="123" t="s">
        <v>301</v>
      </c>
      <c r="N420" s="195" t="e">
        <f>IF(VLOOKUP(N418,Preenchimento!$A:$BV,11,0)=0,"",VLOOKUP(N418,Preenchimento!$A:$BV,11,0))</f>
        <v>#N/A</v>
      </c>
      <c r="O420" s="195"/>
      <c r="P420" s="195"/>
      <c r="Q420" s="195"/>
      <c r="R420" s="196"/>
      <c r="S420" s="123" t="s">
        <v>301</v>
      </c>
      <c r="T420" s="195" t="e">
        <f>IF(VLOOKUP(T418,Preenchimento!$A:$BV,11,0)=0,"",VLOOKUP(T418,Preenchimento!$A:$BV,11,0))</f>
        <v>#N/A</v>
      </c>
      <c r="U420" s="195"/>
      <c r="V420" s="195"/>
      <c r="W420" s="195"/>
      <c r="X420" s="196"/>
    </row>
    <row r="424" spans="1:24" ht="9.75" customHeight="1" x14ac:dyDescent="0.15">
      <c r="E424" s="128"/>
      <c r="K424" s="128"/>
      <c r="Q424" s="128"/>
      <c r="W424" s="128"/>
    </row>
  </sheetData>
  <sheetProtection algorithmName="SHA-512" hashValue="6qSArING8TR9BlHzaizsICNAVSGt2mIia2c0KIOuJUEjKk/pqARMl2Y5IEAnBSwnMgsj9seTo3zHrRbTtiGMwQ==" saltValue="a41fEgrZj4VYpOxkuI+msQ==" spinCount="100000" sheet="1" objects="1" scenarios="1"/>
  <mergeCells count="1920">
    <mergeCell ref="B39:C39"/>
    <mergeCell ref="E39:F39"/>
    <mergeCell ref="H39:I39"/>
    <mergeCell ref="K39:L39"/>
    <mergeCell ref="N39:O39"/>
    <mergeCell ref="Q39:R39"/>
    <mergeCell ref="C41:F41"/>
    <mergeCell ref="I41:L41"/>
    <mergeCell ref="O41:R41"/>
    <mergeCell ref="U41:X41"/>
    <mergeCell ref="B42:F42"/>
    <mergeCell ref="H42:L42"/>
    <mergeCell ref="N42:R42"/>
    <mergeCell ref="T42:X42"/>
    <mergeCell ref="T39:U39"/>
    <mergeCell ref="W39:X39"/>
    <mergeCell ref="B40:C40"/>
    <mergeCell ref="H40:I40"/>
    <mergeCell ref="N40:O40"/>
    <mergeCell ref="T40:U40"/>
    <mergeCell ref="A36:F36"/>
    <mergeCell ref="G36:L36"/>
    <mergeCell ref="M36:R36"/>
    <mergeCell ref="S36:X36"/>
    <mergeCell ref="B37:F37"/>
    <mergeCell ref="H37:L37"/>
    <mergeCell ref="N37:R37"/>
    <mergeCell ref="T37:X37"/>
    <mergeCell ref="C34:F34"/>
    <mergeCell ref="I34:L34"/>
    <mergeCell ref="O34:R34"/>
    <mergeCell ref="U34:X34"/>
    <mergeCell ref="B35:F35"/>
    <mergeCell ref="H35:L35"/>
    <mergeCell ref="N35:R35"/>
    <mergeCell ref="T35:X35"/>
    <mergeCell ref="C38:F38"/>
    <mergeCell ref="I38:L38"/>
    <mergeCell ref="O38:R38"/>
    <mergeCell ref="U38:X38"/>
    <mergeCell ref="B30:F30"/>
    <mergeCell ref="H30:L30"/>
    <mergeCell ref="N30:R30"/>
    <mergeCell ref="T30:X30"/>
    <mergeCell ref="C27:F27"/>
    <mergeCell ref="I27:L27"/>
    <mergeCell ref="O27:R27"/>
    <mergeCell ref="U27:X27"/>
    <mergeCell ref="B28:F28"/>
    <mergeCell ref="H28:L28"/>
    <mergeCell ref="N28:R28"/>
    <mergeCell ref="T28:X28"/>
    <mergeCell ref="T32:U32"/>
    <mergeCell ref="W32:X32"/>
    <mergeCell ref="B33:C33"/>
    <mergeCell ref="H33:I33"/>
    <mergeCell ref="N33:O33"/>
    <mergeCell ref="T33:U33"/>
    <mergeCell ref="C31:F31"/>
    <mergeCell ref="I31:L31"/>
    <mergeCell ref="O31:R31"/>
    <mergeCell ref="U31:X31"/>
    <mergeCell ref="B32:C32"/>
    <mergeCell ref="E32:F32"/>
    <mergeCell ref="H32:I32"/>
    <mergeCell ref="K32:L32"/>
    <mergeCell ref="N32:O32"/>
    <mergeCell ref="Q32:R32"/>
    <mergeCell ref="B26:C26"/>
    <mergeCell ref="H26:I26"/>
    <mergeCell ref="N26:O26"/>
    <mergeCell ref="T26:U26"/>
    <mergeCell ref="C24:F24"/>
    <mergeCell ref="I24:L24"/>
    <mergeCell ref="O24:R24"/>
    <mergeCell ref="U24:X24"/>
    <mergeCell ref="B25:C25"/>
    <mergeCell ref="E25:F25"/>
    <mergeCell ref="H25:I25"/>
    <mergeCell ref="K25:L25"/>
    <mergeCell ref="N25:O25"/>
    <mergeCell ref="Q25:R25"/>
    <mergeCell ref="A29:F29"/>
    <mergeCell ref="G29:L29"/>
    <mergeCell ref="M29:R29"/>
    <mergeCell ref="S29:X29"/>
    <mergeCell ref="A22:F22"/>
    <mergeCell ref="G22:L22"/>
    <mergeCell ref="M22:R22"/>
    <mergeCell ref="S22:X22"/>
    <mergeCell ref="B23:F23"/>
    <mergeCell ref="H23:L23"/>
    <mergeCell ref="N23:R23"/>
    <mergeCell ref="T23:X23"/>
    <mergeCell ref="C20:F20"/>
    <mergeCell ref="I20:L20"/>
    <mergeCell ref="O20:R20"/>
    <mergeCell ref="U20:X20"/>
    <mergeCell ref="B21:F21"/>
    <mergeCell ref="H21:L21"/>
    <mergeCell ref="N21:R21"/>
    <mergeCell ref="T21:X21"/>
    <mergeCell ref="T25:U25"/>
    <mergeCell ref="W25:X25"/>
    <mergeCell ref="B16:F16"/>
    <mergeCell ref="H16:L16"/>
    <mergeCell ref="N16:R16"/>
    <mergeCell ref="T16:X16"/>
    <mergeCell ref="C13:F13"/>
    <mergeCell ref="I13:L13"/>
    <mergeCell ref="O13:R13"/>
    <mergeCell ref="U13:X13"/>
    <mergeCell ref="B14:F14"/>
    <mergeCell ref="H14:L14"/>
    <mergeCell ref="N14:R14"/>
    <mergeCell ref="T14:X14"/>
    <mergeCell ref="T18:U18"/>
    <mergeCell ref="W18:X18"/>
    <mergeCell ref="B19:C19"/>
    <mergeCell ref="H19:I19"/>
    <mergeCell ref="N19:O19"/>
    <mergeCell ref="T19:U19"/>
    <mergeCell ref="C17:F17"/>
    <mergeCell ref="I17:L17"/>
    <mergeCell ref="O17:R17"/>
    <mergeCell ref="U17:X17"/>
    <mergeCell ref="B18:C18"/>
    <mergeCell ref="E18:F18"/>
    <mergeCell ref="H18:I18"/>
    <mergeCell ref="K18:L18"/>
    <mergeCell ref="N18:O18"/>
    <mergeCell ref="Q18:R18"/>
    <mergeCell ref="T11:U11"/>
    <mergeCell ref="W11:X11"/>
    <mergeCell ref="B12:C12"/>
    <mergeCell ref="H12:I12"/>
    <mergeCell ref="N12:O12"/>
    <mergeCell ref="T12:U12"/>
    <mergeCell ref="C10:F10"/>
    <mergeCell ref="I10:L10"/>
    <mergeCell ref="O10:R10"/>
    <mergeCell ref="U10:X10"/>
    <mergeCell ref="B11:C11"/>
    <mergeCell ref="E11:F11"/>
    <mergeCell ref="H11:I11"/>
    <mergeCell ref="K11:L11"/>
    <mergeCell ref="N11:O11"/>
    <mergeCell ref="Q11:R11"/>
    <mergeCell ref="A15:F15"/>
    <mergeCell ref="G15:L15"/>
    <mergeCell ref="M15:R15"/>
    <mergeCell ref="S15:X15"/>
    <mergeCell ref="N5:O5"/>
    <mergeCell ref="T5:U5"/>
    <mergeCell ref="C3:F3"/>
    <mergeCell ref="I3:L3"/>
    <mergeCell ref="O3:R3"/>
    <mergeCell ref="U3:X3"/>
    <mergeCell ref="B4:C4"/>
    <mergeCell ref="E4:F4"/>
    <mergeCell ref="H4:I4"/>
    <mergeCell ref="K4:L4"/>
    <mergeCell ref="N4:O4"/>
    <mergeCell ref="Q4:R4"/>
    <mergeCell ref="A8:F8"/>
    <mergeCell ref="G8:L8"/>
    <mergeCell ref="M8:R8"/>
    <mergeCell ref="S8:X8"/>
    <mergeCell ref="B9:F9"/>
    <mergeCell ref="H9:L9"/>
    <mergeCell ref="N9:R9"/>
    <mergeCell ref="T9:X9"/>
    <mergeCell ref="C6:F6"/>
    <mergeCell ref="I6:L6"/>
    <mergeCell ref="O6:R6"/>
    <mergeCell ref="U6:X6"/>
    <mergeCell ref="B7:F7"/>
    <mergeCell ref="H7:L7"/>
    <mergeCell ref="N7:R7"/>
    <mergeCell ref="T7:X7"/>
    <mergeCell ref="B44:F44"/>
    <mergeCell ref="H44:L44"/>
    <mergeCell ref="N44:R44"/>
    <mergeCell ref="T44:X44"/>
    <mergeCell ref="C45:F45"/>
    <mergeCell ref="I45:L45"/>
    <mergeCell ref="O45:R45"/>
    <mergeCell ref="U45:X45"/>
    <mergeCell ref="B46:C46"/>
    <mergeCell ref="E46:F46"/>
    <mergeCell ref="H46:I46"/>
    <mergeCell ref="K46:L46"/>
    <mergeCell ref="N46:O46"/>
    <mergeCell ref="Q46:R46"/>
    <mergeCell ref="T46:U46"/>
    <mergeCell ref="W46:X46"/>
    <mergeCell ref="A1:F1"/>
    <mergeCell ref="G1:L1"/>
    <mergeCell ref="M1:R1"/>
    <mergeCell ref="S1:X1"/>
    <mergeCell ref="B2:F2"/>
    <mergeCell ref="H2:L2"/>
    <mergeCell ref="N2:R2"/>
    <mergeCell ref="T2:X2"/>
    <mergeCell ref="A43:F43"/>
    <mergeCell ref="G43:L43"/>
    <mergeCell ref="M43:R43"/>
    <mergeCell ref="S43:X43"/>
    <mergeCell ref="T4:U4"/>
    <mergeCell ref="W4:X4"/>
    <mergeCell ref="B5:C5"/>
    <mergeCell ref="H5:I5"/>
    <mergeCell ref="A50:F50"/>
    <mergeCell ref="G50:L50"/>
    <mergeCell ref="M50:R50"/>
    <mergeCell ref="S50:X50"/>
    <mergeCell ref="B51:F51"/>
    <mergeCell ref="H51:L51"/>
    <mergeCell ref="N51:R51"/>
    <mergeCell ref="T51:X51"/>
    <mergeCell ref="C52:F52"/>
    <mergeCell ref="I52:L52"/>
    <mergeCell ref="O52:R52"/>
    <mergeCell ref="U52:X52"/>
    <mergeCell ref="B47:C47"/>
    <mergeCell ref="H47:I47"/>
    <mergeCell ref="N47:O47"/>
    <mergeCell ref="T47:U47"/>
    <mergeCell ref="C48:F48"/>
    <mergeCell ref="I48:L48"/>
    <mergeCell ref="O48:R48"/>
    <mergeCell ref="U48:X48"/>
    <mergeCell ref="B49:F49"/>
    <mergeCell ref="H49:L49"/>
    <mergeCell ref="N49:R49"/>
    <mergeCell ref="T49:X49"/>
    <mergeCell ref="C55:F55"/>
    <mergeCell ref="I55:L55"/>
    <mergeCell ref="O55:R55"/>
    <mergeCell ref="U55:X55"/>
    <mergeCell ref="B56:F56"/>
    <mergeCell ref="H56:L56"/>
    <mergeCell ref="N56:R56"/>
    <mergeCell ref="T56:X56"/>
    <mergeCell ref="A57:F57"/>
    <mergeCell ref="G57:L57"/>
    <mergeCell ref="M57:R57"/>
    <mergeCell ref="S57:X57"/>
    <mergeCell ref="B53:C53"/>
    <mergeCell ref="E53:F53"/>
    <mergeCell ref="H53:I53"/>
    <mergeCell ref="K53:L53"/>
    <mergeCell ref="N53:O53"/>
    <mergeCell ref="Q53:R53"/>
    <mergeCell ref="T53:U53"/>
    <mergeCell ref="W53:X53"/>
    <mergeCell ref="B54:C54"/>
    <mergeCell ref="H54:I54"/>
    <mergeCell ref="N54:O54"/>
    <mergeCell ref="T54:U54"/>
    <mergeCell ref="B61:C61"/>
    <mergeCell ref="H61:I61"/>
    <mergeCell ref="N61:O61"/>
    <mergeCell ref="T61:U61"/>
    <mergeCell ref="C62:F62"/>
    <mergeCell ref="I62:L62"/>
    <mergeCell ref="O62:R62"/>
    <mergeCell ref="U62:X62"/>
    <mergeCell ref="B63:F63"/>
    <mergeCell ref="H63:L63"/>
    <mergeCell ref="N63:R63"/>
    <mergeCell ref="T63:X63"/>
    <mergeCell ref="B58:F58"/>
    <mergeCell ref="H58:L58"/>
    <mergeCell ref="N58:R58"/>
    <mergeCell ref="T58:X58"/>
    <mergeCell ref="C59:F59"/>
    <mergeCell ref="I59:L59"/>
    <mergeCell ref="O59:R59"/>
    <mergeCell ref="U59:X59"/>
    <mergeCell ref="B60:C60"/>
    <mergeCell ref="E60:F60"/>
    <mergeCell ref="H60:I60"/>
    <mergeCell ref="K60:L60"/>
    <mergeCell ref="N60:O60"/>
    <mergeCell ref="Q60:R60"/>
    <mergeCell ref="T60:U60"/>
    <mergeCell ref="W60:X60"/>
    <mergeCell ref="B67:C67"/>
    <mergeCell ref="E67:F67"/>
    <mergeCell ref="H67:I67"/>
    <mergeCell ref="K67:L67"/>
    <mergeCell ref="N67:O67"/>
    <mergeCell ref="Q67:R67"/>
    <mergeCell ref="T67:U67"/>
    <mergeCell ref="W67:X67"/>
    <mergeCell ref="B68:C68"/>
    <mergeCell ref="H68:I68"/>
    <mergeCell ref="N68:O68"/>
    <mergeCell ref="T68:U68"/>
    <mergeCell ref="A64:F64"/>
    <mergeCell ref="G64:L64"/>
    <mergeCell ref="M64:R64"/>
    <mergeCell ref="S64:X64"/>
    <mergeCell ref="B65:F65"/>
    <mergeCell ref="H65:L65"/>
    <mergeCell ref="N65:R65"/>
    <mergeCell ref="T65:X65"/>
    <mergeCell ref="C66:F66"/>
    <mergeCell ref="I66:L66"/>
    <mergeCell ref="O66:R66"/>
    <mergeCell ref="U66:X66"/>
    <mergeCell ref="B72:F72"/>
    <mergeCell ref="H72:L72"/>
    <mergeCell ref="N72:R72"/>
    <mergeCell ref="T72:X72"/>
    <mergeCell ref="C73:F73"/>
    <mergeCell ref="I73:L73"/>
    <mergeCell ref="O73:R73"/>
    <mergeCell ref="U73:X73"/>
    <mergeCell ref="B74:C74"/>
    <mergeCell ref="E74:F74"/>
    <mergeCell ref="H74:I74"/>
    <mergeCell ref="K74:L74"/>
    <mergeCell ref="N74:O74"/>
    <mergeCell ref="Q74:R74"/>
    <mergeCell ref="T74:U74"/>
    <mergeCell ref="W74:X74"/>
    <mergeCell ref="C69:F69"/>
    <mergeCell ref="I69:L69"/>
    <mergeCell ref="O69:R69"/>
    <mergeCell ref="U69:X69"/>
    <mergeCell ref="B70:F70"/>
    <mergeCell ref="H70:L70"/>
    <mergeCell ref="N70:R70"/>
    <mergeCell ref="T70:X70"/>
    <mergeCell ref="A71:F71"/>
    <mergeCell ref="G71:L71"/>
    <mergeCell ref="M71:R71"/>
    <mergeCell ref="S71:X71"/>
    <mergeCell ref="A78:F78"/>
    <mergeCell ref="G78:L78"/>
    <mergeCell ref="M78:R78"/>
    <mergeCell ref="S78:X78"/>
    <mergeCell ref="B79:F79"/>
    <mergeCell ref="H79:L79"/>
    <mergeCell ref="N79:R79"/>
    <mergeCell ref="T79:X79"/>
    <mergeCell ref="C80:F80"/>
    <mergeCell ref="I80:L80"/>
    <mergeCell ref="O80:R80"/>
    <mergeCell ref="U80:X80"/>
    <mergeCell ref="B75:C75"/>
    <mergeCell ref="H75:I75"/>
    <mergeCell ref="N75:O75"/>
    <mergeCell ref="T75:U75"/>
    <mergeCell ref="C76:F76"/>
    <mergeCell ref="I76:L76"/>
    <mergeCell ref="O76:R76"/>
    <mergeCell ref="U76:X76"/>
    <mergeCell ref="B77:F77"/>
    <mergeCell ref="H77:L77"/>
    <mergeCell ref="N77:R77"/>
    <mergeCell ref="T77:X77"/>
    <mergeCell ref="C83:F83"/>
    <mergeCell ref="I83:L83"/>
    <mergeCell ref="O83:R83"/>
    <mergeCell ref="U83:X83"/>
    <mergeCell ref="B84:F84"/>
    <mergeCell ref="H84:L84"/>
    <mergeCell ref="N84:R84"/>
    <mergeCell ref="T84:X84"/>
    <mergeCell ref="A85:F85"/>
    <mergeCell ref="G85:L85"/>
    <mergeCell ref="M85:R85"/>
    <mergeCell ref="S85:X85"/>
    <mergeCell ref="B81:C81"/>
    <mergeCell ref="E81:F81"/>
    <mergeCell ref="H81:I81"/>
    <mergeCell ref="K81:L81"/>
    <mergeCell ref="N81:O81"/>
    <mergeCell ref="Q81:R81"/>
    <mergeCell ref="T81:U81"/>
    <mergeCell ref="W81:X81"/>
    <mergeCell ref="B82:C82"/>
    <mergeCell ref="H82:I82"/>
    <mergeCell ref="N82:O82"/>
    <mergeCell ref="T82:U82"/>
    <mergeCell ref="B89:C89"/>
    <mergeCell ref="H89:I89"/>
    <mergeCell ref="N89:O89"/>
    <mergeCell ref="T89:U89"/>
    <mergeCell ref="C90:F90"/>
    <mergeCell ref="I90:L90"/>
    <mergeCell ref="O90:R90"/>
    <mergeCell ref="U90:X90"/>
    <mergeCell ref="B91:F91"/>
    <mergeCell ref="H91:L91"/>
    <mergeCell ref="N91:R91"/>
    <mergeCell ref="T91:X91"/>
    <mergeCell ref="B86:F86"/>
    <mergeCell ref="H86:L86"/>
    <mergeCell ref="N86:R86"/>
    <mergeCell ref="T86:X86"/>
    <mergeCell ref="C87:F87"/>
    <mergeCell ref="I87:L87"/>
    <mergeCell ref="O87:R87"/>
    <mergeCell ref="U87:X87"/>
    <mergeCell ref="B88:C88"/>
    <mergeCell ref="E88:F88"/>
    <mergeCell ref="H88:I88"/>
    <mergeCell ref="K88:L88"/>
    <mergeCell ref="N88:O88"/>
    <mergeCell ref="Q88:R88"/>
    <mergeCell ref="T88:U88"/>
    <mergeCell ref="W88:X88"/>
    <mergeCell ref="B95:C95"/>
    <mergeCell ref="E95:F95"/>
    <mergeCell ref="H95:I95"/>
    <mergeCell ref="K95:L95"/>
    <mergeCell ref="N95:O95"/>
    <mergeCell ref="Q95:R95"/>
    <mergeCell ref="T95:U95"/>
    <mergeCell ref="W95:X95"/>
    <mergeCell ref="B96:C96"/>
    <mergeCell ref="H96:I96"/>
    <mergeCell ref="N96:O96"/>
    <mergeCell ref="T96:U96"/>
    <mergeCell ref="A92:F92"/>
    <mergeCell ref="G92:L92"/>
    <mergeCell ref="M92:R92"/>
    <mergeCell ref="S92:X92"/>
    <mergeCell ref="B93:F93"/>
    <mergeCell ref="H93:L93"/>
    <mergeCell ref="N93:R93"/>
    <mergeCell ref="T93:X93"/>
    <mergeCell ref="C94:F94"/>
    <mergeCell ref="I94:L94"/>
    <mergeCell ref="O94:R94"/>
    <mergeCell ref="U94:X94"/>
    <mergeCell ref="B100:F100"/>
    <mergeCell ref="H100:L100"/>
    <mergeCell ref="N100:R100"/>
    <mergeCell ref="T100:X100"/>
    <mergeCell ref="C101:F101"/>
    <mergeCell ref="I101:L101"/>
    <mergeCell ref="O101:R101"/>
    <mergeCell ref="U101:X101"/>
    <mergeCell ref="B102:C102"/>
    <mergeCell ref="E102:F102"/>
    <mergeCell ref="H102:I102"/>
    <mergeCell ref="K102:L102"/>
    <mergeCell ref="N102:O102"/>
    <mergeCell ref="Q102:R102"/>
    <mergeCell ref="T102:U102"/>
    <mergeCell ref="W102:X102"/>
    <mergeCell ref="C97:F97"/>
    <mergeCell ref="I97:L97"/>
    <mergeCell ref="O97:R97"/>
    <mergeCell ref="U97:X97"/>
    <mergeCell ref="B98:F98"/>
    <mergeCell ref="H98:L98"/>
    <mergeCell ref="N98:R98"/>
    <mergeCell ref="T98:X98"/>
    <mergeCell ref="A99:F99"/>
    <mergeCell ref="G99:L99"/>
    <mergeCell ref="M99:R99"/>
    <mergeCell ref="S99:X99"/>
    <mergeCell ref="A106:F106"/>
    <mergeCell ref="G106:L106"/>
    <mergeCell ref="M106:R106"/>
    <mergeCell ref="S106:X106"/>
    <mergeCell ref="B107:F107"/>
    <mergeCell ref="H107:L107"/>
    <mergeCell ref="N107:R107"/>
    <mergeCell ref="T107:X107"/>
    <mergeCell ref="C108:F108"/>
    <mergeCell ref="I108:L108"/>
    <mergeCell ref="O108:R108"/>
    <mergeCell ref="U108:X108"/>
    <mergeCell ref="B103:C103"/>
    <mergeCell ref="H103:I103"/>
    <mergeCell ref="N103:O103"/>
    <mergeCell ref="T103:U103"/>
    <mergeCell ref="C104:F104"/>
    <mergeCell ref="I104:L104"/>
    <mergeCell ref="O104:R104"/>
    <mergeCell ref="U104:X104"/>
    <mergeCell ref="B105:F105"/>
    <mergeCell ref="H105:L105"/>
    <mergeCell ref="N105:R105"/>
    <mergeCell ref="T105:X105"/>
    <mergeCell ref="C111:F111"/>
    <mergeCell ref="I111:L111"/>
    <mergeCell ref="O111:R111"/>
    <mergeCell ref="U111:X111"/>
    <mergeCell ref="B112:F112"/>
    <mergeCell ref="H112:L112"/>
    <mergeCell ref="N112:R112"/>
    <mergeCell ref="T112:X112"/>
    <mergeCell ref="A113:F113"/>
    <mergeCell ref="G113:L113"/>
    <mergeCell ref="M113:R113"/>
    <mergeCell ref="S113:X113"/>
    <mergeCell ref="B109:C109"/>
    <mergeCell ref="E109:F109"/>
    <mergeCell ref="H109:I109"/>
    <mergeCell ref="K109:L109"/>
    <mergeCell ref="N109:O109"/>
    <mergeCell ref="Q109:R109"/>
    <mergeCell ref="T109:U109"/>
    <mergeCell ref="W109:X109"/>
    <mergeCell ref="B110:C110"/>
    <mergeCell ref="H110:I110"/>
    <mergeCell ref="N110:O110"/>
    <mergeCell ref="T110:U110"/>
    <mergeCell ref="B117:C117"/>
    <mergeCell ref="H117:I117"/>
    <mergeCell ref="N117:O117"/>
    <mergeCell ref="T117:U117"/>
    <mergeCell ref="C118:F118"/>
    <mergeCell ref="I118:L118"/>
    <mergeCell ref="O118:R118"/>
    <mergeCell ref="U118:X118"/>
    <mergeCell ref="B119:F119"/>
    <mergeCell ref="H119:L119"/>
    <mergeCell ref="N119:R119"/>
    <mergeCell ref="T119:X119"/>
    <mergeCell ref="B114:F114"/>
    <mergeCell ref="H114:L114"/>
    <mergeCell ref="N114:R114"/>
    <mergeCell ref="T114:X114"/>
    <mergeCell ref="C115:F115"/>
    <mergeCell ref="I115:L115"/>
    <mergeCell ref="O115:R115"/>
    <mergeCell ref="U115:X115"/>
    <mergeCell ref="B116:C116"/>
    <mergeCell ref="E116:F116"/>
    <mergeCell ref="H116:I116"/>
    <mergeCell ref="K116:L116"/>
    <mergeCell ref="N116:O116"/>
    <mergeCell ref="Q116:R116"/>
    <mergeCell ref="T116:U116"/>
    <mergeCell ref="W116:X116"/>
    <mergeCell ref="B123:C123"/>
    <mergeCell ref="E123:F123"/>
    <mergeCell ref="H123:I123"/>
    <mergeCell ref="K123:L123"/>
    <mergeCell ref="N123:O123"/>
    <mergeCell ref="Q123:R123"/>
    <mergeCell ref="T123:U123"/>
    <mergeCell ref="W123:X123"/>
    <mergeCell ref="B124:C124"/>
    <mergeCell ref="H124:I124"/>
    <mergeCell ref="N124:O124"/>
    <mergeCell ref="T124:U124"/>
    <mergeCell ref="A120:F120"/>
    <mergeCell ref="G120:L120"/>
    <mergeCell ref="M120:R120"/>
    <mergeCell ref="S120:X120"/>
    <mergeCell ref="B121:F121"/>
    <mergeCell ref="H121:L121"/>
    <mergeCell ref="N121:R121"/>
    <mergeCell ref="T121:X121"/>
    <mergeCell ref="C122:F122"/>
    <mergeCell ref="I122:L122"/>
    <mergeCell ref="O122:R122"/>
    <mergeCell ref="U122:X122"/>
    <mergeCell ref="B128:F128"/>
    <mergeCell ref="H128:L128"/>
    <mergeCell ref="N128:R128"/>
    <mergeCell ref="T128:X128"/>
    <mergeCell ref="C129:F129"/>
    <mergeCell ref="I129:L129"/>
    <mergeCell ref="O129:R129"/>
    <mergeCell ref="U129:X129"/>
    <mergeCell ref="B130:C130"/>
    <mergeCell ref="E130:F130"/>
    <mergeCell ref="H130:I130"/>
    <mergeCell ref="K130:L130"/>
    <mergeCell ref="N130:O130"/>
    <mergeCell ref="Q130:R130"/>
    <mergeCell ref="T130:U130"/>
    <mergeCell ref="W130:X130"/>
    <mergeCell ref="C125:F125"/>
    <mergeCell ref="I125:L125"/>
    <mergeCell ref="O125:R125"/>
    <mergeCell ref="U125:X125"/>
    <mergeCell ref="B126:F126"/>
    <mergeCell ref="H126:L126"/>
    <mergeCell ref="N126:R126"/>
    <mergeCell ref="T126:X126"/>
    <mergeCell ref="A127:F127"/>
    <mergeCell ref="G127:L127"/>
    <mergeCell ref="M127:R127"/>
    <mergeCell ref="S127:X127"/>
    <mergeCell ref="A134:F134"/>
    <mergeCell ref="G134:L134"/>
    <mergeCell ref="M134:R134"/>
    <mergeCell ref="S134:X134"/>
    <mergeCell ref="B135:F135"/>
    <mergeCell ref="H135:L135"/>
    <mergeCell ref="N135:R135"/>
    <mergeCell ref="T135:X135"/>
    <mergeCell ref="C136:F136"/>
    <mergeCell ref="I136:L136"/>
    <mergeCell ref="O136:R136"/>
    <mergeCell ref="U136:X136"/>
    <mergeCell ref="B131:C131"/>
    <mergeCell ref="H131:I131"/>
    <mergeCell ref="N131:O131"/>
    <mergeCell ref="T131:U131"/>
    <mergeCell ref="C132:F132"/>
    <mergeCell ref="I132:L132"/>
    <mergeCell ref="O132:R132"/>
    <mergeCell ref="U132:X132"/>
    <mergeCell ref="B133:F133"/>
    <mergeCell ref="H133:L133"/>
    <mergeCell ref="N133:R133"/>
    <mergeCell ref="T133:X133"/>
    <mergeCell ref="C139:F139"/>
    <mergeCell ref="I139:L139"/>
    <mergeCell ref="O139:R139"/>
    <mergeCell ref="U139:X139"/>
    <mergeCell ref="B140:F140"/>
    <mergeCell ref="H140:L140"/>
    <mergeCell ref="N140:R140"/>
    <mergeCell ref="T140:X140"/>
    <mergeCell ref="A141:F141"/>
    <mergeCell ref="G141:L141"/>
    <mergeCell ref="M141:R141"/>
    <mergeCell ref="S141:X141"/>
    <mergeCell ref="B137:C137"/>
    <mergeCell ref="E137:F137"/>
    <mergeCell ref="H137:I137"/>
    <mergeCell ref="K137:L137"/>
    <mergeCell ref="N137:O137"/>
    <mergeCell ref="Q137:R137"/>
    <mergeCell ref="T137:U137"/>
    <mergeCell ref="W137:X137"/>
    <mergeCell ref="B138:C138"/>
    <mergeCell ref="H138:I138"/>
    <mergeCell ref="N138:O138"/>
    <mergeCell ref="T138:U138"/>
    <mergeCell ref="B145:C145"/>
    <mergeCell ref="H145:I145"/>
    <mergeCell ref="N145:O145"/>
    <mergeCell ref="T145:U145"/>
    <mergeCell ref="C146:F146"/>
    <mergeCell ref="I146:L146"/>
    <mergeCell ref="O146:R146"/>
    <mergeCell ref="U146:X146"/>
    <mergeCell ref="B147:F147"/>
    <mergeCell ref="H147:L147"/>
    <mergeCell ref="N147:R147"/>
    <mergeCell ref="T147:X147"/>
    <mergeCell ref="B142:F142"/>
    <mergeCell ref="H142:L142"/>
    <mergeCell ref="N142:R142"/>
    <mergeCell ref="T142:X142"/>
    <mergeCell ref="C143:F143"/>
    <mergeCell ref="I143:L143"/>
    <mergeCell ref="O143:R143"/>
    <mergeCell ref="U143:X143"/>
    <mergeCell ref="B144:C144"/>
    <mergeCell ref="E144:F144"/>
    <mergeCell ref="H144:I144"/>
    <mergeCell ref="K144:L144"/>
    <mergeCell ref="N144:O144"/>
    <mergeCell ref="Q144:R144"/>
    <mergeCell ref="T144:U144"/>
    <mergeCell ref="W144:X144"/>
    <mergeCell ref="B151:C151"/>
    <mergeCell ref="E151:F151"/>
    <mergeCell ref="H151:I151"/>
    <mergeCell ref="K151:L151"/>
    <mergeCell ref="N151:O151"/>
    <mergeCell ref="Q151:R151"/>
    <mergeCell ref="T151:U151"/>
    <mergeCell ref="W151:X151"/>
    <mergeCell ref="B152:C152"/>
    <mergeCell ref="H152:I152"/>
    <mergeCell ref="N152:O152"/>
    <mergeCell ref="T152:U152"/>
    <mergeCell ref="A148:F148"/>
    <mergeCell ref="G148:L148"/>
    <mergeCell ref="M148:R148"/>
    <mergeCell ref="S148:X148"/>
    <mergeCell ref="B149:F149"/>
    <mergeCell ref="H149:L149"/>
    <mergeCell ref="N149:R149"/>
    <mergeCell ref="T149:X149"/>
    <mergeCell ref="C150:F150"/>
    <mergeCell ref="I150:L150"/>
    <mergeCell ref="O150:R150"/>
    <mergeCell ref="U150:X150"/>
    <mergeCell ref="B156:F156"/>
    <mergeCell ref="H156:L156"/>
    <mergeCell ref="N156:R156"/>
    <mergeCell ref="T156:X156"/>
    <mergeCell ref="C157:F157"/>
    <mergeCell ref="I157:L157"/>
    <mergeCell ref="O157:R157"/>
    <mergeCell ref="U157:X157"/>
    <mergeCell ref="B158:C158"/>
    <mergeCell ref="E158:F158"/>
    <mergeCell ref="H158:I158"/>
    <mergeCell ref="K158:L158"/>
    <mergeCell ref="N158:O158"/>
    <mergeCell ref="Q158:R158"/>
    <mergeCell ref="T158:U158"/>
    <mergeCell ref="W158:X158"/>
    <mergeCell ref="C153:F153"/>
    <mergeCell ref="I153:L153"/>
    <mergeCell ref="O153:R153"/>
    <mergeCell ref="U153:X153"/>
    <mergeCell ref="B154:F154"/>
    <mergeCell ref="H154:L154"/>
    <mergeCell ref="N154:R154"/>
    <mergeCell ref="T154:X154"/>
    <mergeCell ref="A155:F155"/>
    <mergeCell ref="G155:L155"/>
    <mergeCell ref="M155:R155"/>
    <mergeCell ref="S155:X155"/>
    <mergeCell ref="A162:F162"/>
    <mergeCell ref="G162:L162"/>
    <mergeCell ref="M162:R162"/>
    <mergeCell ref="S162:X162"/>
    <mergeCell ref="B163:F163"/>
    <mergeCell ref="H163:L163"/>
    <mergeCell ref="N163:R163"/>
    <mergeCell ref="T163:X163"/>
    <mergeCell ref="C164:F164"/>
    <mergeCell ref="I164:L164"/>
    <mergeCell ref="O164:R164"/>
    <mergeCell ref="U164:X164"/>
    <mergeCell ref="B159:C159"/>
    <mergeCell ref="H159:I159"/>
    <mergeCell ref="N159:O159"/>
    <mergeCell ref="T159:U159"/>
    <mergeCell ref="C160:F160"/>
    <mergeCell ref="I160:L160"/>
    <mergeCell ref="O160:R160"/>
    <mergeCell ref="U160:X160"/>
    <mergeCell ref="B161:F161"/>
    <mergeCell ref="H161:L161"/>
    <mergeCell ref="N161:R161"/>
    <mergeCell ref="T161:X161"/>
    <mergeCell ref="C167:F167"/>
    <mergeCell ref="I167:L167"/>
    <mergeCell ref="O167:R167"/>
    <mergeCell ref="U167:X167"/>
    <mergeCell ref="B168:F168"/>
    <mergeCell ref="H168:L168"/>
    <mergeCell ref="N168:R168"/>
    <mergeCell ref="T168:X168"/>
    <mergeCell ref="A169:F169"/>
    <mergeCell ref="G169:L169"/>
    <mergeCell ref="M169:R169"/>
    <mergeCell ref="S169:X169"/>
    <mergeCell ref="B165:C165"/>
    <mergeCell ref="E165:F165"/>
    <mergeCell ref="H165:I165"/>
    <mergeCell ref="K165:L165"/>
    <mergeCell ref="N165:O165"/>
    <mergeCell ref="Q165:R165"/>
    <mergeCell ref="T165:U165"/>
    <mergeCell ref="W165:X165"/>
    <mergeCell ref="B166:C166"/>
    <mergeCell ref="H166:I166"/>
    <mergeCell ref="N166:O166"/>
    <mergeCell ref="T166:U166"/>
    <mergeCell ref="B173:C173"/>
    <mergeCell ref="H173:I173"/>
    <mergeCell ref="N173:O173"/>
    <mergeCell ref="T173:U173"/>
    <mergeCell ref="C174:F174"/>
    <mergeCell ref="I174:L174"/>
    <mergeCell ref="O174:R174"/>
    <mergeCell ref="U174:X174"/>
    <mergeCell ref="B175:F175"/>
    <mergeCell ref="H175:L175"/>
    <mergeCell ref="N175:R175"/>
    <mergeCell ref="T175:X175"/>
    <mergeCell ref="B170:F170"/>
    <mergeCell ref="H170:L170"/>
    <mergeCell ref="N170:R170"/>
    <mergeCell ref="T170:X170"/>
    <mergeCell ref="C171:F171"/>
    <mergeCell ref="I171:L171"/>
    <mergeCell ref="O171:R171"/>
    <mergeCell ref="U171:X171"/>
    <mergeCell ref="B172:C172"/>
    <mergeCell ref="E172:F172"/>
    <mergeCell ref="H172:I172"/>
    <mergeCell ref="K172:L172"/>
    <mergeCell ref="N172:O172"/>
    <mergeCell ref="Q172:R172"/>
    <mergeCell ref="T172:U172"/>
    <mergeCell ref="W172:X172"/>
    <mergeCell ref="B179:C179"/>
    <mergeCell ref="E179:F179"/>
    <mergeCell ref="H179:I179"/>
    <mergeCell ref="K179:L179"/>
    <mergeCell ref="N179:O179"/>
    <mergeCell ref="Q179:R179"/>
    <mergeCell ref="T179:U179"/>
    <mergeCell ref="W179:X179"/>
    <mergeCell ref="B180:C180"/>
    <mergeCell ref="H180:I180"/>
    <mergeCell ref="N180:O180"/>
    <mergeCell ref="T180:U180"/>
    <mergeCell ref="A176:F176"/>
    <mergeCell ref="G176:L176"/>
    <mergeCell ref="M176:R176"/>
    <mergeCell ref="S176:X176"/>
    <mergeCell ref="B177:F177"/>
    <mergeCell ref="H177:L177"/>
    <mergeCell ref="N177:R177"/>
    <mergeCell ref="T177:X177"/>
    <mergeCell ref="C178:F178"/>
    <mergeCell ref="I178:L178"/>
    <mergeCell ref="O178:R178"/>
    <mergeCell ref="U178:X178"/>
    <mergeCell ref="B184:F184"/>
    <mergeCell ref="H184:L184"/>
    <mergeCell ref="N184:R184"/>
    <mergeCell ref="T184:X184"/>
    <mergeCell ref="C185:F185"/>
    <mergeCell ref="I185:L185"/>
    <mergeCell ref="O185:R185"/>
    <mergeCell ref="U185:X185"/>
    <mergeCell ref="B186:C186"/>
    <mergeCell ref="E186:F186"/>
    <mergeCell ref="H186:I186"/>
    <mergeCell ref="K186:L186"/>
    <mergeCell ref="N186:O186"/>
    <mergeCell ref="Q186:R186"/>
    <mergeCell ref="T186:U186"/>
    <mergeCell ref="W186:X186"/>
    <mergeCell ref="C181:F181"/>
    <mergeCell ref="I181:L181"/>
    <mergeCell ref="O181:R181"/>
    <mergeCell ref="U181:X181"/>
    <mergeCell ref="B182:F182"/>
    <mergeCell ref="H182:L182"/>
    <mergeCell ref="N182:R182"/>
    <mergeCell ref="T182:X182"/>
    <mergeCell ref="A183:F183"/>
    <mergeCell ref="G183:L183"/>
    <mergeCell ref="M183:R183"/>
    <mergeCell ref="S183:X183"/>
    <mergeCell ref="A190:F190"/>
    <mergeCell ref="G190:L190"/>
    <mergeCell ref="M190:R190"/>
    <mergeCell ref="S190:X190"/>
    <mergeCell ref="B191:F191"/>
    <mergeCell ref="H191:L191"/>
    <mergeCell ref="N191:R191"/>
    <mergeCell ref="T191:X191"/>
    <mergeCell ref="C192:F192"/>
    <mergeCell ref="I192:L192"/>
    <mergeCell ref="O192:R192"/>
    <mergeCell ref="U192:X192"/>
    <mergeCell ref="B187:C187"/>
    <mergeCell ref="H187:I187"/>
    <mergeCell ref="N187:O187"/>
    <mergeCell ref="T187:U187"/>
    <mergeCell ref="C188:F188"/>
    <mergeCell ref="I188:L188"/>
    <mergeCell ref="O188:R188"/>
    <mergeCell ref="U188:X188"/>
    <mergeCell ref="B189:F189"/>
    <mergeCell ref="H189:L189"/>
    <mergeCell ref="N189:R189"/>
    <mergeCell ref="T189:X189"/>
    <mergeCell ref="C195:F195"/>
    <mergeCell ref="I195:L195"/>
    <mergeCell ref="O195:R195"/>
    <mergeCell ref="U195:X195"/>
    <mergeCell ref="B196:F196"/>
    <mergeCell ref="H196:L196"/>
    <mergeCell ref="N196:R196"/>
    <mergeCell ref="T196:X196"/>
    <mergeCell ref="A197:F197"/>
    <mergeCell ref="G197:L197"/>
    <mergeCell ref="M197:R197"/>
    <mergeCell ref="S197:X197"/>
    <mergeCell ref="B193:C193"/>
    <mergeCell ref="E193:F193"/>
    <mergeCell ref="H193:I193"/>
    <mergeCell ref="K193:L193"/>
    <mergeCell ref="N193:O193"/>
    <mergeCell ref="Q193:R193"/>
    <mergeCell ref="T193:U193"/>
    <mergeCell ref="W193:X193"/>
    <mergeCell ref="B194:C194"/>
    <mergeCell ref="H194:I194"/>
    <mergeCell ref="N194:O194"/>
    <mergeCell ref="T194:U194"/>
    <mergeCell ref="B201:C201"/>
    <mergeCell ref="H201:I201"/>
    <mergeCell ref="N201:O201"/>
    <mergeCell ref="T201:U201"/>
    <mergeCell ref="C202:F202"/>
    <mergeCell ref="I202:L202"/>
    <mergeCell ref="O202:R202"/>
    <mergeCell ref="U202:X202"/>
    <mergeCell ref="B203:F203"/>
    <mergeCell ref="H203:L203"/>
    <mergeCell ref="N203:R203"/>
    <mergeCell ref="T203:X203"/>
    <mergeCell ref="B198:F198"/>
    <mergeCell ref="H198:L198"/>
    <mergeCell ref="N198:R198"/>
    <mergeCell ref="T198:X198"/>
    <mergeCell ref="C199:F199"/>
    <mergeCell ref="I199:L199"/>
    <mergeCell ref="O199:R199"/>
    <mergeCell ref="U199:X199"/>
    <mergeCell ref="B200:C200"/>
    <mergeCell ref="E200:F200"/>
    <mergeCell ref="H200:I200"/>
    <mergeCell ref="K200:L200"/>
    <mergeCell ref="N200:O200"/>
    <mergeCell ref="Q200:R200"/>
    <mergeCell ref="T200:U200"/>
    <mergeCell ref="W200:X200"/>
    <mergeCell ref="B207:C207"/>
    <mergeCell ref="E207:F207"/>
    <mergeCell ref="H207:I207"/>
    <mergeCell ref="K207:L207"/>
    <mergeCell ref="N207:O207"/>
    <mergeCell ref="Q207:R207"/>
    <mergeCell ref="T207:U207"/>
    <mergeCell ref="W207:X207"/>
    <mergeCell ref="B208:C208"/>
    <mergeCell ref="H208:I208"/>
    <mergeCell ref="N208:O208"/>
    <mergeCell ref="T208:U208"/>
    <mergeCell ref="A204:F204"/>
    <mergeCell ref="G204:L204"/>
    <mergeCell ref="M204:R204"/>
    <mergeCell ref="S204:X204"/>
    <mergeCell ref="B205:F205"/>
    <mergeCell ref="H205:L205"/>
    <mergeCell ref="N205:R205"/>
    <mergeCell ref="T205:X205"/>
    <mergeCell ref="C206:F206"/>
    <mergeCell ref="I206:L206"/>
    <mergeCell ref="O206:R206"/>
    <mergeCell ref="U206:X206"/>
    <mergeCell ref="B212:F212"/>
    <mergeCell ref="H212:L212"/>
    <mergeCell ref="N212:R212"/>
    <mergeCell ref="T212:X212"/>
    <mergeCell ref="C213:F213"/>
    <mergeCell ref="I213:L213"/>
    <mergeCell ref="O213:R213"/>
    <mergeCell ref="U213:X213"/>
    <mergeCell ref="B214:C214"/>
    <mergeCell ref="E214:F214"/>
    <mergeCell ref="H214:I214"/>
    <mergeCell ref="K214:L214"/>
    <mergeCell ref="N214:O214"/>
    <mergeCell ref="Q214:R214"/>
    <mergeCell ref="T214:U214"/>
    <mergeCell ref="W214:X214"/>
    <mergeCell ref="C209:F209"/>
    <mergeCell ref="I209:L209"/>
    <mergeCell ref="O209:R209"/>
    <mergeCell ref="U209:X209"/>
    <mergeCell ref="B210:F210"/>
    <mergeCell ref="H210:L210"/>
    <mergeCell ref="N210:R210"/>
    <mergeCell ref="T210:X210"/>
    <mergeCell ref="A211:F211"/>
    <mergeCell ref="G211:L211"/>
    <mergeCell ref="M211:R211"/>
    <mergeCell ref="S211:X211"/>
    <mergeCell ref="A218:F218"/>
    <mergeCell ref="G218:L218"/>
    <mergeCell ref="M218:R218"/>
    <mergeCell ref="S218:X218"/>
    <mergeCell ref="B219:F219"/>
    <mergeCell ref="H219:L219"/>
    <mergeCell ref="N219:R219"/>
    <mergeCell ref="T219:X219"/>
    <mergeCell ref="C220:F220"/>
    <mergeCell ref="I220:L220"/>
    <mergeCell ref="O220:R220"/>
    <mergeCell ref="U220:X220"/>
    <mergeCell ref="B215:C215"/>
    <mergeCell ref="H215:I215"/>
    <mergeCell ref="N215:O215"/>
    <mergeCell ref="T215:U215"/>
    <mergeCell ref="C216:F216"/>
    <mergeCell ref="I216:L216"/>
    <mergeCell ref="O216:R216"/>
    <mergeCell ref="U216:X216"/>
    <mergeCell ref="B217:F217"/>
    <mergeCell ref="H217:L217"/>
    <mergeCell ref="N217:R217"/>
    <mergeCell ref="T217:X217"/>
    <mergeCell ref="C223:F223"/>
    <mergeCell ref="I223:L223"/>
    <mergeCell ref="O223:R223"/>
    <mergeCell ref="U223:X223"/>
    <mergeCell ref="B224:F224"/>
    <mergeCell ref="H224:L224"/>
    <mergeCell ref="N224:R224"/>
    <mergeCell ref="T224:X224"/>
    <mergeCell ref="A225:F225"/>
    <mergeCell ref="G225:L225"/>
    <mergeCell ref="M225:R225"/>
    <mergeCell ref="S225:X225"/>
    <mergeCell ref="B221:C221"/>
    <mergeCell ref="E221:F221"/>
    <mergeCell ref="H221:I221"/>
    <mergeCell ref="K221:L221"/>
    <mergeCell ref="N221:O221"/>
    <mergeCell ref="Q221:R221"/>
    <mergeCell ref="T221:U221"/>
    <mergeCell ref="W221:X221"/>
    <mergeCell ref="B222:C222"/>
    <mergeCell ref="H222:I222"/>
    <mergeCell ref="N222:O222"/>
    <mergeCell ref="T222:U222"/>
    <mergeCell ref="B229:C229"/>
    <mergeCell ref="H229:I229"/>
    <mergeCell ref="N229:O229"/>
    <mergeCell ref="T229:U229"/>
    <mergeCell ref="C230:F230"/>
    <mergeCell ref="I230:L230"/>
    <mergeCell ref="O230:R230"/>
    <mergeCell ref="U230:X230"/>
    <mergeCell ref="B231:F231"/>
    <mergeCell ref="H231:L231"/>
    <mergeCell ref="N231:R231"/>
    <mergeCell ref="T231:X231"/>
    <mergeCell ref="B226:F226"/>
    <mergeCell ref="H226:L226"/>
    <mergeCell ref="N226:R226"/>
    <mergeCell ref="T226:X226"/>
    <mergeCell ref="C227:F227"/>
    <mergeCell ref="I227:L227"/>
    <mergeCell ref="O227:R227"/>
    <mergeCell ref="U227:X227"/>
    <mergeCell ref="B228:C228"/>
    <mergeCell ref="E228:F228"/>
    <mergeCell ref="H228:I228"/>
    <mergeCell ref="K228:L228"/>
    <mergeCell ref="N228:O228"/>
    <mergeCell ref="Q228:R228"/>
    <mergeCell ref="T228:U228"/>
    <mergeCell ref="W228:X228"/>
    <mergeCell ref="B235:C235"/>
    <mergeCell ref="E235:F235"/>
    <mergeCell ref="H235:I235"/>
    <mergeCell ref="K235:L235"/>
    <mergeCell ref="N235:O235"/>
    <mergeCell ref="Q235:R235"/>
    <mergeCell ref="T235:U235"/>
    <mergeCell ref="W235:X235"/>
    <mergeCell ref="B236:C236"/>
    <mergeCell ref="H236:I236"/>
    <mergeCell ref="N236:O236"/>
    <mergeCell ref="T236:U236"/>
    <mergeCell ref="A232:F232"/>
    <mergeCell ref="G232:L232"/>
    <mergeCell ref="M232:R232"/>
    <mergeCell ref="S232:X232"/>
    <mergeCell ref="B233:F233"/>
    <mergeCell ref="H233:L233"/>
    <mergeCell ref="N233:R233"/>
    <mergeCell ref="T233:X233"/>
    <mergeCell ref="C234:F234"/>
    <mergeCell ref="I234:L234"/>
    <mergeCell ref="O234:R234"/>
    <mergeCell ref="U234:X234"/>
    <mergeCell ref="B240:F240"/>
    <mergeCell ref="H240:L240"/>
    <mergeCell ref="N240:R240"/>
    <mergeCell ref="T240:X240"/>
    <mergeCell ref="C241:F241"/>
    <mergeCell ref="I241:L241"/>
    <mergeCell ref="O241:R241"/>
    <mergeCell ref="U241:X241"/>
    <mergeCell ref="B242:C242"/>
    <mergeCell ref="E242:F242"/>
    <mergeCell ref="H242:I242"/>
    <mergeCell ref="K242:L242"/>
    <mergeCell ref="N242:O242"/>
    <mergeCell ref="Q242:R242"/>
    <mergeCell ref="T242:U242"/>
    <mergeCell ref="W242:X242"/>
    <mergeCell ref="C237:F237"/>
    <mergeCell ref="I237:L237"/>
    <mergeCell ref="O237:R237"/>
    <mergeCell ref="U237:X237"/>
    <mergeCell ref="B238:F238"/>
    <mergeCell ref="H238:L238"/>
    <mergeCell ref="N238:R238"/>
    <mergeCell ref="T238:X238"/>
    <mergeCell ref="A239:F239"/>
    <mergeCell ref="G239:L239"/>
    <mergeCell ref="M239:R239"/>
    <mergeCell ref="S239:X239"/>
    <mergeCell ref="A246:F246"/>
    <mergeCell ref="G246:L246"/>
    <mergeCell ref="M246:R246"/>
    <mergeCell ref="S246:X246"/>
    <mergeCell ref="B247:F247"/>
    <mergeCell ref="H247:L247"/>
    <mergeCell ref="N247:R247"/>
    <mergeCell ref="T247:X247"/>
    <mergeCell ref="C248:F248"/>
    <mergeCell ref="I248:L248"/>
    <mergeCell ref="O248:R248"/>
    <mergeCell ref="U248:X248"/>
    <mergeCell ref="B243:C243"/>
    <mergeCell ref="H243:I243"/>
    <mergeCell ref="N243:O243"/>
    <mergeCell ref="T243:U243"/>
    <mergeCell ref="C244:F244"/>
    <mergeCell ref="I244:L244"/>
    <mergeCell ref="O244:R244"/>
    <mergeCell ref="U244:X244"/>
    <mergeCell ref="B245:F245"/>
    <mergeCell ref="H245:L245"/>
    <mergeCell ref="N245:R245"/>
    <mergeCell ref="T245:X245"/>
    <mergeCell ref="C251:F251"/>
    <mergeCell ref="I251:L251"/>
    <mergeCell ref="O251:R251"/>
    <mergeCell ref="U251:X251"/>
    <mergeCell ref="B252:F252"/>
    <mergeCell ref="H252:L252"/>
    <mergeCell ref="N252:R252"/>
    <mergeCell ref="T252:X252"/>
    <mergeCell ref="A253:F253"/>
    <mergeCell ref="G253:L253"/>
    <mergeCell ref="M253:R253"/>
    <mergeCell ref="S253:X253"/>
    <mergeCell ref="B249:C249"/>
    <mergeCell ref="E249:F249"/>
    <mergeCell ref="H249:I249"/>
    <mergeCell ref="K249:L249"/>
    <mergeCell ref="N249:O249"/>
    <mergeCell ref="Q249:R249"/>
    <mergeCell ref="T249:U249"/>
    <mergeCell ref="W249:X249"/>
    <mergeCell ref="B250:C250"/>
    <mergeCell ref="H250:I250"/>
    <mergeCell ref="N250:O250"/>
    <mergeCell ref="T250:U250"/>
    <mergeCell ref="B257:C257"/>
    <mergeCell ref="H257:I257"/>
    <mergeCell ref="N257:O257"/>
    <mergeCell ref="T257:U257"/>
    <mergeCell ref="C258:F258"/>
    <mergeCell ref="I258:L258"/>
    <mergeCell ref="O258:R258"/>
    <mergeCell ref="U258:X258"/>
    <mergeCell ref="B259:F259"/>
    <mergeCell ref="H259:L259"/>
    <mergeCell ref="N259:R259"/>
    <mergeCell ref="T259:X259"/>
    <mergeCell ref="B254:F254"/>
    <mergeCell ref="H254:L254"/>
    <mergeCell ref="N254:R254"/>
    <mergeCell ref="T254:X254"/>
    <mergeCell ref="C255:F255"/>
    <mergeCell ref="I255:L255"/>
    <mergeCell ref="O255:R255"/>
    <mergeCell ref="U255:X255"/>
    <mergeCell ref="B256:C256"/>
    <mergeCell ref="E256:F256"/>
    <mergeCell ref="H256:I256"/>
    <mergeCell ref="K256:L256"/>
    <mergeCell ref="N256:O256"/>
    <mergeCell ref="Q256:R256"/>
    <mergeCell ref="T256:U256"/>
    <mergeCell ref="W256:X256"/>
    <mergeCell ref="B263:C263"/>
    <mergeCell ref="E263:F263"/>
    <mergeCell ref="H263:I263"/>
    <mergeCell ref="K263:L263"/>
    <mergeCell ref="N263:O263"/>
    <mergeCell ref="Q263:R263"/>
    <mergeCell ref="T263:U263"/>
    <mergeCell ref="W263:X263"/>
    <mergeCell ref="B264:C264"/>
    <mergeCell ref="H264:I264"/>
    <mergeCell ref="N264:O264"/>
    <mergeCell ref="T264:U264"/>
    <mergeCell ref="A260:F260"/>
    <mergeCell ref="G260:L260"/>
    <mergeCell ref="M260:R260"/>
    <mergeCell ref="S260:X260"/>
    <mergeCell ref="B261:F261"/>
    <mergeCell ref="H261:L261"/>
    <mergeCell ref="N261:R261"/>
    <mergeCell ref="T261:X261"/>
    <mergeCell ref="C262:F262"/>
    <mergeCell ref="I262:L262"/>
    <mergeCell ref="O262:R262"/>
    <mergeCell ref="U262:X262"/>
    <mergeCell ref="B268:F268"/>
    <mergeCell ref="H268:L268"/>
    <mergeCell ref="N268:R268"/>
    <mergeCell ref="T268:X268"/>
    <mergeCell ref="C269:F269"/>
    <mergeCell ref="I269:L269"/>
    <mergeCell ref="O269:R269"/>
    <mergeCell ref="U269:X269"/>
    <mergeCell ref="B270:C270"/>
    <mergeCell ref="E270:F270"/>
    <mergeCell ref="H270:I270"/>
    <mergeCell ref="K270:L270"/>
    <mergeCell ref="N270:O270"/>
    <mergeCell ref="Q270:R270"/>
    <mergeCell ref="T270:U270"/>
    <mergeCell ref="W270:X270"/>
    <mergeCell ref="C265:F265"/>
    <mergeCell ref="I265:L265"/>
    <mergeCell ref="O265:R265"/>
    <mergeCell ref="U265:X265"/>
    <mergeCell ref="B266:F266"/>
    <mergeCell ref="H266:L266"/>
    <mergeCell ref="N266:R266"/>
    <mergeCell ref="T266:X266"/>
    <mergeCell ref="A267:F267"/>
    <mergeCell ref="G267:L267"/>
    <mergeCell ref="M267:R267"/>
    <mergeCell ref="S267:X267"/>
    <mergeCell ref="A274:F274"/>
    <mergeCell ref="G274:L274"/>
    <mergeCell ref="M274:R274"/>
    <mergeCell ref="S274:X274"/>
    <mergeCell ref="B275:F275"/>
    <mergeCell ref="H275:L275"/>
    <mergeCell ref="N275:R275"/>
    <mergeCell ref="T275:X275"/>
    <mergeCell ref="C276:F276"/>
    <mergeCell ref="I276:L276"/>
    <mergeCell ref="O276:R276"/>
    <mergeCell ref="U276:X276"/>
    <mergeCell ref="B271:C271"/>
    <mergeCell ref="H271:I271"/>
    <mergeCell ref="N271:O271"/>
    <mergeCell ref="T271:U271"/>
    <mergeCell ref="C272:F272"/>
    <mergeCell ref="I272:L272"/>
    <mergeCell ref="O272:R272"/>
    <mergeCell ref="U272:X272"/>
    <mergeCell ref="B273:F273"/>
    <mergeCell ref="H273:L273"/>
    <mergeCell ref="N273:R273"/>
    <mergeCell ref="T273:X273"/>
    <mergeCell ref="C279:F279"/>
    <mergeCell ref="I279:L279"/>
    <mergeCell ref="O279:R279"/>
    <mergeCell ref="U279:X279"/>
    <mergeCell ref="B280:F280"/>
    <mergeCell ref="H280:L280"/>
    <mergeCell ref="N280:R280"/>
    <mergeCell ref="T280:X280"/>
    <mergeCell ref="A281:F281"/>
    <mergeCell ref="G281:L281"/>
    <mergeCell ref="M281:R281"/>
    <mergeCell ref="S281:X281"/>
    <mergeCell ref="B277:C277"/>
    <mergeCell ref="E277:F277"/>
    <mergeCell ref="H277:I277"/>
    <mergeCell ref="K277:L277"/>
    <mergeCell ref="N277:O277"/>
    <mergeCell ref="Q277:R277"/>
    <mergeCell ref="T277:U277"/>
    <mergeCell ref="W277:X277"/>
    <mergeCell ref="B278:C278"/>
    <mergeCell ref="H278:I278"/>
    <mergeCell ref="N278:O278"/>
    <mergeCell ref="T278:U278"/>
    <mergeCell ref="B285:C285"/>
    <mergeCell ref="H285:I285"/>
    <mergeCell ref="N285:O285"/>
    <mergeCell ref="T285:U285"/>
    <mergeCell ref="C286:F286"/>
    <mergeCell ref="I286:L286"/>
    <mergeCell ref="O286:R286"/>
    <mergeCell ref="U286:X286"/>
    <mergeCell ref="B287:F287"/>
    <mergeCell ref="H287:L287"/>
    <mergeCell ref="N287:R287"/>
    <mergeCell ref="T287:X287"/>
    <mergeCell ref="B282:F282"/>
    <mergeCell ref="H282:L282"/>
    <mergeCell ref="N282:R282"/>
    <mergeCell ref="T282:X282"/>
    <mergeCell ref="C283:F283"/>
    <mergeCell ref="I283:L283"/>
    <mergeCell ref="O283:R283"/>
    <mergeCell ref="U283:X283"/>
    <mergeCell ref="B284:C284"/>
    <mergeCell ref="E284:F284"/>
    <mergeCell ref="H284:I284"/>
    <mergeCell ref="K284:L284"/>
    <mergeCell ref="N284:O284"/>
    <mergeCell ref="Q284:R284"/>
    <mergeCell ref="T284:U284"/>
    <mergeCell ref="W284:X284"/>
    <mergeCell ref="B291:C291"/>
    <mergeCell ref="E291:F291"/>
    <mergeCell ref="H291:I291"/>
    <mergeCell ref="K291:L291"/>
    <mergeCell ref="N291:O291"/>
    <mergeCell ref="Q291:R291"/>
    <mergeCell ref="T291:U291"/>
    <mergeCell ref="W291:X291"/>
    <mergeCell ref="B292:C292"/>
    <mergeCell ref="H292:I292"/>
    <mergeCell ref="N292:O292"/>
    <mergeCell ref="T292:U292"/>
    <mergeCell ref="A288:F288"/>
    <mergeCell ref="G288:L288"/>
    <mergeCell ref="M288:R288"/>
    <mergeCell ref="S288:X288"/>
    <mergeCell ref="B289:F289"/>
    <mergeCell ref="H289:L289"/>
    <mergeCell ref="N289:R289"/>
    <mergeCell ref="T289:X289"/>
    <mergeCell ref="C290:F290"/>
    <mergeCell ref="I290:L290"/>
    <mergeCell ref="O290:R290"/>
    <mergeCell ref="U290:X290"/>
    <mergeCell ref="B296:F296"/>
    <mergeCell ref="H296:L296"/>
    <mergeCell ref="N296:R296"/>
    <mergeCell ref="T296:X296"/>
    <mergeCell ref="C297:F297"/>
    <mergeCell ref="I297:L297"/>
    <mergeCell ref="O297:R297"/>
    <mergeCell ref="U297:X297"/>
    <mergeCell ref="B298:C298"/>
    <mergeCell ref="E298:F298"/>
    <mergeCell ref="H298:I298"/>
    <mergeCell ref="K298:L298"/>
    <mergeCell ref="N298:O298"/>
    <mergeCell ref="Q298:R298"/>
    <mergeCell ref="T298:U298"/>
    <mergeCell ref="W298:X298"/>
    <mergeCell ref="C293:F293"/>
    <mergeCell ref="I293:L293"/>
    <mergeCell ref="O293:R293"/>
    <mergeCell ref="U293:X293"/>
    <mergeCell ref="B294:F294"/>
    <mergeCell ref="H294:L294"/>
    <mergeCell ref="N294:R294"/>
    <mergeCell ref="T294:X294"/>
    <mergeCell ref="A295:F295"/>
    <mergeCell ref="G295:L295"/>
    <mergeCell ref="M295:R295"/>
    <mergeCell ref="S295:X295"/>
    <mergeCell ref="A302:F302"/>
    <mergeCell ref="G302:L302"/>
    <mergeCell ref="M302:R302"/>
    <mergeCell ref="S302:X302"/>
    <mergeCell ref="B303:F303"/>
    <mergeCell ref="H303:L303"/>
    <mergeCell ref="N303:R303"/>
    <mergeCell ref="T303:X303"/>
    <mergeCell ref="C304:F304"/>
    <mergeCell ref="I304:L304"/>
    <mergeCell ref="O304:R304"/>
    <mergeCell ref="U304:X304"/>
    <mergeCell ref="B299:C299"/>
    <mergeCell ref="H299:I299"/>
    <mergeCell ref="N299:O299"/>
    <mergeCell ref="T299:U299"/>
    <mergeCell ref="C300:F300"/>
    <mergeCell ref="I300:L300"/>
    <mergeCell ref="O300:R300"/>
    <mergeCell ref="U300:X300"/>
    <mergeCell ref="B301:F301"/>
    <mergeCell ref="H301:L301"/>
    <mergeCell ref="N301:R301"/>
    <mergeCell ref="T301:X301"/>
    <mergeCell ref="C307:F307"/>
    <mergeCell ref="I307:L307"/>
    <mergeCell ref="O307:R307"/>
    <mergeCell ref="U307:X307"/>
    <mergeCell ref="B308:F308"/>
    <mergeCell ref="H308:L308"/>
    <mergeCell ref="N308:R308"/>
    <mergeCell ref="T308:X308"/>
    <mergeCell ref="A309:F309"/>
    <mergeCell ref="G309:L309"/>
    <mergeCell ref="M309:R309"/>
    <mergeCell ref="S309:X309"/>
    <mergeCell ref="B305:C305"/>
    <mergeCell ref="E305:F305"/>
    <mergeCell ref="H305:I305"/>
    <mergeCell ref="K305:L305"/>
    <mergeCell ref="N305:O305"/>
    <mergeCell ref="Q305:R305"/>
    <mergeCell ref="T305:U305"/>
    <mergeCell ref="W305:X305"/>
    <mergeCell ref="B306:C306"/>
    <mergeCell ref="H306:I306"/>
    <mergeCell ref="N306:O306"/>
    <mergeCell ref="T306:U306"/>
    <mergeCell ref="B313:C313"/>
    <mergeCell ref="H313:I313"/>
    <mergeCell ref="N313:O313"/>
    <mergeCell ref="T313:U313"/>
    <mergeCell ref="C314:F314"/>
    <mergeCell ref="I314:L314"/>
    <mergeCell ref="O314:R314"/>
    <mergeCell ref="U314:X314"/>
    <mergeCell ref="B315:F315"/>
    <mergeCell ref="H315:L315"/>
    <mergeCell ref="N315:R315"/>
    <mergeCell ref="T315:X315"/>
    <mergeCell ref="B310:F310"/>
    <mergeCell ref="H310:L310"/>
    <mergeCell ref="N310:R310"/>
    <mergeCell ref="T310:X310"/>
    <mergeCell ref="C311:F311"/>
    <mergeCell ref="I311:L311"/>
    <mergeCell ref="O311:R311"/>
    <mergeCell ref="U311:X311"/>
    <mergeCell ref="B312:C312"/>
    <mergeCell ref="E312:F312"/>
    <mergeCell ref="H312:I312"/>
    <mergeCell ref="K312:L312"/>
    <mergeCell ref="N312:O312"/>
    <mergeCell ref="Q312:R312"/>
    <mergeCell ref="T312:U312"/>
    <mergeCell ref="W312:X312"/>
    <mergeCell ref="B319:C319"/>
    <mergeCell ref="E319:F319"/>
    <mergeCell ref="H319:I319"/>
    <mergeCell ref="K319:L319"/>
    <mergeCell ref="N319:O319"/>
    <mergeCell ref="Q319:R319"/>
    <mergeCell ref="T319:U319"/>
    <mergeCell ref="W319:X319"/>
    <mergeCell ref="B320:C320"/>
    <mergeCell ref="H320:I320"/>
    <mergeCell ref="N320:O320"/>
    <mergeCell ref="T320:U320"/>
    <mergeCell ref="A316:F316"/>
    <mergeCell ref="G316:L316"/>
    <mergeCell ref="M316:R316"/>
    <mergeCell ref="S316:X316"/>
    <mergeCell ref="B317:F317"/>
    <mergeCell ref="H317:L317"/>
    <mergeCell ref="N317:R317"/>
    <mergeCell ref="T317:X317"/>
    <mergeCell ref="C318:F318"/>
    <mergeCell ref="I318:L318"/>
    <mergeCell ref="O318:R318"/>
    <mergeCell ref="U318:X318"/>
    <mergeCell ref="B324:F324"/>
    <mergeCell ref="H324:L324"/>
    <mergeCell ref="N324:R324"/>
    <mergeCell ref="T324:X324"/>
    <mergeCell ref="C325:F325"/>
    <mergeCell ref="I325:L325"/>
    <mergeCell ref="O325:R325"/>
    <mergeCell ref="U325:X325"/>
    <mergeCell ref="B326:C326"/>
    <mergeCell ref="E326:F326"/>
    <mergeCell ref="H326:I326"/>
    <mergeCell ref="K326:L326"/>
    <mergeCell ref="N326:O326"/>
    <mergeCell ref="Q326:R326"/>
    <mergeCell ref="T326:U326"/>
    <mergeCell ref="W326:X326"/>
    <mergeCell ref="C321:F321"/>
    <mergeCell ref="I321:L321"/>
    <mergeCell ref="O321:R321"/>
    <mergeCell ref="U321:X321"/>
    <mergeCell ref="B322:F322"/>
    <mergeCell ref="H322:L322"/>
    <mergeCell ref="N322:R322"/>
    <mergeCell ref="T322:X322"/>
    <mergeCell ref="A323:F323"/>
    <mergeCell ref="G323:L323"/>
    <mergeCell ref="M323:R323"/>
    <mergeCell ref="S323:X323"/>
    <mergeCell ref="A330:F330"/>
    <mergeCell ref="G330:L330"/>
    <mergeCell ref="M330:R330"/>
    <mergeCell ref="S330:X330"/>
    <mergeCell ref="B331:F331"/>
    <mergeCell ref="H331:L331"/>
    <mergeCell ref="N331:R331"/>
    <mergeCell ref="T331:X331"/>
    <mergeCell ref="C332:F332"/>
    <mergeCell ref="I332:L332"/>
    <mergeCell ref="O332:R332"/>
    <mergeCell ref="U332:X332"/>
    <mergeCell ref="B327:C327"/>
    <mergeCell ref="H327:I327"/>
    <mergeCell ref="N327:O327"/>
    <mergeCell ref="T327:U327"/>
    <mergeCell ref="C328:F328"/>
    <mergeCell ref="I328:L328"/>
    <mergeCell ref="O328:R328"/>
    <mergeCell ref="U328:X328"/>
    <mergeCell ref="B329:F329"/>
    <mergeCell ref="H329:L329"/>
    <mergeCell ref="N329:R329"/>
    <mergeCell ref="T329:X329"/>
    <mergeCell ref="C335:F335"/>
    <mergeCell ref="I335:L335"/>
    <mergeCell ref="O335:R335"/>
    <mergeCell ref="U335:X335"/>
    <mergeCell ref="B336:F336"/>
    <mergeCell ref="H336:L336"/>
    <mergeCell ref="N336:R336"/>
    <mergeCell ref="T336:X336"/>
    <mergeCell ref="A337:F337"/>
    <mergeCell ref="G337:L337"/>
    <mergeCell ref="M337:R337"/>
    <mergeCell ref="S337:X337"/>
    <mergeCell ref="B333:C333"/>
    <mergeCell ref="E333:F333"/>
    <mergeCell ref="H333:I333"/>
    <mergeCell ref="K333:L333"/>
    <mergeCell ref="N333:O333"/>
    <mergeCell ref="Q333:R333"/>
    <mergeCell ref="T333:U333"/>
    <mergeCell ref="W333:X333"/>
    <mergeCell ref="B334:C334"/>
    <mergeCell ref="H334:I334"/>
    <mergeCell ref="N334:O334"/>
    <mergeCell ref="T334:U334"/>
    <mergeCell ref="B341:C341"/>
    <mergeCell ref="H341:I341"/>
    <mergeCell ref="N341:O341"/>
    <mergeCell ref="T341:U341"/>
    <mergeCell ref="C342:F342"/>
    <mergeCell ref="I342:L342"/>
    <mergeCell ref="O342:R342"/>
    <mergeCell ref="U342:X342"/>
    <mergeCell ref="B343:F343"/>
    <mergeCell ref="H343:L343"/>
    <mergeCell ref="N343:R343"/>
    <mergeCell ref="T343:X343"/>
    <mergeCell ref="B338:F338"/>
    <mergeCell ref="H338:L338"/>
    <mergeCell ref="N338:R338"/>
    <mergeCell ref="T338:X338"/>
    <mergeCell ref="C339:F339"/>
    <mergeCell ref="I339:L339"/>
    <mergeCell ref="O339:R339"/>
    <mergeCell ref="U339:X339"/>
    <mergeCell ref="B340:C340"/>
    <mergeCell ref="E340:F340"/>
    <mergeCell ref="H340:I340"/>
    <mergeCell ref="K340:L340"/>
    <mergeCell ref="N340:O340"/>
    <mergeCell ref="Q340:R340"/>
    <mergeCell ref="T340:U340"/>
    <mergeCell ref="W340:X340"/>
    <mergeCell ref="B347:C347"/>
    <mergeCell ref="E347:F347"/>
    <mergeCell ref="H347:I347"/>
    <mergeCell ref="K347:L347"/>
    <mergeCell ref="N347:O347"/>
    <mergeCell ref="Q347:R347"/>
    <mergeCell ref="T347:U347"/>
    <mergeCell ref="W347:X347"/>
    <mergeCell ref="B348:C348"/>
    <mergeCell ref="H348:I348"/>
    <mergeCell ref="N348:O348"/>
    <mergeCell ref="T348:U348"/>
    <mergeCell ref="A344:F344"/>
    <mergeCell ref="G344:L344"/>
    <mergeCell ref="M344:R344"/>
    <mergeCell ref="S344:X344"/>
    <mergeCell ref="B345:F345"/>
    <mergeCell ref="H345:L345"/>
    <mergeCell ref="N345:R345"/>
    <mergeCell ref="T345:X345"/>
    <mergeCell ref="C346:F346"/>
    <mergeCell ref="I346:L346"/>
    <mergeCell ref="O346:R346"/>
    <mergeCell ref="U346:X346"/>
    <mergeCell ref="B352:F352"/>
    <mergeCell ref="H352:L352"/>
    <mergeCell ref="N352:R352"/>
    <mergeCell ref="T352:X352"/>
    <mergeCell ref="C353:F353"/>
    <mergeCell ref="I353:L353"/>
    <mergeCell ref="O353:R353"/>
    <mergeCell ref="U353:X353"/>
    <mergeCell ref="B354:C354"/>
    <mergeCell ref="E354:F354"/>
    <mergeCell ref="H354:I354"/>
    <mergeCell ref="K354:L354"/>
    <mergeCell ref="N354:O354"/>
    <mergeCell ref="Q354:R354"/>
    <mergeCell ref="T354:U354"/>
    <mergeCell ref="W354:X354"/>
    <mergeCell ref="C349:F349"/>
    <mergeCell ref="I349:L349"/>
    <mergeCell ref="O349:R349"/>
    <mergeCell ref="U349:X349"/>
    <mergeCell ref="B350:F350"/>
    <mergeCell ref="H350:L350"/>
    <mergeCell ref="N350:R350"/>
    <mergeCell ref="T350:X350"/>
    <mergeCell ref="A351:F351"/>
    <mergeCell ref="G351:L351"/>
    <mergeCell ref="M351:R351"/>
    <mergeCell ref="S351:X351"/>
    <mergeCell ref="A358:F358"/>
    <mergeCell ref="G358:L358"/>
    <mergeCell ref="M358:R358"/>
    <mergeCell ref="S358:X358"/>
    <mergeCell ref="B359:F359"/>
    <mergeCell ref="H359:L359"/>
    <mergeCell ref="N359:R359"/>
    <mergeCell ref="T359:X359"/>
    <mergeCell ref="C360:F360"/>
    <mergeCell ref="I360:L360"/>
    <mergeCell ref="O360:R360"/>
    <mergeCell ref="U360:X360"/>
    <mergeCell ref="B355:C355"/>
    <mergeCell ref="H355:I355"/>
    <mergeCell ref="N355:O355"/>
    <mergeCell ref="T355:U355"/>
    <mergeCell ref="C356:F356"/>
    <mergeCell ref="I356:L356"/>
    <mergeCell ref="O356:R356"/>
    <mergeCell ref="U356:X356"/>
    <mergeCell ref="B357:F357"/>
    <mergeCell ref="H357:L357"/>
    <mergeCell ref="N357:R357"/>
    <mergeCell ref="T357:X357"/>
    <mergeCell ref="C363:F363"/>
    <mergeCell ref="I363:L363"/>
    <mergeCell ref="O363:R363"/>
    <mergeCell ref="U363:X363"/>
    <mergeCell ref="B364:F364"/>
    <mergeCell ref="H364:L364"/>
    <mergeCell ref="N364:R364"/>
    <mergeCell ref="T364:X364"/>
    <mergeCell ref="A365:F365"/>
    <mergeCell ref="G365:L365"/>
    <mergeCell ref="M365:R365"/>
    <mergeCell ref="S365:X365"/>
    <mergeCell ref="B361:C361"/>
    <mergeCell ref="E361:F361"/>
    <mergeCell ref="H361:I361"/>
    <mergeCell ref="K361:L361"/>
    <mergeCell ref="N361:O361"/>
    <mergeCell ref="Q361:R361"/>
    <mergeCell ref="T361:U361"/>
    <mergeCell ref="W361:X361"/>
    <mergeCell ref="B362:C362"/>
    <mergeCell ref="H362:I362"/>
    <mergeCell ref="N362:O362"/>
    <mergeCell ref="T362:U362"/>
    <mergeCell ref="B369:C369"/>
    <mergeCell ref="H369:I369"/>
    <mergeCell ref="N369:O369"/>
    <mergeCell ref="T369:U369"/>
    <mergeCell ref="C370:F370"/>
    <mergeCell ref="I370:L370"/>
    <mergeCell ref="O370:R370"/>
    <mergeCell ref="U370:X370"/>
    <mergeCell ref="B371:F371"/>
    <mergeCell ref="H371:L371"/>
    <mergeCell ref="N371:R371"/>
    <mergeCell ref="T371:X371"/>
    <mergeCell ref="B366:F366"/>
    <mergeCell ref="H366:L366"/>
    <mergeCell ref="N366:R366"/>
    <mergeCell ref="T366:X366"/>
    <mergeCell ref="C367:F367"/>
    <mergeCell ref="I367:L367"/>
    <mergeCell ref="O367:R367"/>
    <mergeCell ref="U367:X367"/>
    <mergeCell ref="B368:C368"/>
    <mergeCell ref="E368:F368"/>
    <mergeCell ref="H368:I368"/>
    <mergeCell ref="K368:L368"/>
    <mergeCell ref="N368:O368"/>
    <mergeCell ref="Q368:R368"/>
    <mergeCell ref="T368:U368"/>
    <mergeCell ref="W368:X368"/>
    <mergeCell ref="B375:C375"/>
    <mergeCell ref="E375:F375"/>
    <mergeCell ref="H375:I375"/>
    <mergeCell ref="K375:L375"/>
    <mergeCell ref="N375:O375"/>
    <mergeCell ref="Q375:R375"/>
    <mergeCell ref="T375:U375"/>
    <mergeCell ref="W375:X375"/>
    <mergeCell ref="B376:C376"/>
    <mergeCell ref="H376:I376"/>
    <mergeCell ref="N376:O376"/>
    <mergeCell ref="T376:U376"/>
    <mergeCell ref="A372:F372"/>
    <mergeCell ref="G372:L372"/>
    <mergeCell ref="M372:R372"/>
    <mergeCell ref="S372:X372"/>
    <mergeCell ref="B373:F373"/>
    <mergeCell ref="H373:L373"/>
    <mergeCell ref="N373:R373"/>
    <mergeCell ref="T373:X373"/>
    <mergeCell ref="C374:F374"/>
    <mergeCell ref="I374:L374"/>
    <mergeCell ref="O374:R374"/>
    <mergeCell ref="U374:X374"/>
    <mergeCell ref="B380:F380"/>
    <mergeCell ref="H380:L380"/>
    <mergeCell ref="N380:R380"/>
    <mergeCell ref="T380:X380"/>
    <mergeCell ref="C381:F381"/>
    <mergeCell ref="I381:L381"/>
    <mergeCell ref="O381:R381"/>
    <mergeCell ref="U381:X381"/>
    <mergeCell ref="B382:C382"/>
    <mergeCell ref="E382:F382"/>
    <mergeCell ref="H382:I382"/>
    <mergeCell ref="K382:L382"/>
    <mergeCell ref="N382:O382"/>
    <mergeCell ref="Q382:R382"/>
    <mergeCell ref="T382:U382"/>
    <mergeCell ref="W382:X382"/>
    <mergeCell ref="C377:F377"/>
    <mergeCell ref="I377:L377"/>
    <mergeCell ref="O377:R377"/>
    <mergeCell ref="U377:X377"/>
    <mergeCell ref="B378:F378"/>
    <mergeCell ref="H378:L378"/>
    <mergeCell ref="N378:R378"/>
    <mergeCell ref="T378:X378"/>
    <mergeCell ref="A379:F379"/>
    <mergeCell ref="G379:L379"/>
    <mergeCell ref="M379:R379"/>
    <mergeCell ref="S379:X379"/>
    <mergeCell ref="A386:F386"/>
    <mergeCell ref="G386:L386"/>
    <mergeCell ref="M386:R386"/>
    <mergeCell ref="S386:X386"/>
    <mergeCell ref="B387:F387"/>
    <mergeCell ref="H387:L387"/>
    <mergeCell ref="N387:R387"/>
    <mergeCell ref="T387:X387"/>
    <mergeCell ref="C388:F388"/>
    <mergeCell ref="I388:L388"/>
    <mergeCell ref="O388:R388"/>
    <mergeCell ref="U388:X388"/>
    <mergeCell ref="B383:C383"/>
    <mergeCell ref="H383:I383"/>
    <mergeCell ref="N383:O383"/>
    <mergeCell ref="T383:U383"/>
    <mergeCell ref="C384:F384"/>
    <mergeCell ref="I384:L384"/>
    <mergeCell ref="O384:R384"/>
    <mergeCell ref="U384:X384"/>
    <mergeCell ref="B385:F385"/>
    <mergeCell ref="H385:L385"/>
    <mergeCell ref="N385:R385"/>
    <mergeCell ref="T385:X385"/>
    <mergeCell ref="C391:F391"/>
    <mergeCell ref="I391:L391"/>
    <mergeCell ref="O391:R391"/>
    <mergeCell ref="U391:X391"/>
    <mergeCell ref="B392:F392"/>
    <mergeCell ref="H392:L392"/>
    <mergeCell ref="N392:R392"/>
    <mergeCell ref="T392:X392"/>
    <mergeCell ref="A393:F393"/>
    <mergeCell ref="G393:L393"/>
    <mergeCell ref="M393:R393"/>
    <mergeCell ref="S393:X393"/>
    <mergeCell ref="B389:C389"/>
    <mergeCell ref="E389:F389"/>
    <mergeCell ref="H389:I389"/>
    <mergeCell ref="K389:L389"/>
    <mergeCell ref="N389:O389"/>
    <mergeCell ref="Q389:R389"/>
    <mergeCell ref="T389:U389"/>
    <mergeCell ref="W389:X389"/>
    <mergeCell ref="B390:C390"/>
    <mergeCell ref="H390:I390"/>
    <mergeCell ref="N390:O390"/>
    <mergeCell ref="T390:U390"/>
    <mergeCell ref="B397:C397"/>
    <mergeCell ref="H397:I397"/>
    <mergeCell ref="N397:O397"/>
    <mergeCell ref="T397:U397"/>
    <mergeCell ref="C398:F398"/>
    <mergeCell ref="I398:L398"/>
    <mergeCell ref="O398:R398"/>
    <mergeCell ref="U398:X398"/>
    <mergeCell ref="B399:F399"/>
    <mergeCell ref="H399:L399"/>
    <mergeCell ref="N399:R399"/>
    <mergeCell ref="T399:X399"/>
    <mergeCell ref="B394:F394"/>
    <mergeCell ref="H394:L394"/>
    <mergeCell ref="N394:R394"/>
    <mergeCell ref="T394:X394"/>
    <mergeCell ref="C395:F395"/>
    <mergeCell ref="I395:L395"/>
    <mergeCell ref="O395:R395"/>
    <mergeCell ref="U395:X395"/>
    <mergeCell ref="B396:C396"/>
    <mergeCell ref="E396:F396"/>
    <mergeCell ref="H396:I396"/>
    <mergeCell ref="K396:L396"/>
    <mergeCell ref="N396:O396"/>
    <mergeCell ref="Q396:R396"/>
    <mergeCell ref="T396:U396"/>
    <mergeCell ref="W396:X396"/>
    <mergeCell ref="B403:C403"/>
    <mergeCell ref="E403:F403"/>
    <mergeCell ref="H403:I403"/>
    <mergeCell ref="K403:L403"/>
    <mergeCell ref="N403:O403"/>
    <mergeCell ref="Q403:R403"/>
    <mergeCell ref="T403:U403"/>
    <mergeCell ref="W403:X403"/>
    <mergeCell ref="B404:C404"/>
    <mergeCell ref="H404:I404"/>
    <mergeCell ref="N404:O404"/>
    <mergeCell ref="T404:U404"/>
    <mergeCell ref="A400:F400"/>
    <mergeCell ref="G400:L400"/>
    <mergeCell ref="M400:R400"/>
    <mergeCell ref="S400:X400"/>
    <mergeCell ref="B401:F401"/>
    <mergeCell ref="H401:L401"/>
    <mergeCell ref="N401:R401"/>
    <mergeCell ref="T401:X401"/>
    <mergeCell ref="C402:F402"/>
    <mergeCell ref="I402:L402"/>
    <mergeCell ref="O402:R402"/>
    <mergeCell ref="U402:X402"/>
    <mergeCell ref="B408:F408"/>
    <mergeCell ref="H408:L408"/>
    <mergeCell ref="N408:R408"/>
    <mergeCell ref="T408:X408"/>
    <mergeCell ref="C409:F409"/>
    <mergeCell ref="I409:L409"/>
    <mergeCell ref="O409:R409"/>
    <mergeCell ref="U409:X409"/>
    <mergeCell ref="B410:C410"/>
    <mergeCell ref="E410:F410"/>
    <mergeCell ref="H410:I410"/>
    <mergeCell ref="K410:L410"/>
    <mergeCell ref="N410:O410"/>
    <mergeCell ref="Q410:R410"/>
    <mergeCell ref="T410:U410"/>
    <mergeCell ref="W410:X410"/>
    <mergeCell ref="C405:F405"/>
    <mergeCell ref="I405:L405"/>
    <mergeCell ref="O405:R405"/>
    <mergeCell ref="U405:X405"/>
    <mergeCell ref="B406:F406"/>
    <mergeCell ref="H406:L406"/>
    <mergeCell ref="N406:R406"/>
    <mergeCell ref="T406:X406"/>
    <mergeCell ref="A407:F407"/>
    <mergeCell ref="G407:L407"/>
    <mergeCell ref="M407:R407"/>
    <mergeCell ref="S407:X407"/>
    <mergeCell ref="A414:F414"/>
    <mergeCell ref="G414:L414"/>
    <mergeCell ref="M414:R414"/>
    <mergeCell ref="S414:X414"/>
    <mergeCell ref="B415:F415"/>
    <mergeCell ref="H415:L415"/>
    <mergeCell ref="N415:R415"/>
    <mergeCell ref="T415:X415"/>
    <mergeCell ref="C416:F416"/>
    <mergeCell ref="I416:L416"/>
    <mergeCell ref="O416:R416"/>
    <mergeCell ref="U416:X416"/>
    <mergeCell ref="B411:C411"/>
    <mergeCell ref="H411:I411"/>
    <mergeCell ref="N411:O411"/>
    <mergeCell ref="T411:U411"/>
    <mergeCell ref="C412:F412"/>
    <mergeCell ref="I412:L412"/>
    <mergeCell ref="O412:R412"/>
    <mergeCell ref="U412:X412"/>
    <mergeCell ref="B413:F413"/>
    <mergeCell ref="H413:L413"/>
    <mergeCell ref="N413:R413"/>
    <mergeCell ref="T413:X413"/>
    <mergeCell ref="C419:F419"/>
    <mergeCell ref="I419:L419"/>
    <mergeCell ref="O419:R419"/>
    <mergeCell ref="U419:X419"/>
    <mergeCell ref="B420:F420"/>
    <mergeCell ref="H420:L420"/>
    <mergeCell ref="N420:R420"/>
    <mergeCell ref="T420:X420"/>
    <mergeCell ref="B417:C417"/>
    <mergeCell ref="E417:F417"/>
    <mergeCell ref="H417:I417"/>
    <mergeCell ref="K417:L417"/>
    <mergeCell ref="N417:O417"/>
    <mergeCell ref="Q417:R417"/>
    <mergeCell ref="T417:U417"/>
    <mergeCell ref="W417:X417"/>
    <mergeCell ref="B418:C418"/>
    <mergeCell ref="H418:I418"/>
    <mergeCell ref="N418:O418"/>
    <mergeCell ref="T418:U418"/>
  </mergeCells>
  <pageMargins left="0.23622047244094491" right="0.23622047244094491" top="0.23622047244094491" bottom="0.23622047244094491" header="0" footer="0"/>
  <pageSetup paperSize="9" orientation="landscape" r:id="rId1"/>
  <rowBreaks count="9" manualBreakCount="9">
    <brk id="42" max="16383" man="1"/>
    <brk id="84" max="16383" man="1"/>
    <brk id="126" max="16383" man="1"/>
    <brk id="168" max="16383" man="1"/>
    <brk id="210" max="16383" man="1"/>
    <brk id="252" max="16383" man="1"/>
    <brk id="294" max="16383" man="1"/>
    <brk id="336" max="16383" man="1"/>
    <brk id="378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2AE4-FDDE-4DAE-B662-1C0DA815E5FE}">
  <sheetPr codeName="Planilha7"/>
  <dimension ref="A1:E7"/>
  <sheetViews>
    <sheetView workbookViewId="0">
      <selection activeCell="G12" sqref="G12"/>
    </sheetView>
  </sheetViews>
  <sheetFormatPr defaultRowHeight="15" x14ac:dyDescent="0.25"/>
  <sheetData>
    <row r="1" spans="1:5" x14ac:dyDescent="0.25">
      <c r="A1" s="204" t="s">
        <v>293</v>
      </c>
      <c r="B1" s="205"/>
      <c r="C1" s="205"/>
      <c r="D1" s="205"/>
      <c r="E1" s="206"/>
    </row>
    <row r="2" spans="1:5" x14ac:dyDescent="0.25">
      <c r="A2" s="121" t="s">
        <v>302</v>
      </c>
      <c r="B2" s="207"/>
      <c r="C2" s="207"/>
      <c r="D2" s="207"/>
      <c r="E2" s="208"/>
    </row>
    <row r="3" spans="1:5" x14ac:dyDescent="0.25">
      <c r="A3" s="121" t="s">
        <v>303</v>
      </c>
      <c r="B3" s="120"/>
      <c r="C3" s="207"/>
      <c r="D3" s="207"/>
      <c r="E3" s="208"/>
    </row>
    <row r="4" spans="1:5" x14ac:dyDescent="0.25">
      <c r="A4" s="121" t="s">
        <v>304</v>
      </c>
      <c r="B4" s="207"/>
      <c r="C4" s="207"/>
      <c r="D4" s="120" t="s">
        <v>297</v>
      </c>
      <c r="E4" s="122"/>
    </row>
    <row r="5" spans="1:5" x14ac:dyDescent="0.25">
      <c r="A5" s="121" t="s">
        <v>305</v>
      </c>
      <c r="B5" s="207"/>
      <c r="C5" s="207"/>
      <c r="D5" s="120" t="s">
        <v>299</v>
      </c>
      <c r="E5" s="122"/>
    </row>
    <row r="6" spans="1:5" x14ac:dyDescent="0.25">
      <c r="A6" s="121" t="s">
        <v>306</v>
      </c>
      <c r="B6" s="120"/>
      <c r="C6" s="207"/>
      <c r="D6" s="207"/>
      <c r="E6" s="208"/>
    </row>
    <row r="7" spans="1:5" x14ac:dyDescent="0.25">
      <c r="A7" s="126" t="s">
        <v>301</v>
      </c>
      <c r="B7" s="202"/>
      <c r="C7" s="202"/>
      <c r="D7" s="202"/>
      <c r="E7" s="203"/>
    </row>
  </sheetData>
  <mergeCells count="7">
    <mergeCell ref="B7:E7"/>
    <mergeCell ref="A1:E1"/>
    <mergeCell ref="B2:E2"/>
    <mergeCell ref="C3:E3"/>
    <mergeCell ref="B4:C4"/>
    <mergeCell ref="B5:C5"/>
    <mergeCell ref="C6:E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3"/>
  </sheetPr>
  <dimension ref="A1:M310"/>
  <sheetViews>
    <sheetView showGridLines="0" workbookViewId="0">
      <selection activeCell="E3" sqref="E3:E310"/>
    </sheetView>
  </sheetViews>
  <sheetFormatPr defaultRowHeight="11.25" x14ac:dyDescent="0.2"/>
  <cols>
    <col min="1" max="1" width="21.85546875" style="95" bestFit="1" customWidth="1"/>
    <col min="2" max="2" width="14.5703125" style="95" bestFit="1" customWidth="1"/>
    <col min="3" max="3" width="19.7109375" style="95" bestFit="1" customWidth="1"/>
    <col min="4" max="4" width="9.85546875" style="95" bestFit="1" customWidth="1"/>
    <col min="5" max="5" width="10.140625" style="95" customWidth="1"/>
    <col min="6" max="6" width="5.85546875" style="95" customWidth="1"/>
    <col min="7" max="7" width="5.42578125" style="95" customWidth="1"/>
    <col min="8" max="8" width="5.28515625" style="95" customWidth="1"/>
    <col min="9" max="9" width="14" style="95" customWidth="1"/>
    <col min="10" max="10" width="9.42578125" style="95" bestFit="1" customWidth="1"/>
    <col min="11" max="11" width="25.42578125" style="95" customWidth="1"/>
    <col min="12" max="12" width="22.28515625" style="95" bestFit="1" customWidth="1"/>
    <col min="13" max="13" width="18.28515625" style="95" bestFit="1" customWidth="1"/>
    <col min="14" max="16384" width="9.140625" style="95"/>
  </cols>
  <sheetData>
    <row r="1" spans="1:13" ht="30.75" customHeight="1" x14ac:dyDescent="0.2">
      <c r="A1" s="141" t="s">
        <v>281</v>
      </c>
      <c r="B1" s="139" t="s">
        <v>282</v>
      </c>
      <c r="C1" s="139" t="s">
        <v>283</v>
      </c>
      <c r="D1" s="139" t="s">
        <v>284</v>
      </c>
      <c r="E1" s="215" t="s">
        <v>288</v>
      </c>
      <c r="F1" s="217" t="s">
        <v>105</v>
      </c>
      <c r="G1" s="218"/>
      <c r="H1" s="219"/>
      <c r="I1" s="220" t="s">
        <v>289</v>
      </c>
      <c r="J1" s="209" t="s">
        <v>14</v>
      </c>
      <c r="K1" s="215" t="s">
        <v>285</v>
      </c>
      <c r="L1" s="211" t="s">
        <v>50</v>
      </c>
      <c r="M1" s="137" t="s">
        <v>119</v>
      </c>
    </row>
    <row r="2" spans="1:13" x14ac:dyDescent="0.2">
      <c r="A2" s="214"/>
      <c r="B2" s="140"/>
      <c r="C2" s="140"/>
      <c r="D2" s="140"/>
      <c r="E2" s="216"/>
      <c r="F2" s="9" t="s">
        <v>132</v>
      </c>
      <c r="G2" s="9" t="s">
        <v>133</v>
      </c>
      <c r="H2" s="9" t="s">
        <v>134</v>
      </c>
      <c r="I2" s="221"/>
      <c r="J2" s="210"/>
      <c r="K2" s="216"/>
      <c r="L2" s="212"/>
      <c r="M2" s="213"/>
    </row>
    <row r="3" spans="1:13" x14ac:dyDescent="0.2">
      <c r="A3" s="96">
        <f>Sitio!$E$3</f>
        <v>0</v>
      </c>
      <c r="B3" s="96" t="str">
        <f>IFERROR(VLOOKUP($E3,Preenchimento!$A$2:$BV$1048576,2,0),"")</f>
        <v>Col. Sup 4</v>
      </c>
      <c r="C3" s="96">
        <f>IFERROR(VLOOKUP($E3,Preenchimento!$A$2:$BV$1048576,4,0),"")</f>
        <v>0</v>
      </c>
      <c r="D3" s="96" t="str">
        <f>IFERROR(VLOOKUP($E3,Preenchimento!$A$2:$BV$1048576,3,0),"")</f>
        <v>Superfície</v>
      </c>
      <c r="E3" s="96">
        <v>1</v>
      </c>
      <c r="F3" s="96">
        <f>IFERROR(VLOOKUP($E3,Preenchimento!$A$2:$BV$1048576,7,0),"")</f>
        <v>1</v>
      </c>
      <c r="G3" s="96" t="str">
        <f>IF(IFERROR(VLOOKUP($E3,Preenchimento!$A$2:$BV$1048576,8,0),"")=0,"",IFERROR(VLOOKUP($E3,Preenchimento!$A$2:$BV$1048576,8,0),""))</f>
        <v/>
      </c>
      <c r="H3" s="96">
        <f>IFERROR(VLOOKUP($E3,Preenchimento!$A$2:$BV$1048576,9,0),"")</f>
        <v>1</v>
      </c>
      <c r="I3" s="96">
        <f>IFERROR(VLOOKUP($E3,Preenchimento!$A$2:$BV$1048576,10,0),"")</f>
        <v>9</v>
      </c>
      <c r="J3" s="96" t="str">
        <f>IFERROR(VLOOKUP($E3,Preenchimento!$A$2:$BV$1048576,12,0),"")</f>
        <v>Lítico</v>
      </c>
      <c r="K3" s="96" t="str">
        <f>IFERROR(VLOOKUP($E3,Preenchimento!$A$2:$BV$1048576,6,0),"")</f>
        <v>Acervo Geral</v>
      </c>
      <c r="L3" s="96" t="str">
        <f>IF(IFERROR(VLOOKUP($E3,Preenchimento!$A$2:$BV$1048576,53,0),"")=0,"",IFERROR(VLOOKUP($E3,Preenchimento!$A$2:$BV$1048576,53,0),""))</f>
        <v>xx</v>
      </c>
      <c r="M3" s="96">
        <f>IFERROR(VLOOKUP($E3,Preenchimento!$A$2:$BV$1048576,74,0),"")</f>
        <v>1</v>
      </c>
    </row>
    <row r="4" spans="1:13" x14ac:dyDescent="0.2">
      <c r="A4" s="96">
        <f>Sitio!$E$3</f>
        <v>0</v>
      </c>
      <c r="B4" s="96" t="str">
        <f>IFERROR(VLOOKUP($E4,Preenchimento!$A$2:$BV$1048576,2,0),"")</f>
        <v>Quadra de coleta 7</v>
      </c>
      <c r="C4" s="96">
        <f>IFERROR(VLOOKUP($E4,Preenchimento!$A$2:$BV$1048576,4,0),"")</f>
        <v>0</v>
      </c>
      <c r="D4" s="96" t="str">
        <f>IFERROR(VLOOKUP($E4,Preenchimento!$A$2:$BV$1048576,3,0),"")</f>
        <v>Superfície</v>
      </c>
      <c r="E4" s="96">
        <v>2</v>
      </c>
      <c r="F4" s="96">
        <f>IFERROR(VLOOKUP($E4,Preenchimento!$A$2:$BV$1048576,7,0),"")</f>
        <v>1</v>
      </c>
      <c r="G4" s="96" t="str">
        <f>IF(IFERROR(VLOOKUP($E4,Preenchimento!$A$2:$BV$1048576,8,0),"")=0,"",IFERROR(VLOOKUP($E4,Preenchimento!$A$2:$BV$1048576,8,0),""))</f>
        <v/>
      </c>
      <c r="H4" s="96">
        <f>IFERROR(VLOOKUP($E4,Preenchimento!$A$2:$BV$1048576,9,0),"")</f>
        <v>1</v>
      </c>
      <c r="I4" s="96" t="str">
        <f>IFERROR(VLOOKUP($E4,Preenchimento!$A$2:$BV$1048576,10,0),"")</f>
        <v>10</v>
      </c>
      <c r="J4" s="96" t="str">
        <f>IFERROR(VLOOKUP($E4,Preenchimento!$A$2:$BV$1048576,12,0),"")</f>
        <v>Lítico</v>
      </c>
      <c r="K4" s="96" t="str">
        <f>IFERROR(VLOOKUP($E4,Preenchimento!$A$2:$BV$1048576,6,0),"")</f>
        <v>Acervo Geral</v>
      </c>
      <c r="L4" s="96" t="str">
        <f>IF(IFERROR(VLOOKUP($E4,Preenchimento!$A$2:$BV$1048576,53,0),"")=0,"",IFERROR(VLOOKUP($E4,Preenchimento!$A$2:$BV$1048576,53,0),""))</f>
        <v>xx</v>
      </c>
      <c r="M4" s="96">
        <f>IFERROR(VLOOKUP($E4,Preenchimento!$A$2:$BV$1048576,74,0),"")</f>
        <v>2</v>
      </c>
    </row>
    <row r="5" spans="1:13" x14ac:dyDescent="0.2">
      <c r="A5" s="96">
        <f>Sitio!$E$3</f>
        <v>0</v>
      </c>
      <c r="B5" s="96" t="str">
        <f>IFERROR(VLOOKUP($E5,Preenchimento!$A$2:$BV$1048576,2,0),"")</f>
        <v>Quadra de coleta 8</v>
      </c>
      <c r="C5" s="96">
        <f>IFERROR(VLOOKUP($E5,Preenchimento!$A$2:$BV$1048576,4,0),"")</f>
        <v>0</v>
      </c>
      <c r="D5" s="96" t="str">
        <f>IFERROR(VLOOKUP($E5,Preenchimento!$A$2:$BV$1048576,3,0),"")</f>
        <v>Superfície</v>
      </c>
      <c r="E5" s="96">
        <v>3</v>
      </c>
      <c r="F5" s="96">
        <f>IFERROR(VLOOKUP($E5,Preenchimento!$A$2:$BV$1048576,7,0),"")</f>
        <v>5</v>
      </c>
      <c r="G5" s="96" t="str">
        <f>IF(IFERROR(VLOOKUP($E5,Preenchimento!$A$2:$BV$1048576,8,0),"")=0,"",IFERROR(VLOOKUP($E5,Preenchimento!$A$2:$BV$1048576,8,0),""))</f>
        <v/>
      </c>
      <c r="H5" s="96">
        <f>IFERROR(VLOOKUP($E5,Preenchimento!$A$2:$BV$1048576,9,0),"")</f>
        <v>5</v>
      </c>
      <c r="I5" s="96" t="str">
        <f>IFERROR(VLOOKUP($E5,Preenchimento!$A$2:$BV$1048576,10,0),"")</f>
        <v>11-15</v>
      </c>
      <c r="J5" s="96" t="str">
        <f>IFERROR(VLOOKUP($E5,Preenchimento!$A$2:$BV$1048576,12,0),"")</f>
        <v>Lítico</v>
      </c>
      <c r="K5" s="96" t="str">
        <f>IFERROR(VLOOKUP($E5,Preenchimento!$A$2:$BV$1048576,6,0),"")</f>
        <v>Acervo Geral</v>
      </c>
      <c r="L5" s="96" t="str">
        <f>IF(IFERROR(VLOOKUP($E5,Preenchimento!$A$2:$BV$1048576,53,0),"")=0,"",IFERROR(VLOOKUP($E5,Preenchimento!$A$2:$BV$1048576,53,0),""))</f>
        <v>xx</v>
      </c>
      <c r="M5" s="96">
        <f>IFERROR(VLOOKUP($E5,Preenchimento!$A$2:$BV$1048576,74,0),"")</f>
        <v>3</v>
      </c>
    </row>
    <row r="6" spans="1:13" x14ac:dyDescent="0.2">
      <c r="A6" s="96">
        <f>Sitio!$E$3</f>
        <v>0</v>
      </c>
      <c r="B6" s="96" t="str">
        <f>IFERROR(VLOOKUP($E6,Preenchimento!$A$2:$BV$1048576,2,0),"")</f>
        <v>Quadra de coleta 8</v>
      </c>
      <c r="C6" s="96">
        <f>IFERROR(VLOOKUP($E6,Preenchimento!$A$2:$BV$1048576,4,0),"")</f>
        <v>0</v>
      </c>
      <c r="D6" s="96" t="str">
        <f>IFERROR(VLOOKUP($E6,Preenchimento!$A$2:$BV$1048576,3,0),"")</f>
        <v>Superfície</v>
      </c>
      <c r="E6" s="96">
        <v>4</v>
      </c>
      <c r="F6" s="96">
        <f>IFERROR(VLOOKUP($E6,Preenchimento!$A$2:$BV$1048576,7,0),"")</f>
        <v>25</v>
      </c>
      <c r="G6" s="96">
        <f>IF(IFERROR(VLOOKUP($E6,Preenchimento!$A$2:$BV$1048576,8,0),"")=0,"",IFERROR(VLOOKUP($E6,Preenchimento!$A$2:$BV$1048576,8,0),""))</f>
        <v>8</v>
      </c>
      <c r="H6" s="96" t="str">
        <f>IFERROR(VLOOKUP($E6,Preenchimento!$A$2:$BV$1048576,9,0),"")</f>
        <v>33</v>
      </c>
      <c r="I6" s="96" t="str">
        <f>IFERROR(VLOOKUP($E6,Preenchimento!$A$2:$BV$1048576,10,0),"")</f>
        <v>16-40</v>
      </c>
      <c r="J6" s="96" t="str">
        <f>IFERROR(VLOOKUP($E6,Preenchimento!$A$2:$BV$1048576,12,0),"")</f>
        <v>Cerâmica</v>
      </c>
      <c r="K6" s="96" t="str">
        <f>IFERROR(VLOOKUP($E6,Preenchimento!$A$2:$BV$1048576,6,0),"")</f>
        <v>Acervo Geral</v>
      </c>
      <c r="L6" s="96" t="str">
        <f>IF(IFERROR(VLOOKUP($E6,Preenchimento!$A$2:$BV$1048576,53,0),"")=0,"",IFERROR(VLOOKUP($E6,Preenchimento!$A$2:$BV$1048576,53,0),""))</f>
        <v>xx</v>
      </c>
      <c r="M6" s="96">
        <f>IFERROR(VLOOKUP($E6,Preenchimento!$A$2:$BV$1048576,74,0),"")</f>
        <v>4</v>
      </c>
    </row>
    <row r="7" spans="1:13" x14ac:dyDescent="0.2">
      <c r="A7" s="96">
        <f>Sitio!$E$3</f>
        <v>0</v>
      </c>
      <c r="B7" s="96" t="str">
        <f>IFERROR(VLOOKUP($E7,Preenchimento!$A$2:$BV$1048576,2,0),"")</f>
        <v>Quadra de coleta 8</v>
      </c>
      <c r="C7" s="96">
        <f>IFERROR(VLOOKUP($E7,Preenchimento!$A$2:$BV$1048576,4,0),"")</f>
        <v>0</v>
      </c>
      <c r="D7" s="96" t="str">
        <f>IFERROR(VLOOKUP($E7,Preenchimento!$A$2:$BV$1048576,3,0),"")</f>
        <v>Superfície</v>
      </c>
      <c r="E7" s="96">
        <v>5</v>
      </c>
      <c r="F7" s="96">
        <f>IFERROR(VLOOKUP($E7,Preenchimento!$A$2:$BV$1048576,7,0),"")</f>
        <v>5</v>
      </c>
      <c r="G7" s="96" t="str">
        <f>IF(IFERROR(VLOOKUP($E7,Preenchimento!$A$2:$BV$1048576,8,0),"")=0,"",IFERROR(VLOOKUP($E7,Preenchimento!$A$2:$BV$1048576,8,0),""))</f>
        <v/>
      </c>
      <c r="H7" s="96" t="str">
        <f>IFERROR(VLOOKUP($E7,Preenchimento!$A$2:$BV$1048576,9,0),"")</f>
        <v>5</v>
      </c>
      <c r="I7" s="96" t="str">
        <f>IFERROR(VLOOKUP($E7,Preenchimento!$A$2:$BV$1048576,10,0),"")</f>
        <v>41-45</v>
      </c>
      <c r="J7" s="96" t="str">
        <f>IFERROR(VLOOKUP($E7,Preenchimento!$A$2:$BV$1048576,12,0),"")</f>
        <v>Faiança fina</v>
      </c>
      <c r="K7" s="96" t="str">
        <f>IFERROR(VLOOKUP($E7,Preenchimento!$A$2:$BV$1048576,6,0),"")</f>
        <v>Acervo Geral</v>
      </c>
      <c r="L7" s="96" t="str">
        <f>IF(IFERROR(VLOOKUP($E7,Preenchimento!$A$2:$BV$1048576,53,0),"")=0,"",IFERROR(VLOOKUP($E7,Preenchimento!$A$2:$BV$1048576,53,0),""))</f>
        <v>xx</v>
      </c>
      <c r="M7" s="96">
        <f>IFERROR(VLOOKUP($E7,Preenchimento!$A$2:$BV$1048576,74,0),"")</f>
        <v>5</v>
      </c>
    </row>
    <row r="8" spans="1:13" x14ac:dyDescent="0.2">
      <c r="A8" s="96">
        <f>Sitio!$E$3</f>
        <v>0</v>
      </c>
      <c r="B8" s="96" t="str">
        <f>IFERROR(VLOOKUP($E8,Preenchimento!$A$2:$BV$1048576,2,0),"")</f>
        <v>UUE 1</v>
      </c>
      <c r="C8" s="96">
        <f>IFERROR(VLOOKUP($E8,Preenchimento!$A$2:$BV$1048576,4,0),"")</f>
        <v>0</v>
      </c>
      <c r="D8" s="96" t="str">
        <f>IFERROR(VLOOKUP($E8,Preenchimento!$A$2:$BV$1048576,3,0),"")</f>
        <v>Superfície</v>
      </c>
      <c r="E8" s="96">
        <v>6</v>
      </c>
      <c r="F8" s="96">
        <f>IFERROR(VLOOKUP($E8,Preenchimento!$A$2:$BV$1048576,7,0),"")</f>
        <v>3</v>
      </c>
      <c r="G8" s="96" t="str">
        <f>IF(IFERROR(VLOOKUP($E8,Preenchimento!$A$2:$BV$1048576,8,0),"")=0,"",IFERROR(VLOOKUP($E8,Preenchimento!$A$2:$BV$1048576,8,0),""))</f>
        <v/>
      </c>
      <c r="H8" s="96" t="str">
        <f>IFERROR(VLOOKUP($E8,Preenchimento!$A$2:$BV$1048576,9,0),"")</f>
        <v>3</v>
      </c>
      <c r="I8" s="96" t="str">
        <f>IFERROR(VLOOKUP($E8,Preenchimento!$A$2:$BV$1048576,10,0),"")</f>
        <v>46-48</v>
      </c>
      <c r="J8" s="96" t="str">
        <f>IFERROR(VLOOKUP($E8,Preenchimento!$A$2:$BV$1048576,12,0),"")</f>
        <v>Lítico</v>
      </c>
      <c r="K8" s="96" t="str">
        <f>IFERROR(VLOOKUP($E8,Preenchimento!$A$2:$BV$1048576,6,0),"")</f>
        <v>Acervo Geral</v>
      </c>
      <c r="L8" s="96" t="str">
        <f>IF(IFERROR(VLOOKUP($E8,Preenchimento!$A$2:$BV$1048576,53,0),"")=0,"",IFERROR(VLOOKUP($E8,Preenchimento!$A$2:$BV$1048576,53,0),""))</f>
        <v>xx</v>
      </c>
      <c r="M8" s="96">
        <f>IFERROR(VLOOKUP($E8,Preenchimento!$A$2:$BV$1048576,74,0),"")</f>
        <v>6</v>
      </c>
    </row>
    <row r="9" spans="1:13" x14ac:dyDescent="0.2">
      <c r="A9" s="96">
        <f>Sitio!$E$3</f>
        <v>0</v>
      </c>
      <c r="B9" s="96" t="str">
        <f>IFERROR(VLOOKUP($E9,Preenchimento!$A$2:$BV$1048576,2,0),"")</f>
        <v>UUE 1</v>
      </c>
      <c r="C9" s="96">
        <f>IFERROR(VLOOKUP($E9,Preenchimento!$A$2:$BV$1048576,4,0),"")</f>
        <v>0</v>
      </c>
      <c r="D9" s="96" t="str">
        <f>IFERROR(VLOOKUP($E9,Preenchimento!$A$2:$BV$1048576,3,0),"")</f>
        <v>Superfície</v>
      </c>
      <c r="E9" s="96">
        <v>7</v>
      </c>
      <c r="F9" s="96">
        <f>IFERROR(VLOOKUP($E9,Preenchimento!$A$2:$BV$1048576,7,0),"")</f>
        <v>3</v>
      </c>
      <c r="G9" s="96" t="str">
        <f>IF(IFERROR(VLOOKUP($E9,Preenchimento!$A$2:$BV$1048576,8,0),"")=0,"",IFERROR(VLOOKUP($E9,Preenchimento!$A$2:$BV$1048576,8,0),""))</f>
        <v/>
      </c>
      <c r="H9" s="96" t="str">
        <f>IFERROR(VLOOKUP($E9,Preenchimento!$A$2:$BV$1048576,9,0),"")</f>
        <v>3</v>
      </c>
      <c r="I9" s="96" t="str">
        <f>IFERROR(VLOOKUP($E9,Preenchimento!$A$2:$BV$1048576,10,0),"")</f>
        <v>49-51</v>
      </c>
      <c r="J9" s="96" t="str">
        <f>IFERROR(VLOOKUP($E9,Preenchimento!$A$2:$BV$1048576,12,0),"")</f>
        <v>Cerâmica</v>
      </c>
      <c r="K9" s="96" t="str">
        <f>IFERROR(VLOOKUP($E9,Preenchimento!$A$2:$BV$1048576,6,0),"")</f>
        <v>Acervo Geral</v>
      </c>
      <c r="L9" s="96" t="str">
        <f>IF(IFERROR(VLOOKUP($E9,Preenchimento!$A$2:$BV$1048576,53,0),"")=0,"",IFERROR(VLOOKUP($E9,Preenchimento!$A$2:$BV$1048576,53,0),""))</f>
        <v>xx</v>
      </c>
      <c r="M9" s="96">
        <f>IFERROR(VLOOKUP($E9,Preenchimento!$A$2:$BV$1048576,74,0),"")</f>
        <v>7</v>
      </c>
    </row>
    <row r="10" spans="1:13" x14ac:dyDescent="0.2">
      <c r="A10" s="96">
        <f>Sitio!$E$3</f>
        <v>0</v>
      </c>
      <c r="B10" s="96" t="str">
        <f>IFERROR(VLOOKUP($E10,Preenchimento!$A$2:$BV$1048576,2,0),"")</f>
        <v>UUE 1</v>
      </c>
      <c r="C10" s="96">
        <f>IFERROR(VLOOKUP($E10,Preenchimento!$A$2:$BV$1048576,4,0),"")</f>
        <v>0</v>
      </c>
      <c r="D10" s="96" t="str">
        <f>IFERROR(VLOOKUP($E10,Preenchimento!$A$2:$BV$1048576,3,0),"")</f>
        <v>Superfície</v>
      </c>
      <c r="E10" s="96">
        <v>8</v>
      </c>
      <c r="F10" s="96">
        <f>IFERROR(VLOOKUP($E10,Preenchimento!$A$2:$BV$1048576,7,0),"")</f>
        <v>1</v>
      </c>
      <c r="G10" s="96" t="str">
        <f>IF(IFERROR(VLOOKUP($E10,Preenchimento!$A$2:$BV$1048576,8,0),"")=0,"",IFERROR(VLOOKUP($E10,Preenchimento!$A$2:$BV$1048576,8,0),""))</f>
        <v/>
      </c>
      <c r="H10" s="96" t="str">
        <f>IFERROR(VLOOKUP($E10,Preenchimento!$A$2:$BV$1048576,9,0),"")</f>
        <v>1</v>
      </c>
      <c r="I10" s="96">
        <f>IFERROR(VLOOKUP($E10,Preenchimento!$A$2:$BV$1048576,10,0),"")</f>
        <v>52</v>
      </c>
      <c r="J10" s="96" t="str">
        <f>IFERROR(VLOOKUP($E10,Preenchimento!$A$2:$BV$1048576,12,0),"")</f>
        <v>Porcelana</v>
      </c>
      <c r="K10" s="96" t="str">
        <f>IFERROR(VLOOKUP($E10,Preenchimento!$A$2:$BV$1048576,6,0),"")</f>
        <v>Acervo Geral</v>
      </c>
      <c r="L10" s="96" t="str">
        <f>IF(IFERROR(VLOOKUP($E10,Preenchimento!$A$2:$BV$1048576,53,0),"")=0,"",IFERROR(VLOOKUP($E10,Preenchimento!$A$2:$BV$1048576,53,0),""))</f>
        <v>xx</v>
      </c>
      <c r="M10" s="96">
        <f>IFERROR(VLOOKUP($E10,Preenchimento!$A$2:$BV$1048576,74,0),"")</f>
        <v>8</v>
      </c>
    </row>
    <row r="11" spans="1:13" x14ac:dyDescent="0.2">
      <c r="A11" s="96">
        <f>Sitio!$E$3</f>
        <v>0</v>
      </c>
      <c r="B11" s="96" t="str">
        <f>IFERROR(VLOOKUP($E11,Preenchimento!$A$2:$BV$1048576,2,0),"")</f>
        <v>UUE 2</v>
      </c>
      <c r="C11" s="96">
        <f>IFERROR(VLOOKUP($E11,Preenchimento!$A$2:$BV$1048576,4,0),"")</f>
        <v>0</v>
      </c>
      <c r="D11" s="96" t="str">
        <f>IFERROR(VLOOKUP($E11,Preenchimento!$A$2:$BV$1048576,3,0),"")</f>
        <v>0-10cm</v>
      </c>
      <c r="E11" s="96">
        <v>9</v>
      </c>
      <c r="F11" s="96">
        <f>IFERROR(VLOOKUP($E11,Preenchimento!$A$2:$BV$1048576,7,0),"")</f>
        <v>21</v>
      </c>
      <c r="G11" s="96">
        <f>IF(IFERROR(VLOOKUP($E11,Preenchimento!$A$2:$BV$1048576,8,0),"")=0,"",IFERROR(VLOOKUP($E11,Preenchimento!$A$2:$BV$1048576,8,0),""))</f>
        <v>9</v>
      </c>
      <c r="H11" s="96" t="str">
        <f>IFERROR(VLOOKUP($E11,Preenchimento!$A$2:$BV$1048576,9,0),"")</f>
        <v>30</v>
      </c>
      <c r="I11" s="96" t="str">
        <f>IFERROR(VLOOKUP($E11,Preenchimento!$A$2:$BV$1048576,10,0),"")</f>
        <v>53-73</v>
      </c>
      <c r="J11" s="96" t="str">
        <f>IFERROR(VLOOKUP($E11,Preenchimento!$A$2:$BV$1048576,12,0),"")</f>
        <v>Cerâmica</v>
      </c>
      <c r="K11" s="96" t="str">
        <f>IFERROR(VLOOKUP($E11,Preenchimento!$A$2:$BV$1048576,6,0),"")</f>
        <v>Acervo Geral</v>
      </c>
      <c r="L11" s="96" t="str">
        <f>IF(IFERROR(VLOOKUP($E11,Preenchimento!$A$2:$BV$1048576,53,0),"")=0,"",IFERROR(VLOOKUP($E11,Preenchimento!$A$2:$BV$1048576,53,0),""))</f>
        <v>xx</v>
      </c>
      <c r="M11" s="96">
        <f>IFERROR(VLOOKUP($E11,Preenchimento!$A$2:$BV$1048576,74,0),"")</f>
        <v>9</v>
      </c>
    </row>
    <row r="12" spans="1:13" x14ac:dyDescent="0.2">
      <c r="A12" s="96">
        <f>Sitio!$E$3</f>
        <v>0</v>
      </c>
      <c r="B12" s="96" t="str">
        <f>IFERROR(VLOOKUP($E12,Preenchimento!$A$2:$BV$1048576,2,0),"")</f>
        <v>UUE 2</v>
      </c>
      <c r="C12" s="96">
        <f>IFERROR(VLOOKUP($E12,Preenchimento!$A$2:$BV$1048576,4,0),"")</f>
        <v>0</v>
      </c>
      <c r="D12" s="96" t="str">
        <f>IFERROR(VLOOKUP($E12,Preenchimento!$A$2:$BV$1048576,3,0),"")</f>
        <v>0-10cm</v>
      </c>
      <c r="E12" s="96">
        <v>10</v>
      </c>
      <c r="F12" s="96">
        <f>IFERROR(VLOOKUP($E12,Preenchimento!$A$2:$BV$1048576,7,0),"")</f>
        <v>1</v>
      </c>
      <c r="G12" s="96">
        <f>IF(IFERROR(VLOOKUP($E12,Preenchimento!$A$2:$BV$1048576,8,0),"")=0,"",IFERROR(VLOOKUP($E12,Preenchimento!$A$2:$BV$1048576,8,0),""))</f>
        <v>3</v>
      </c>
      <c r="H12" s="96">
        <f>IFERROR(VLOOKUP($E12,Preenchimento!$A$2:$BV$1048576,9,0),"")</f>
        <v>4</v>
      </c>
      <c r="I12" s="96">
        <f>IFERROR(VLOOKUP($E12,Preenchimento!$A$2:$BV$1048576,10,0),"")</f>
        <v>74</v>
      </c>
      <c r="J12" s="96" t="str">
        <f>IFERROR(VLOOKUP($E12,Preenchimento!$A$2:$BV$1048576,12,0),"")</f>
        <v>Fa</v>
      </c>
      <c r="K12" s="96" t="str">
        <f>IFERROR(VLOOKUP($E12,Preenchimento!$A$2:$BV$1048576,6,0),"")</f>
        <v>Acervo Geral</v>
      </c>
      <c r="L12" s="96" t="str">
        <f>IF(IFERROR(VLOOKUP($E12,Preenchimento!$A$2:$BV$1048576,53,0),"")=0,"",IFERROR(VLOOKUP($E12,Preenchimento!$A$2:$BV$1048576,53,0),""))</f>
        <v>xx</v>
      </c>
      <c r="M12" s="96">
        <f>IFERROR(VLOOKUP($E12,Preenchimento!$A$2:$BV$1048576,74,0),"")</f>
        <v>10</v>
      </c>
    </row>
    <row r="13" spans="1:13" x14ac:dyDescent="0.2">
      <c r="A13" s="96">
        <f>Sitio!$E$3</f>
        <v>0</v>
      </c>
      <c r="B13" s="96" t="str">
        <f>IFERROR(VLOOKUP($E13,Preenchimento!$A$2:$BV$1048576,2,0),"")</f>
        <v>UUE 2</v>
      </c>
      <c r="C13" s="96">
        <f>IFERROR(VLOOKUP($E13,Preenchimento!$A$2:$BV$1048576,4,0),"")</f>
        <v>0</v>
      </c>
      <c r="D13" s="96" t="str">
        <f>IFERROR(VLOOKUP($E13,Preenchimento!$A$2:$BV$1048576,3,0),"")</f>
        <v>0-10cm</v>
      </c>
      <c r="E13" s="96">
        <v>11</v>
      </c>
      <c r="F13" s="96">
        <f>IFERROR(VLOOKUP($E13,Preenchimento!$A$2:$BV$1048576,7,0),"")</f>
        <v>1</v>
      </c>
      <c r="G13" s="96">
        <f>IF(IFERROR(VLOOKUP($E13,Preenchimento!$A$2:$BV$1048576,8,0),"")=0,"",IFERROR(VLOOKUP($E13,Preenchimento!$A$2:$BV$1048576,8,0),""))</f>
        <v>1</v>
      </c>
      <c r="H13" s="96">
        <f>IFERROR(VLOOKUP($E13,Preenchimento!$A$2:$BV$1048576,9,0),"")</f>
        <v>2</v>
      </c>
      <c r="I13" s="96" t="str">
        <f>IFERROR(VLOOKUP($E13,Preenchimento!$A$2:$BV$1048576,10,0),"")</f>
        <v xml:space="preserve"> -</v>
      </c>
      <c r="J13" s="96" t="str">
        <f>IFERROR(VLOOKUP($E13,Preenchimento!$A$2:$BV$1048576,12,0),"")</f>
        <v>Osso</v>
      </c>
      <c r="K13" s="96" t="str">
        <f>IFERROR(VLOOKUP($E13,Preenchimento!$A$2:$BV$1048576,6,0),"")</f>
        <v>Acervo Geral</v>
      </c>
      <c r="L13" s="96" t="str">
        <f>IF(IFERROR(VLOOKUP($E13,Preenchimento!$A$2:$BV$1048576,53,0),"")=0,"",IFERROR(VLOOKUP($E13,Preenchimento!$A$2:$BV$1048576,53,0),""))</f>
        <v>xx</v>
      </c>
      <c r="M13" s="96">
        <f>IFERROR(VLOOKUP($E13,Preenchimento!$A$2:$BV$1048576,74,0),"")</f>
        <v>11</v>
      </c>
    </row>
    <row r="14" spans="1:13" x14ac:dyDescent="0.2">
      <c r="A14" s="96">
        <f>Sitio!$E$3</f>
        <v>0</v>
      </c>
      <c r="B14" s="96" t="str">
        <f>IFERROR(VLOOKUP($E14,Preenchimento!$A$2:$BV$1048576,2,0),"")</f>
        <v>UUE 2</v>
      </c>
      <c r="C14" s="96">
        <f>IFERROR(VLOOKUP($E14,Preenchimento!$A$2:$BV$1048576,4,0),"")</f>
        <v>0</v>
      </c>
      <c r="D14" s="96" t="str">
        <f>IFERROR(VLOOKUP($E14,Preenchimento!$A$2:$BV$1048576,3,0),"")</f>
        <v>10-20cm</v>
      </c>
      <c r="E14" s="96">
        <v>12</v>
      </c>
      <c r="F14" s="96">
        <f>IFERROR(VLOOKUP($E14,Preenchimento!$A$2:$BV$1048576,7,0),"")</f>
        <v>4</v>
      </c>
      <c r="G14" s="96" t="str">
        <f>IF(IFERROR(VLOOKUP($E14,Preenchimento!$A$2:$BV$1048576,8,0),"")=0,"",IFERROR(VLOOKUP($E14,Preenchimento!$A$2:$BV$1048576,8,0),""))</f>
        <v/>
      </c>
      <c r="H14" s="96">
        <f>IFERROR(VLOOKUP($E14,Preenchimento!$A$2:$BV$1048576,9,0),"")</f>
        <v>4</v>
      </c>
      <c r="I14" s="96" t="str">
        <f>IFERROR(VLOOKUP($E14,Preenchimento!$A$2:$BV$1048576,10,0),"")</f>
        <v>75-78</v>
      </c>
      <c r="J14" s="96" t="str">
        <f>IFERROR(VLOOKUP($E14,Preenchimento!$A$2:$BV$1048576,12,0),"")</f>
        <v>Lítico</v>
      </c>
      <c r="K14" s="96" t="str">
        <f>IFERROR(VLOOKUP($E14,Preenchimento!$A$2:$BV$1048576,6,0),"")</f>
        <v>Acervo Geral</v>
      </c>
      <c r="L14" s="96" t="str">
        <f>IF(IFERROR(VLOOKUP($E14,Preenchimento!$A$2:$BV$1048576,53,0),"")=0,"",IFERROR(VLOOKUP($E14,Preenchimento!$A$2:$BV$1048576,53,0),""))</f>
        <v>xx</v>
      </c>
      <c r="M14" s="96">
        <f>IFERROR(VLOOKUP($E14,Preenchimento!$A$2:$BV$1048576,74,0),"")</f>
        <v>12</v>
      </c>
    </row>
    <row r="15" spans="1:13" x14ac:dyDescent="0.2">
      <c r="A15" s="96">
        <f>Sitio!$E$3</f>
        <v>0</v>
      </c>
      <c r="B15" s="96" t="str">
        <f>IFERROR(VLOOKUP($E15,Preenchimento!$A$2:$BV$1048576,2,0),"")</f>
        <v>UUE 2</v>
      </c>
      <c r="C15" s="96">
        <f>IFERROR(VLOOKUP($E15,Preenchimento!$A$2:$BV$1048576,4,0),"")</f>
        <v>0</v>
      </c>
      <c r="D15" s="96" t="str">
        <f>IFERROR(VLOOKUP($E15,Preenchimento!$A$2:$BV$1048576,3,0),"")</f>
        <v>10-20cm</v>
      </c>
      <c r="E15" s="96">
        <v>13</v>
      </c>
      <c r="F15" s="96">
        <f>IFERROR(VLOOKUP($E15,Preenchimento!$A$2:$BV$1048576,7,0),"")</f>
        <v>2</v>
      </c>
      <c r="G15" s="96">
        <f>IF(IFERROR(VLOOKUP($E15,Preenchimento!$A$2:$BV$1048576,8,0),"")=0,"",IFERROR(VLOOKUP($E15,Preenchimento!$A$2:$BV$1048576,8,0),""))</f>
        <v>2</v>
      </c>
      <c r="H15" s="96">
        <f>IFERROR(VLOOKUP($E15,Preenchimento!$A$2:$BV$1048576,9,0),"")</f>
        <v>4</v>
      </c>
      <c r="I15" s="96" t="str">
        <f>IFERROR(VLOOKUP($E15,Preenchimento!$A$2:$BV$1048576,10,0),"")</f>
        <v>79-80</v>
      </c>
      <c r="J15" s="96" t="str">
        <f>IFERROR(VLOOKUP($E15,Preenchimento!$A$2:$BV$1048576,12,0),"")</f>
        <v>Cerâmica</v>
      </c>
      <c r="K15" s="96" t="str">
        <f>IFERROR(VLOOKUP($E15,Preenchimento!$A$2:$BV$1048576,6,0),"")</f>
        <v>Acervo Geral</v>
      </c>
      <c r="L15" s="96" t="str">
        <f>IF(IFERROR(VLOOKUP($E15,Preenchimento!$A$2:$BV$1048576,53,0),"")=0,"",IFERROR(VLOOKUP($E15,Preenchimento!$A$2:$BV$1048576,53,0),""))</f>
        <v>xx</v>
      </c>
      <c r="M15" s="96">
        <f>IFERROR(VLOOKUP($E15,Preenchimento!$A$2:$BV$1048576,74,0),"")</f>
        <v>13</v>
      </c>
    </row>
    <row r="16" spans="1:13" x14ac:dyDescent="0.2">
      <c r="A16" s="96">
        <f>Sitio!$E$3</f>
        <v>0</v>
      </c>
      <c r="B16" s="96" t="str">
        <f>IFERROR(VLOOKUP($E16,Preenchimento!$A$2:$BV$1048576,2,0),"")</f>
        <v>UUE 2</v>
      </c>
      <c r="C16" s="96">
        <f>IFERROR(VLOOKUP($E16,Preenchimento!$A$2:$BV$1048576,4,0),"")</f>
        <v>0</v>
      </c>
      <c r="D16" s="96" t="str">
        <f>IFERROR(VLOOKUP($E16,Preenchimento!$A$2:$BV$1048576,3,0),"")</f>
        <v>20-30cm</v>
      </c>
      <c r="E16" s="96">
        <v>14</v>
      </c>
      <c r="F16" s="96">
        <f>IFERROR(VLOOKUP($E16,Preenchimento!$A$2:$BV$1048576,7,0),"")</f>
        <v>3</v>
      </c>
      <c r="G16" s="96">
        <f>IF(IFERROR(VLOOKUP($E16,Preenchimento!$A$2:$BV$1048576,8,0),"")=0,"",IFERROR(VLOOKUP($E16,Preenchimento!$A$2:$BV$1048576,8,0),""))</f>
        <v>7</v>
      </c>
      <c r="H16" s="96">
        <f>IFERROR(VLOOKUP($E16,Preenchimento!$A$2:$BV$1048576,9,0),"")</f>
        <v>10</v>
      </c>
      <c r="I16" s="96" t="str">
        <f>IFERROR(VLOOKUP($E16,Preenchimento!$A$2:$BV$1048576,10,0),"")</f>
        <v>81-83</v>
      </c>
      <c r="J16" s="96" t="str">
        <f>IFERROR(VLOOKUP($E16,Preenchimento!$A$2:$BV$1048576,12,0),"")</f>
        <v>Lítico</v>
      </c>
      <c r="K16" s="96" t="str">
        <f>IFERROR(VLOOKUP($E16,Preenchimento!$A$2:$BV$1048576,6,0),"")</f>
        <v>Acervo Geral</v>
      </c>
      <c r="L16" s="96" t="str">
        <f>IF(IFERROR(VLOOKUP($E16,Preenchimento!$A$2:$BV$1048576,53,0),"")=0,"",IFERROR(VLOOKUP($E16,Preenchimento!$A$2:$BV$1048576,53,0),""))</f>
        <v>xx</v>
      </c>
      <c r="M16" s="96">
        <f>IFERROR(VLOOKUP($E16,Preenchimento!$A$2:$BV$1048576,74,0),"")</f>
        <v>14</v>
      </c>
    </row>
    <row r="17" spans="1:13" x14ac:dyDescent="0.2">
      <c r="A17" s="96">
        <f>Sitio!$E$3</f>
        <v>0</v>
      </c>
      <c r="B17" s="96" t="str">
        <f>IFERROR(VLOOKUP($E17,Preenchimento!$A$2:$BV$1048576,2,0),"")</f>
        <v>UUE 2</v>
      </c>
      <c r="C17" s="96">
        <f>IFERROR(VLOOKUP($E17,Preenchimento!$A$2:$BV$1048576,4,0),"")</f>
        <v>0</v>
      </c>
      <c r="D17" s="96" t="str">
        <f>IFERROR(VLOOKUP($E17,Preenchimento!$A$2:$BV$1048576,3,0),"")</f>
        <v>30-40cm</v>
      </c>
      <c r="E17" s="96">
        <v>15</v>
      </c>
      <c r="F17" s="96">
        <f>IFERROR(VLOOKUP($E17,Preenchimento!$A$2:$BV$1048576,7,0),"")</f>
        <v>11</v>
      </c>
      <c r="G17" s="96" t="str">
        <f>IF(IFERROR(VLOOKUP($E17,Preenchimento!$A$2:$BV$1048576,8,0),"")=0,"",IFERROR(VLOOKUP($E17,Preenchimento!$A$2:$BV$1048576,8,0),""))</f>
        <v/>
      </c>
      <c r="H17" s="96">
        <f>IFERROR(VLOOKUP($E17,Preenchimento!$A$2:$BV$1048576,9,0),"")</f>
        <v>11</v>
      </c>
      <c r="I17" s="96" t="str">
        <f>IFERROR(VLOOKUP($E17,Preenchimento!$A$2:$BV$1048576,10,0),"")</f>
        <v>84-94</v>
      </c>
      <c r="J17" s="96" t="str">
        <f>IFERROR(VLOOKUP($E17,Preenchimento!$A$2:$BV$1048576,12,0),"")</f>
        <v>Lítico</v>
      </c>
      <c r="K17" s="96" t="str">
        <f>IFERROR(VLOOKUP($E17,Preenchimento!$A$2:$BV$1048576,6,0),"")</f>
        <v>Acervo Geral</v>
      </c>
      <c r="L17" s="96" t="str">
        <f>IF(IFERROR(VLOOKUP($E17,Preenchimento!$A$2:$BV$1048576,53,0),"")=0,"",IFERROR(VLOOKUP($E17,Preenchimento!$A$2:$BV$1048576,53,0),""))</f>
        <v>xx</v>
      </c>
      <c r="M17" s="96">
        <f>IFERROR(VLOOKUP($E17,Preenchimento!$A$2:$BV$1048576,74,0),"")</f>
        <v>15</v>
      </c>
    </row>
    <row r="18" spans="1:13" x14ac:dyDescent="0.2">
      <c r="A18" s="96">
        <f>Sitio!$E$3</f>
        <v>0</v>
      </c>
      <c r="B18" s="96" t="str">
        <f>IFERROR(VLOOKUP($E18,Preenchimento!$A$2:$BV$1048576,2,0),"")</f>
        <v>UUE 2</v>
      </c>
      <c r="C18" s="96">
        <f>IFERROR(VLOOKUP($E18,Preenchimento!$A$2:$BV$1048576,4,0),"")</f>
        <v>0</v>
      </c>
      <c r="D18" s="96" t="str">
        <f>IFERROR(VLOOKUP($E18,Preenchimento!$A$2:$BV$1048576,3,0),"")</f>
        <v>30-40cm</v>
      </c>
      <c r="E18" s="96">
        <v>16</v>
      </c>
      <c r="F18" s="96">
        <f>IFERROR(VLOOKUP($E18,Preenchimento!$A$2:$BV$1048576,7,0),"")</f>
        <v>6</v>
      </c>
      <c r="G18" s="96">
        <f>IF(IFERROR(VLOOKUP($E18,Preenchimento!$A$2:$BV$1048576,8,0),"")=0,"",IFERROR(VLOOKUP($E18,Preenchimento!$A$2:$BV$1048576,8,0),""))</f>
        <v>3</v>
      </c>
      <c r="H18" s="96">
        <f>IFERROR(VLOOKUP($E18,Preenchimento!$A$2:$BV$1048576,9,0),"")</f>
        <v>9</v>
      </c>
      <c r="I18" s="96" t="str">
        <f>IFERROR(VLOOKUP($E18,Preenchimento!$A$2:$BV$1048576,10,0),"")</f>
        <v>95-100</v>
      </c>
      <c r="J18" s="96" t="str">
        <f>IFERROR(VLOOKUP($E18,Preenchimento!$A$2:$BV$1048576,12,0),"")</f>
        <v>Cerâmica</v>
      </c>
      <c r="K18" s="96" t="str">
        <f>IFERROR(VLOOKUP($E18,Preenchimento!$A$2:$BV$1048576,6,0),"")</f>
        <v>Acervo Geral</v>
      </c>
      <c r="L18" s="96" t="str">
        <f>IF(IFERROR(VLOOKUP($E18,Preenchimento!$A$2:$BV$1048576,53,0),"")=0,"",IFERROR(VLOOKUP($E18,Preenchimento!$A$2:$BV$1048576,53,0),""))</f>
        <v>xx</v>
      </c>
      <c r="M18" s="96">
        <f>IFERROR(VLOOKUP($E18,Preenchimento!$A$2:$BV$1048576,74,0),"")</f>
        <v>16</v>
      </c>
    </row>
    <row r="19" spans="1:13" x14ac:dyDescent="0.2">
      <c r="A19" s="96">
        <f>Sitio!$E$3</f>
        <v>0</v>
      </c>
      <c r="B19" s="96" t="str">
        <f>IFERROR(VLOOKUP($E19,Preenchimento!$A$2:$BV$1048576,2,0),"")</f>
        <v>UUE 2</v>
      </c>
      <c r="C19" s="96">
        <f>IFERROR(VLOOKUP($E19,Preenchimento!$A$2:$BV$1048576,4,0),"")</f>
        <v>0</v>
      </c>
      <c r="D19" s="96" t="str">
        <f>IFERROR(VLOOKUP($E19,Preenchimento!$A$2:$BV$1048576,3,0),"")</f>
        <v>30-40cm</v>
      </c>
      <c r="E19" s="96">
        <v>17</v>
      </c>
      <c r="F19" s="96">
        <f>IFERROR(VLOOKUP($E19,Preenchimento!$A$2:$BV$1048576,7,0),"")</f>
        <v>3</v>
      </c>
      <c r="G19" s="96" t="str">
        <f>IF(IFERROR(VLOOKUP($E19,Preenchimento!$A$2:$BV$1048576,8,0),"")=0,"",IFERROR(VLOOKUP($E19,Preenchimento!$A$2:$BV$1048576,8,0),""))</f>
        <v/>
      </c>
      <c r="H19" s="96">
        <f>IFERROR(VLOOKUP($E19,Preenchimento!$A$2:$BV$1048576,9,0),"")</f>
        <v>3</v>
      </c>
      <c r="I19" s="96" t="str">
        <f>IFERROR(VLOOKUP($E19,Preenchimento!$A$2:$BV$1048576,10,0),"")</f>
        <v xml:space="preserve"> -</v>
      </c>
      <c r="J19" s="96" t="str">
        <f>IFERROR(VLOOKUP($E19,Preenchimento!$A$2:$BV$1048576,12,0),"")</f>
        <v>Osso</v>
      </c>
      <c r="K19" s="96" t="str">
        <f>IFERROR(VLOOKUP($E19,Preenchimento!$A$2:$BV$1048576,6,0),"")</f>
        <v>Acervo Geral</v>
      </c>
      <c r="L19" s="96" t="str">
        <f>IF(IFERROR(VLOOKUP($E19,Preenchimento!$A$2:$BV$1048576,53,0),"")=0,"",IFERROR(VLOOKUP($E19,Preenchimento!$A$2:$BV$1048576,53,0),""))</f>
        <v>xx</v>
      </c>
      <c r="M19" s="96">
        <f>IFERROR(VLOOKUP($E19,Preenchimento!$A$2:$BV$1048576,74,0),"")</f>
        <v>17</v>
      </c>
    </row>
    <row r="20" spans="1:13" x14ac:dyDescent="0.2">
      <c r="A20" s="96">
        <f>Sitio!$E$3</f>
        <v>0</v>
      </c>
      <c r="B20" s="96" t="str">
        <f>IFERROR(VLOOKUP($E20,Preenchimento!$A$2:$BV$1048576,2,0),"")</f>
        <v/>
      </c>
      <c r="C20" s="96" t="str">
        <f>IFERROR(VLOOKUP($E20,Preenchimento!$A$2:$BV$1048576,4,0),"")</f>
        <v/>
      </c>
      <c r="D20" s="96" t="str">
        <f>IFERROR(VLOOKUP($E20,Preenchimento!$A$2:$BV$1048576,3,0),"")</f>
        <v/>
      </c>
      <c r="E20" s="96">
        <v>18</v>
      </c>
      <c r="F20" s="96" t="str">
        <f>IFERROR(VLOOKUP($E20,Preenchimento!$A$2:$BV$1048576,7,0),"")</f>
        <v/>
      </c>
      <c r="G20" s="96" t="str">
        <f>IF(IFERROR(VLOOKUP($E20,Preenchimento!$A$2:$BV$1048576,8,0),"")=0,"",IFERROR(VLOOKUP($E20,Preenchimento!$A$2:$BV$1048576,8,0),""))</f>
        <v/>
      </c>
      <c r="H20" s="96" t="str">
        <f>IFERROR(VLOOKUP($E20,Preenchimento!$A$2:$BV$1048576,9,0),"")</f>
        <v/>
      </c>
      <c r="I20" s="96" t="str">
        <f>IFERROR(VLOOKUP($E20,Preenchimento!$A$2:$BV$1048576,10,0),"")</f>
        <v/>
      </c>
      <c r="J20" s="96" t="str">
        <f>IFERROR(VLOOKUP($E20,Preenchimento!$A$2:$BV$1048576,12,0),"")</f>
        <v/>
      </c>
      <c r="K20" s="96" t="str">
        <f>IFERROR(VLOOKUP($E20,Preenchimento!$A$2:$BV$1048576,6,0),"")</f>
        <v/>
      </c>
      <c r="L20" s="96" t="str">
        <f>IF(IFERROR(VLOOKUP($E20,Preenchimento!$A$2:$BV$1048576,53,0),"")=0,"",IFERROR(VLOOKUP($E20,Preenchimento!$A$2:$BV$1048576,53,0),""))</f>
        <v/>
      </c>
      <c r="M20" s="96" t="str">
        <f>IFERROR(VLOOKUP($E20,Preenchimento!$A$2:$BV$1048576,74,0),"")</f>
        <v/>
      </c>
    </row>
    <row r="21" spans="1:13" x14ac:dyDescent="0.2">
      <c r="A21" s="96">
        <f>Sitio!$E$3</f>
        <v>0</v>
      </c>
      <c r="B21" s="96" t="str">
        <f>IFERROR(VLOOKUP($E21,Preenchimento!$A$2:$BV$1048576,2,0),"")</f>
        <v/>
      </c>
      <c r="C21" s="96" t="str">
        <f>IFERROR(VLOOKUP($E21,Preenchimento!$A$2:$BV$1048576,4,0),"")</f>
        <v/>
      </c>
      <c r="D21" s="96" t="str">
        <f>IFERROR(VLOOKUP($E21,Preenchimento!$A$2:$BV$1048576,3,0),"")</f>
        <v/>
      </c>
      <c r="E21" s="96">
        <v>19</v>
      </c>
      <c r="F21" s="96" t="str">
        <f>IFERROR(VLOOKUP($E21,Preenchimento!$A$2:$BV$1048576,7,0),"")</f>
        <v/>
      </c>
      <c r="G21" s="96" t="str">
        <f>IF(IFERROR(VLOOKUP($E21,Preenchimento!$A$2:$BV$1048576,8,0),"")=0,"",IFERROR(VLOOKUP($E21,Preenchimento!$A$2:$BV$1048576,8,0),""))</f>
        <v/>
      </c>
      <c r="H21" s="96" t="str">
        <f>IFERROR(VLOOKUP($E21,Preenchimento!$A$2:$BV$1048576,9,0),"")</f>
        <v/>
      </c>
      <c r="I21" s="96" t="str">
        <f>IFERROR(VLOOKUP($E21,Preenchimento!$A$2:$BV$1048576,10,0),"")</f>
        <v/>
      </c>
      <c r="J21" s="96" t="str">
        <f>IFERROR(VLOOKUP($E21,Preenchimento!$A$2:$BV$1048576,12,0),"")</f>
        <v/>
      </c>
      <c r="K21" s="96" t="str">
        <f>IFERROR(VLOOKUP($E21,Preenchimento!$A$2:$BV$1048576,6,0),"")</f>
        <v/>
      </c>
      <c r="L21" s="96" t="str">
        <f>IF(IFERROR(VLOOKUP($E21,Preenchimento!$A$2:$BV$1048576,53,0),"")=0,"",IFERROR(VLOOKUP($E21,Preenchimento!$A$2:$BV$1048576,53,0),""))</f>
        <v/>
      </c>
      <c r="M21" s="96" t="str">
        <f>IFERROR(VLOOKUP($E21,Preenchimento!$A$2:$BV$1048576,74,0),"")</f>
        <v/>
      </c>
    </row>
    <row r="22" spans="1:13" x14ac:dyDescent="0.2">
      <c r="A22" s="96">
        <f>Sitio!$E$3</f>
        <v>0</v>
      </c>
      <c r="B22" s="96" t="str">
        <f>IFERROR(VLOOKUP($E22,Preenchimento!$A$2:$BV$1048576,2,0),"")</f>
        <v/>
      </c>
      <c r="C22" s="96" t="str">
        <f>IFERROR(VLOOKUP($E22,Preenchimento!$A$2:$BV$1048576,4,0),"")</f>
        <v/>
      </c>
      <c r="D22" s="96" t="str">
        <f>IFERROR(VLOOKUP($E22,Preenchimento!$A$2:$BV$1048576,3,0),"")</f>
        <v/>
      </c>
      <c r="E22" s="96">
        <v>20</v>
      </c>
      <c r="F22" s="96" t="str">
        <f>IFERROR(VLOOKUP($E22,Preenchimento!$A$2:$BV$1048576,7,0),"")</f>
        <v/>
      </c>
      <c r="G22" s="96" t="str">
        <f>IF(IFERROR(VLOOKUP($E22,Preenchimento!$A$2:$BV$1048576,8,0),"")=0,"",IFERROR(VLOOKUP($E22,Preenchimento!$A$2:$BV$1048576,8,0),""))</f>
        <v/>
      </c>
      <c r="H22" s="96" t="str">
        <f>IFERROR(VLOOKUP($E22,Preenchimento!$A$2:$BV$1048576,9,0),"")</f>
        <v/>
      </c>
      <c r="I22" s="96" t="str">
        <f>IFERROR(VLOOKUP($E22,Preenchimento!$A$2:$BV$1048576,10,0),"")</f>
        <v/>
      </c>
      <c r="J22" s="96" t="str">
        <f>IFERROR(VLOOKUP($E22,Preenchimento!$A$2:$BV$1048576,12,0),"")</f>
        <v/>
      </c>
      <c r="K22" s="96" t="str">
        <f>IFERROR(VLOOKUP($E22,Preenchimento!$A$2:$BV$1048576,6,0),"")</f>
        <v/>
      </c>
      <c r="L22" s="96" t="str">
        <f>IF(IFERROR(VLOOKUP($E22,Preenchimento!$A$2:$BV$1048576,53,0),"")=0,"",IFERROR(VLOOKUP($E22,Preenchimento!$A$2:$BV$1048576,53,0),""))</f>
        <v/>
      </c>
      <c r="M22" s="96" t="str">
        <f>IFERROR(VLOOKUP($E22,Preenchimento!$A$2:$BV$1048576,74,0),"")</f>
        <v/>
      </c>
    </row>
    <row r="23" spans="1:13" x14ac:dyDescent="0.2">
      <c r="A23" s="96">
        <f>Sitio!$E$3</f>
        <v>0</v>
      </c>
      <c r="B23" s="96" t="str">
        <f>IFERROR(VLOOKUP($E23,Preenchimento!$A$2:$BV$1048576,2,0),"")</f>
        <v/>
      </c>
      <c r="C23" s="96" t="str">
        <f>IFERROR(VLOOKUP($E23,Preenchimento!$A$2:$BV$1048576,4,0),"")</f>
        <v/>
      </c>
      <c r="D23" s="96" t="str">
        <f>IFERROR(VLOOKUP($E23,Preenchimento!$A$2:$BV$1048576,3,0),"")</f>
        <v/>
      </c>
      <c r="E23" s="96">
        <v>21</v>
      </c>
      <c r="F23" s="96" t="str">
        <f>IFERROR(VLOOKUP($E23,Preenchimento!$A$2:$BV$1048576,7,0),"")</f>
        <v/>
      </c>
      <c r="G23" s="96" t="str">
        <f>IF(IFERROR(VLOOKUP($E23,Preenchimento!$A$2:$BV$1048576,8,0),"")=0,"",IFERROR(VLOOKUP($E23,Preenchimento!$A$2:$BV$1048576,8,0),""))</f>
        <v/>
      </c>
      <c r="H23" s="96" t="str">
        <f>IFERROR(VLOOKUP($E23,Preenchimento!$A$2:$BV$1048576,9,0),"")</f>
        <v/>
      </c>
      <c r="I23" s="96" t="str">
        <f>IFERROR(VLOOKUP($E23,Preenchimento!$A$2:$BV$1048576,10,0),"")</f>
        <v/>
      </c>
      <c r="J23" s="96" t="str">
        <f>IFERROR(VLOOKUP($E23,Preenchimento!$A$2:$BV$1048576,12,0),"")</f>
        <v/>
      </c>
      <c r="K23" s="96" t="str">
        <f>IFERROR(VLOOKUP($E23,Preenchimento!$A$2:$BV$1048576,6,0),"")</f>
        <v/>
      </c>
      <c r="L23" s="96" t="str">
        <f>IF(IFERROR(VLOOKUP($E23,Preenchimento!$A$2:$BV$1048576,53,0),"")=0,"",IFERROR(VLOOKUP($E23,Preenchimento!$A$2:$BV$1048576,53,0),""))</f>
        <v/>
      </c>
      <c r="M23" s="96" t="str">
        <f>IFERROR(VLOOKUP($E23,Preenchimento!$A$2:$BV$1048576,74,0),"")</f>
        <v/>
      </c>
    </row>
    <row r="24" spans="1:13" x14ac:dyDescent="0.2">
      <c r="A24" s="96">
        <f>Sitio!$E$3</f>
        <v>0</v>
      </c>
      <c r="B24" s="96" t="str">
        <f>IFERROR(VLOOKUP($E24,Preenchimento!$A$2:$BV$1048576,2,0),"")</f>
        <v/>
      </c>
      <c r="C24" s="96" t="str">
        <f>IFERROR(VLOOKUP($E24,Preenchimento!$A$2:$BV$1048576,4,0),"")</f>
        <v/>
      </c>
      <c r="D24" s="96" t="str">
        <f>IFERROR(VLOOKUP($E24,Preenchimento!$A$2:$BV$1048576,3,0),"")</f>
        <v/>
      </c>
      <c r="E24" s="96">
        <v>22</v>
      </c>
      <c r="F24" s="96" t="str">
        <f>IFERROR(VLOOKUP($E24,Preenchimento!$A$2:$BV$1048576,7,0),"")</f>
        <v/>
      </c>
      <c r="G24" s="96" t="str">
        <f>IF(IFERROR(VLOOKUP($E24,Preenchimento!$A$2:$BV$1048576,8,0),"")=0,"",IFERROR(VLOOKUP($E24,Preenchimento!$A$2:$BV$1048576,8,0),""))</f>
        <v/>
      </c>
      <c r="H24" s="96" t="str">
        <f>IFERROR(VLOOKUP($E24,Preenchimento!$A$2:$BV$1048576,9,0),"")</f>
        <v/>
      </c>
      <c r="I24" s="96" t="str">
        <f>IFERROR(VLOOKUP($E24,Preenchimento!$A$2:$BV$1048576,10,0),"")</f>
        <v/>
      </c>
      <c r="J24" s="96" t="str">
        <f>IFERROR(VLOOKUP($E24,Preenchimento!$A$2:$BV$1048576,12,0),"")</f>
        <v/>
      </c>
      <c r="K24" s="96" t="str">
        <f>IFERROR(VLOOKUP($E24,Preenchimento!$A$2:$BV$1048576,6,0),"")</f>
        <v/>
      </c>
      <c r="L24" s="96" t="str">
        <f>IF(IFERROR(VLOOKUP($E24,Preenchimento!$A$2:$BV$1048576,53,0),"")=0,"",IFERROR(VLOOKUP($E24,Preenchimento!$A$2:$BV$1048576,53,0),""))</f>
        <v/>
      </c>
      <c r="M24" s="96" t="str">
        <f>IFERROR(VLOOKUP($E24,Preenchimento!$A$2:$BV$1048576,74,0),"")</f>
        <v/>
      </c>
    </row>
    <row r="25" spans="1:13" x14ac:dyDescent="0.2">
      <c r="A25" s="96">
        <f>Sitio!$E$3</f>
        <v>0</v>
      </c>
      <c r="B25" s="96" t="str">
        <f>IFERROR(VLOOKUP($E25,Preenchimento!$A$2:$BV$1048576,2,0),"")</f>
        <v/>
      </c>
      <c r="C25" s="96" t="str">
        <f>IFERROR(VLOOKUP($E25,Preenchimento!$A$2:$BV$1048576,4,0),"")</f>
        <v/>
      </c>
      <c r="D25" s="96" t="str">
        <f>IFERROR(VLOOKUP($E25,Preenchimento!$A$2:$BV$1048576,3,0),"")</f>
        <v/>
      </c>
      <c r="E25" s="96">
        <v>23</v>
      </c>
      <c r="F25" s="96" t="str">
        <f>IFERROR(VLOOKUP($E25,Preenchimento!$A$2:$BV$1048576,7,0),"")</f>
        <v/>
      </c>
      <c r="G25" s="96" t="str">
        <f>IF(IFERROR(VLOOKUP($E25,Preenchimento!$A$2:$BV$1048576,8,0),"")=0,"",IFERROR(VLOOKUP($E25,Preenchimento!$A$2:$BV$1048576,8,0),""))</f>
        <v/>
      </c>
      <c r="H25" s="96" t="str">
        <f>IFERROR(VLOOKUP($E25,Preenchimento!$A$2:$BV$1048576,9,0),"")</f>
        <v/>
      </c>
      <c r="I25" s="96" t="str">
        <f>IFERROR(VLOOKUP($E25,Preenchimento!$A$2:$BV$1048576,10,0),"")</f>
        <v/>
      </c>
      <c r="J25" s="96" t="str">
        <f>IFERROR(VLOOKUP($E25,Preenchimento!$A$2:$BV$1048576,12,0),"")</f>
        <v/>
      </c>
      <c r="K25" s="96" t="str">
        <f>IFERROR(VLOOKUP($E25,Preenchimento!$A$2:$BV$1048576,6,0),"")</f>
        <v/>
      </c>
      <c r="L25" s="96" t="str">
        <f>IF(IFERROR(VLOOKUP($E25,Preenchimento!$A$2:$BV$1048576,53,0),"")=0,"",IFERROR(VLOOKUP($E25,Preenchimento!$A$2:$BV$1048576,53,0),""))</f>
        <v/>
      </c>
      <c r="M25" s="96" t="str">
        <f>IFERROR(VLOOKUP($E25,Preenchimento!$A$2:$BV$1048576,74,0),"")</f>
        <v/>
      </c>
    </row>
    <row r="26" spans="1:13" x14ac:dyDescent="0.2">
      <c r="A26" s="96">
        <f>Sitio!$E$3</f>
        <v>0</v>
      </c>
      <c r="B26" s="96" t="str">
        <f>IFERROR(VLOOKUP($E26,Preenchimento!$A$2:$BV$1048576,2,0),"")</f>
        <v/>
      </c>
      <c r="C26" s="96" t="str">
        <f>IFERROR(VLOOKUP($E26,Preenchimento!$A$2:$BV$1048576,4,0),"")</f>
        <v/>
      </c>
      <c r="D26" s="96" t="str">
        <f>IFERROR(VLOOKUP($E26,Preenchimento!$A$2:$BV$1048576,3,0),"")</f>
        <v/>
      </c>
      <c r="E26" s="96">
        <v>24</v>
      </c>
      <c r="F26" s="96" t="str">
        <f>IFERROR(VLOOKUP($E26,Preenchimento!$A$2:$BV$1048576,7,0),"")</f>
        <v/>
      </c>
      <c r="G26" s="96" t="str">
        <f>IF(IFERROR(VLOOKUP($E26,Preenchimento!$A$2:$BV$1048576,8,0),"")=0,"",IFERROR(VLOOKUP($E26,Preenchimento!$A$2:$BV$1048576,8,0),""))</f>
        <v/>
      </c>
      <c r="H26" s="96" t="str">
        <f>IFERROR(VLOOKUP($E26,Preenchimento!$A$2:$BV$1048576,9,0),"")</f>
        <v/>
      </c>
      <c r="I26" s="96" t="str">
        <f>IFERROR(VLOOKUP($E26,Preenchimento!$A$2:$BV$1048576,10,0),"")</f>
        <v/>
      </c>
      <c r="J26" s="96" t="str">
        <f>IFERROR(VLOOKUP($E26,Preenchimento!$A$2:$BV$1048576,12,0),"")</f>
        <v/>
      </c>
      <c r="K26" s="96" t="str">
        <f>IFERROR(VLOOKUP($E26,Preenchimento!$A$2:$BV$1048576,6,0),"")</f>
        <v/>
      </c>
      <c r="L26" s="96" t="str">
        <f>IF(IFERROR(VLOOKUP($E26,Preenchimento!$A$2:$BV$1048576,53,0),"")=0,"",IFERROR(VLOOKUP($E26,Preenchimento!$A$2:$BV$1048576,53,0),""))</f>
        <v/>
      </c>
      <c r="M26" s="96" t="str">
        <f>IFERROR(VLOOKUP($E26,Preenchimento!$A$2:$BV$1048576,74,0),"")</f>
        <v/>
      </c>
    </row>
    <row r="27" spans="1:13" x14ac:dyDescent="0.2">
      <c r="A27" s="96">
        <f>Sitio!$E$3</f>
        <v>0</v>
      </c>
      <c r="B27" s="96" t="str">
        <f>IFERROR(VLOOKUP($E27,Preenchimento!$A$2:$BV$1048576,2,0),"")</f>
        <v/>
      </c>
      <c r="C27" s="96" t="str">
        <f>IFERROR(VLOOKUP($E27,Preenchimento!$A$2:$BV$1048576,4,0),"")</f>
        <v/>
      </c>
      <c r="D27" s="96" t="str">
        <f>IFERROR(VLOOKUP($E27,Preenchimento!$A$2:$BV$1048576,3,0),"")</f>
        <v/>
      </c>
      <c r="E27" s="96">
        <v>25</v>
      </c>
      <c r="F27" s="96" t="str">
        <f>IFERROR(VLOOKUP($E27,Preenchimento!$A$2:$BV$1048576,7,0),"")</f>
        <v/>
      </c>
      <c r="G27" s="96" t="str">
        <f>IF(IFERROR(VLOOKUP($E27,Preenchimento!$A$2:$BV$1048576,8,0),"")=0,"",IFERROR(VLOOKUP($E27,Preenchimento!$A$2:$BV$1048576,8,0),""))</f>
        <v/>
      </c>
      <c r="H27" s="96" t="str">
        <f>IFERROR(VLOOKUP($E27,Preenchimento!$A$2:$BV$1048576,9,0),"")</f>
        <v/>
      </c>
      <c r="I27" s="96" t="str">
        <f>IFERROR(VLOOKUP($E27,Preenchimento!$A$2:$BV$1048576,10,0),"")</f>
        <v/>
      </c>
      <c r="J27" s="96" t="str">
        <f>IFERROR(VLOOKUP($E27,Preenchimento!$A$2:$BV$1048576,12,0),"")</f>
        <v/>
      </c>
      <c r="K27" s="96" t="str">
        <f>IFERROR(VLOOKUP($E27,Preenchimento!$A$2:$BV$1048576,6,0),"")</f>
        <v/>
      </c>
      <c r="L27" s="96" t="str">
        <f>IF(IFERROR(VLOOKUP($E27,Preenchimento!$A$2:$BV$1048576,53,0),"")=0,"",IFERROR(VLOOKUP($E27,Preenchimento!$A$2:$BV$1048576,53,0),""))</f>
        <v/>
      </c>
      <c r="M27" s="96" t="str">
        <f>IFERROR(VLOOKUP($E27,Preenchimento!$A$2:$BV$1048576,74,0),"")</f>
        <v/>
      </c>
    </row>
    <row r="28" spans="1:13" x14ac:dyDescent="0.2">
      <c r="A28" s="96">
        <f>Sitio!$E$3</f>
        <v>0</v>
      </c>
      <c r="B28" s="96" t="str">
        <f>IFERROR(VLOOKUP($E28,Preenchimento!$A$2:$BV$1048576,2,0),"")</f>
        <v/>
      </c>
      <c r="C28" s="96" t="str">
        <f>IFERROR(VLOOKUP($E28,Preenchimento!$A$2:$BV$1048576,4,0),"")</f>
        <v/>
      </c>
      <c r="D28" s="96" t="str">
        <f>IFERROR(VLOOKUP($E28,Preenchimento!$A$2:$BV$1048576,3,0),"")</f>
        <v/>
      </c>
      <c r="E28" s="96">
        <v>26</v>
      </c>
      <c r="F28" s="96" t="str">
        <f>IFERROR(VLOOKUP($E28,Preenchimento!$A$2:$BV$1048576,7,0),"")</f>
        <v/>
      </c>
      <c r="G28" s="96" t="str">
        <f>IF(IFERROR(VLOOKUP($E28,Preenchimento!$A$2:$BV$1048576,8,0),"")=0,"",IFERROR(VLOOKUP($E28,Preenchimento!$A$2:$BV$1048576,8,0),""))</f>
        <v/>
      </c>
      <c r="H28" s="96" t="str">
        <f>IFERROR(VLOOKUP($E28,Preenchimento!$A$2:$BV$1048576,9,0),"")</f>
        <v/>
      </c>
      <c r="I28" s="96" t="str">
        <f>IFERROR(VLOOKUP($E28,Preenchimento!$A$2:$BV$1048576,10,0),"")</f>
        <v/>
      </c>
      <c r="J28" s="96" t="str">
        <f>IFERROR(VLOOKUP($E28,Preenchimento!$A$2:$BV$1048576,12,0),"")</f>
        <v/>
      </c>
      <c r="K28" s="96" t="str">
        <f>IFERROR(VLOOKUP($E28,Preenchimento!$A$2:$BV$1048576,6,0),"")</f>
        <v/>
      </c>
      <c r="L28" s="96" t="str">
        <f>IF(IFERROR(VLOOKUP($E28,Preenchimento!$A$2:$BV$1048576,53,0),"")=0,"",IFERROR(VLOOKUP($E28,Preenchimento!$A$2:$BV$1048576,53,0),""))</f>
        <v/>
      </c>
      <c r="M28" s="96" t="str">
        <f>IFERROR(VLOOKUP($E28,Preenchimento!$A$2:$BV$1048576,74,0),"")</f>
        <v/>
      </c>
    </row>
    <row r="29" spans="1:13" x14ac:dyDescent="0.2">
      <c r="A29" s="96">
        <f>Sitio!$E$3</f>
        <v>0</v>
      </c>
      <c r="B29" s="96" t="str">
        <f>IFERROR(VLOOKUP($E29,Preenchimento!$A$2:$BV$1048576,2,0),"")</f>
        <v/>
      </c>
      <c r="C29" s="96" t="str">
        <f>IFERROR(VLOOKUP($E29,Preenchimento!$A$2:$BV$1048576,4,0),"")</f>
        <v/>
      </c>
      <c r="D29" s="96" t="str">
        <f>IFERROR(VLOOKUP($E29,Preenchimento!$A$2:$BV$1048576,3,0),"")</f>
        <v/>
      </c>
      <c r="E29" s="96">
        <v>27</v>
      </c>
      <c r="F29" s="96" t="str">
        <f>IFERROR(VLOOKUP($E29,Preenchimento!$A$2:$BV$1048576,7,0),"")</f>
        <v/>
      </c>
      <c r="G29" s="96" t="str">
        <f>IF(IFERROR(VLOOKUP($E29,Preenchimento!$A$2:$BV$1048576,8,0),"")=0,"",IFERROR(VLOOKUP($E29,Preenchimento!$A$2:$BV$1048576,8,0),""))</f>
        <v/>
      </c>
      <c r="H29" s="96" t="str">
        <f>IFERROR(VLOOKUP($E29,Preenchimento!$A$2:$BV$1048576,9,0),"")</f>
        <v/>
      </c>
      <c r="I29" s="96" t="str">
        <f>IFERROR(VLOOKUP($E29,Preenchimento!$A$2:$BV$1048576,10,0),"")</f>
        <v/>
      </c>
      <c r="J29" s="96" t="str">
        <f>IFERROR(VLOOKUP($E29,Preenchimento!$A$2:$BV$1048576,12,0),"")</f>
        <v/>
      </c>
      <c r="K29" s="96" t="str">
        <f>IFERROR(VLOOKUP($E29,Preenchimento!$A$2:$BV$1048576,6,0),"")</f>
        <v/>
      </c>
      <c r="L29" s="96" t="str">
        <f>IF(IFERROR(VLOOKUP($E29,Preenchimento!$A$2:$BV$1048576,53,0),"")=0,"",IFERROR(VLOOKUP($E29,Preenchimento!$A$2:$BV$1048576,53,0),""))</f>
        <v/>
      </c>
      <c r="M29" s="96" t="str">
        <f>IFERROR(VLOOKUP($E29,Preenchimento!$A$2:$BV$1048576,74,0),"")</f>
        <v/>
      </c>
    </row>
    <row r="30" spans="1:13" x14ac:dyDescent="0.2">
      <c r="A30" s="96">
        <f>Sitio!$E$3</f>
        <v>0</v>
      </c>
      <c r="B30" s="96" t="str">
        <f>IFERROR(VLOOKUP($E30,Preenchimento!$A$2:$BV$1048576,2,0),"")</f>
        <v/>
      </c>
      <c r="C30" s="96" t="str">
        <f>IFERROR(VLOOKUP($E30,Preenchimento!$A$2:$BV$1048576,4,0),"")</f>
        <v/>
      </c>
      <c r="D30" s="96" t="str">
        <f>IFERROR(VLOOKUP($E30,Preenchimento!$A$2:$BV$1048576,3,0),"")</f>
        <v/>
      </c>
      <c r="E30" s="96">
        <v>28</v>
      </c>
      <c r="F30" s="96" t="str">
        <f>IFERROR(VLOOKUP($E30,Preenchimento!$A$2:$BV$1048576,7,0),"")</f>
        <v/>
      </c>
      <c r="G30" s="96" t="str">
        <f>IF(IFERROR(VLOOKUP($E30,Preenchimento!$A$2:$BV$1048576,8,0),"")=0,"",IFERROR(VLOOKUP($E30,Preenchimento!$A$2:$BV$1048576,8,0),""))</f>
        <v/>
      </c>
      <c r="H30" s="96" t="str">
        <f>IFERROR(VLOOKUP($E30,Preenchimento!$A$2:$BV$1048576,9,0),"")</f>
        <v/>
      </c>
      <c r="I30" s="96" t="str">
        <f>IFERROR(VLOOKUP($E30,Preenchimento!$A$2:$BV$1048576,10,0),"")</f>
        <v/>
      </c>
      <c r="J30" s="96" t="str">
        <f>IFERROR(VLOOKUP($E30,Preenchimento!$A$2:$BV$1048576,12,0),"")</f>
        <v/>
      </c>
      <c r="K30" s="96" t="str">
        <f>IFERROR(VLOOKUP($E30,Preenchimento!$A$2:$BV$1048576,6,0),"")</f>
        <v/>
      </c>
      <c r="L30" s="96" t="str">
        <f>IF(IFERROR(VLOOKUP($E30,Preenchimento!$A$2:$BV$1048576,53,0),"")=0,"",IFERROR(VLOOKUP($E30,Preenchimento!$A$2:$BV$1048576,53,0),""))</f>
        <v/>
      </c>
      <c r="M30" s="96" t="str">
        <f>IFERROR(VLOOKUP($E30,Preenchimento!$A$2:$BV$1048576,74,0),"")</f>
        <v/>
      </c>
    </row>
    <row r="31" spans="1:13" x14ac:dyDescent="0.2">
      <c r="A31" s="96">
        <f>Sitio!$E$3</f>
        <v>0</v>
      </c>
      <c r="B31" s="96" t="str">
        <f>IFERROR(VLOOKUP($E31,Preenchimento!$A$2:$BV$1048576,2,0),"")</f>
        <v/>
      </c>
      <c r="C31" s="96" t="str">
        <f>IFERROR(VLOOKUP($E31,Preenchimento!$A$2:$BV$1048576,4,0),"")</f>
        <v/>
      </c>
      <c r="D31" s="96" t="str">
        <f>IFERROR(VLOOKUP($E31,Preenchimento!$A$2:$BV$1048576,3,0),"")</f>
        <v/>
      </c>
      <c r="E31" s="96">
        <v>29</v>
      </c>
      <c r="F31" s="96" t="str">
        <f>IFERROR(VLOOKUP($E31,Preenchimento!$A$2:$BV$1048576,7,0),"")</f>
        <v/>
      </c>
      <c r="G31" s="96" t="str">
        <f>IF(IFERROR(VLOOKUP($E31,Preenchimento!$A$2:$BV$1048576,8,0),"")=0,"",IFERROR(VLOOKUP($E31,Preenchimento!$A$2:$BV$1048576,8,0),""))</f>
        <v/>
      </c>
      <c r="H31" s="96" t="str">
        <f>IFERROR(VLOOKUP($E31,Preenchimento!$A$2:$BV$1048576,9,0),"")</f>
        <v/>
      </c>
      <c r="I31" s="96" t="str">
        <f>IFERROR(VLOOKUP($E31,Preenchimento!$A$2:$BV$1048576,10,0),"")</f>
        <v/>
      </c>
      <c r="J31" s="96" t="str">
        <f>IFERROR(VLOOKUP($E31,Preenchimento!$A$2:$BV$1048576,12,0),"")</f>
        <v/>
      </c>
      <c r="K31" s="96" t="str">
        <f>IFERROR(VLOOKUP($E31,Preenchimento!$A$2:$BV$1048576,6,0),"")</f>
        <v/>
      </c>
      <c r="L31" s="96" t="str">
        <f>IF(IFERROR(VLOOKUP($E31,Preenchimento!$A$2:$BV$1048576,53,0),"")=0,"",IFERROR(VLOOKUP($E31,Preenchimento!$A$2:$BV$1048576,53,0),""))</f>
        <v/>
      </c>
      <c r="M31" s="96" t="str">
        <f>IFERROR(VLOOKUP($E31,Preenchimento!$A$2:$BV$1048576,74,0),"")</f>
        <v/>
      </c>
    </row>
    <row r="32" spans="1:13" x14ac:dyDescent="0.2">
      <c r="A32" s="96">
        <f>Sitio!$E$3</f>
        <v>0</v>
      </c>
      <c r="B32" s="96" t="str">
        <f>IFERROR(VLOOKUP($E32,Preenchimento!$A$2:$BV$1048576,2,0),"")</f>
        <v/>
      </c>
      <c r="C32" s="96" t="str">
        <f>IFERROR(VLOOKUP($E32,Preenchimento!$A$2:$BV$1048576,4,0),"")</f>
        <v/>
      </c>
      <c r="D32" s="96" t="str">
        <f>IFERROR(VLOOKUP($E32,Preenchimento!$A$2:$BV$1048576,3,0),"")</f>
        <v/>
      </c>
      <c r="E32" s="96">
        <v>30</v>
      </c>
      <c r="F32" s="96" t="str">
        <f>IFERROR(VLOOKUP($E32,Preenchimento!$A$2:$BV$1048576,7,0),"")</f>
        <v/>
      </c>
      <c r="G32" s="96" t="str">
        <f>IF(IFERROR(VLOOKUP($E32,Preenchimento!$A$2:$BV$1048576,8,0),"")=0,"",IFERROR(VLOOKUP($E32,Preenchimento!$A$2:$BV$1048576,8,0),""))</f>
        <v/>
      </c>
      <c r="H32" s="96" t="str">
        <f>IFERROR(VLOOKUP($E32,Preenchimento!$A$2:$BV$1048576,9,0),"")</f>
        <v/>
      </c>
      <c r="I32" s="96" t="str">
        <f>IFERROR(VLOOKUP($E32,Preenchimento!$A$2:$BV$1048576,10,0),"")</f>
        <v/>
      </c>
      <c r="J32" s="96" t="str">
        <f>IFERROR(VLOOKUP($E32,Preenchimento!$A$2:$BV$1048576,12,0),"")</f>
        <v/>
      </c>
      <c r="K32" s="96" t="str">
        <f>IFERROR(VLOOKUP($E32,Preenchimento!$A$2:$BV$1048576,6,0),"")</f>
        <v/>
      </c>
      <c r="L32" s="96" t="str">
        <f>IF(IFERROR(VLOOKUP($E32,Preenchimento!$A$2:$BV$1048576,53,0),"")=0,"",IFERROR(VLOOKUP($E32,Preenchimento!$A$2:$BV$1048576,53,0),""))</f>
        <v/>
      </c>
      <c r="M32" s="96" t="str">
        <f>IFERROR(VLOOKUP($E32,Preenchimento!$A$2:$BV$1048576,74,0),"")</f>
        <v/>
      </c>
    </row>
    <row r="33" spans="1:13" x14ac:dyDescent="0.2">
      <c r="A33" s="96">
        <f>Sitio!$E$3</f>
        <v>0</v>
      </c>
      <c r="B33" s="96" t="str">
        <f>IFERROR(VLOOKUP($E33,Preenchimento!$A$2:$BV$1048576,2,0),"")</f>
        <v/>
      </c>
      <c r="C33" s="96" t="str">
        <f>IFERROR(VLOOKUP($E33,Preenchimento!$A$2:$BV$1048576,4,0),"")</f>
        <v/>
      </c>
      <c r="D33" s="96" t="str">
        <f>IFERROR(VLOOKUP($E33,Preenchimento!$A$2:$BV$1048576,3,0),"")</f>
        <v/>
      </c>
      <c r="E33" s="96">
        <v>31</v>
      </c>
      <c r="F33" s="96" t="str">
        <f>IFERROR(VLOOKUP($E33,Preenchimento!$A$2:$BV$1048576,7,0),"")</f>
        <v/>
      </c>
      <c r="G33" s="96" t="str">
        <f>IF(IFERROR(VLOOKUP($E33,Preenchimento!$A$2:$BV$1048576,8,0),"")=0,"",IFERROR(VLOOKUP($E33,Preenchimento!$A$2:$BV$1048576,8,0),""))</f>
        <v/>
      </c>
      <c r="H33" s="96" t="str">
        <f>IFERROR(VLOOKUP($E33,Preenchimento!$A$2:$BV$1048576,9,0),"")</f>
        <v/>
      </c>
      <c r="I33" s="96" t="str">
        <f>IFERROR(VLOOKUP($E33,Preenchimento!$A$2:$BV$1048576,10,0),"")</f>
        <v/>
      </c>
      <c r="J33" s="96" t="str">
        <f>IFERROR(VLOOKUP($E33,Preenchimento!$A$2:$BV$1048576,12,0),"")</f>
        <v/>
      </c>
      <c r="K33" s="96" t="str">
        <f>IFERROR(VLOOKUP($E33,Preenchimento!$A$2:$BV$1048576,6,0),"")</f>
        <v/>
      </c>
      <c r="L33" s="96" t="str">
        <f>IF(IFERROR(VLOOKUP($E33,Preenchimento!$A$2:$BV$1048576,53,0),"")=0,"",IFERROR(VLOOKUP($E33,Preenchimento!$A$2:$BV$1048576,53,0),""))</f>
        <v/>
      </c>
      <c r="M33" s="96" t="str">
        <f>IFERROR(VLOOKUP($E33,Preenchimento!$A$2:$BV$1048576,74,0),"")</f>
        <v/>
      </c>
    </row>
    <row r="34" spans="1:13" x14ac:dyDescent="0.2">
      <c r="A34" s="96">
        <f>Sitio!$E$3</f>
        <v>0</v>
      </c>
      <c r="B34" s="96" t="str">
        <f>IFERROR(VLOOKUP($E34,Preenchimento!$A$2:$BV$1048576,2,0),"")</f>
        <v/>
      </c>
      <c r="C34" s="96" t="str">
        <f>IFERROR(VLOOKUP($E34,Preenchimento!$A$2:$BV$1048576,4,0),"")</f>
        <v/>
      </c>
      <c r="D34" s="96" t="str">
        <f>IFERROR(VLOOKUP($E34,Preenchimento!$A$2:$BV$1048576,3,0),"")</f>
        <v/>
      </c>
      <c r="E34" s="96">
        <v>32</v>
      </c>
      <c r="F34" s="96" t="str">
        <f>IFERROR(VLOOKUP($E34,Preenchimento!$A$2:$BV$1048576,7,0),"")</f>
        <v/>
      </c>
      <c r="G34" s="96" t="str">
        <f>IF(IFERROR(VLOOKUP($E34,Preenchimento!$A$2:$BV$1048576,8,0),"")=0,"",IFERROR(VLOOKUP($E34,Preenchimento!$A$2:$BV$1048576,8,0),""))</f>
        <v/>
      </c>
      <c r="H34" s="96" t="str">
        <f>IFERROR(VLOOKUP($E34,Preenchimento!$A$2:$BV$1048576,9,0),"")</f>
        <v/>
      </c>
      <c r="I34" s="96" t="str">
        <f>IFERROR(VLOOKUP($E34,Preenchimento!$A$2:$BV$1048576,10,0),"")</f>
        <v/>
      </c>
      <c r="J34" s="96" t="str">
        <f>IFERROR(VLOOKUP($E34,Preenchimento!$A$2:$BV$1048576,12,0),"")</f>
        <v/>
      </c>
      <c r="K34" s="96" t="str">
        <f>IFERROR(VLOOKUP($E34,Preenchimento!$A$2:$BV$1048576,6,0),"")</f>
        <v/>
      </c>
      <c r="L34" s="96" t="str">
        <f>IF(IFERROR(VLOOKUP($E34,Preenchimento!$A$2:$BV$1048576,53,0),"")=0,"",IFERROR(VLOOKUP($E34,Preenchimento!$A$2:$BV$1048576,53,0),""))</f>
        <v/>
      </c>
      <c r="M34" s="96" t="str">
        <f>IFERROR(VLOOKUP($E34,Preenchimento!$A$2:$BV$1048576,74,0),"")</f>
        <v/>
      </c>
    </row>
    <row r="35" spans="1:13" x14ac:dyDescent="0.2">
      <c r="A35" s="96">
        <f>Sitio!$E$3</f>
        <v>0</v>
      </c>
      <c r="B35" s="96" t="str">
        <f>IFERROR(VLOOKUP($E35,Preenchimento!$A$2:$BV$1048576,2,0),"")</f>
        <v/>
      </c>
      <c r="C35" s="96" t="str">
        <f>IFERROR(VLOOKUP($E35,Preenchimento!$A$2:$BV$1048576,4,0),"")</f>
        <v/>
      </c>
      <c r="D35" s="96" t="str">
        <f>IFERROR(VLOOKUP($E35,Preenchimento!$A$2:$BV$1048576,3,0),"")</f>
        <v/>
      </c>
      <c r="E35" s="96">
        <v>33</v>
      </c>
      <c r="F35" s="96" t="str">
        <f>IFERROR(VLOOKUP($E35,Preenchimento!$A$2:$BV$1048576,7,0),"")</f>
        <v/>
      </c>
      <c r="G35" s="96" t="str">
        <f>IF(IFERROR(VLOOKUP($E35,Preenchimento!$A$2:$BV$1048576,8,0),"")=0,"",IFERROR(VLOOKUP($E35,Preenchimento!$A$2:$BV$1048576,8,0),""))</f>
        <v/>
      </c>
      <c r="H35" s="96" t="str">
        <f>IFERROR(VLOOKUP($E35,Preenchimento!$A$2:$BV$1048576,9,0),"")</f>
        <v/>
      </c>
      <c r="I35" s="96" t="str">
        <f>IFERROR(VLOOKUP($E35,Preenchimento!$A$2:$BV$1048576,10,0),"")</f>
        <v/>
      </c>
      <c r="J35" s="96" t="str">
        <f>IFERROR(VLOOKUP($E35,Preenchimento!$A$2:$BV$1048576,12,0),"")</f>
        <v/>
      </c>
      <c r="K35" s="96" t="str">
        <f>IFERROR(VLOOKUP($E35,Preenchimento!$A$2:$BV$1048576,6,0),"")</f>
        <v/>
      </c>
      <c r="L35" s="96" t="str">
        <f>IF(IFERROR(VLOOKUP($E35,Preenchimento!$A$2:$BV$1048576,53,0),"")=0,"",IFERROR(VLOOKUP($E35,Preenchimento!$A$2:$BV$1048576,53,0),""))</f>
        <v/>
      </c>
      <c r="M35" s="96" t="str">
        <f>IFERROR(VLOOKUP($E35,Preenchimento!$A$2:$BV$1048576,74,0),"")</f>
        <v/>
      </c>
    </row>
    <row r="36" spans="1:13" x14ac:dyDescent="0.2">
      <c r="A36" s="96">
        <f>Sitio!$E$3</f>
        <v>0</v>
      </c>
      <c r="B36" s="96" t="str">
        <f>IFERROR(VLOOKUP($E36,Preenchimento!$A$2:$BV$1048576,2,0),"")</f>
        <v/>
      </c>
      <c r="C36" s="96" t="str">
        <f>IFERROR(VLOOKUP($E36,Preenchimento!$A$2:$BV$1048576,4,0),"")</f>
        <v/>
      </c>
      <c r="D36" s="96" t="str">
        <f>IFERROR(VLOOKUP($E36,Preenchimento!$A$2:$BV$1048576,3,0),"")</f>
        <v/>
      </c>
      <c r="E36" s="96">
        <v>34</v>
      </c>
      <c r="F36" s="96" t="str">
        <f>IFERROR(VLOOKUP($E36,Preenchimento!$A$2:$BV$1048576,7,0),"")</f>
        <v/>
      </c>
      <c r="G36" s="96" t="str">
        <f>IF(IFERROR(VLOOKUP($E36,Preenchimento!$A$2:$BV$1048576,8,0),"")=0,"",IFERROR(VLOOKUP($E36,Preenchimento!$A$2:$BV$1048576,8,0),""))</f>
        <v/>
      </c>
      <c r="H36" s="96" t="str">
        <f>IFERROR(VLOOKUP($E36,Preenchimento!$A$2:$BV$1048576,9,0),"")</f>
        <v/>
      </c>
      <c r="I36" s="96" t="str">
        <f>IFERROR(VLOOKUP($E36,Preenchimento!$A$2:$BV$1048576,10,0),"")</f>
        <v/>
      </c>
      <c r="J36" s="96" t="str">
        <f>IFERROR(VLOOKUP($E36,Preenchimento!$A$2:$BV$1048576,12,0),"")</f>
        <v/>
      </c>
      <c r="K36" s="96" t="str">
        <f>IFERROR(VLOOKUP($E36,Preenchimento!$A$2:$BV$1048576,6,0),"")</f>
        <v/>
      </c>
      <c r="L36" s="96" t="str">
        <f>IF(IFERROR(VLOOKUP($E36,Preenchimento!$A$2:$BV$1048576,53,0),"")=0,"",IFERROR(VLOOKUP($E36,Preenchimento!$A$2:$BV$1048576,53,0),""))</f>
        <v/>
      </c>
      <c r="M36" s="96" t="str">
        <f>IFERROR(VLOOKUP($E36,Preenchimento!$A$2:$BV$1048576,74,0),"")</f>
        <v/>
      </c>
    </row>
    <row r="37" spans="1:13" x14ac:dyDescent="0.2">
      <c r="A37" s="96">
        <f>Sitio!$E$3</f>
        <v>0</v>
      </c>
      <c r="B37" s="96" t="str">
        <f>IFERROR(VLOOKUP($E37,Preenchimento!$A$2:$BV$1048576,2,0),"")</f>
        <v/>
      </c>
      <c r="C37" s="96" t="str">
        <f>IFERROR(VLOOKUP($E37,Preenchimento!$A$2:$BV$1048576,4,0),"")</f>
        <v/>
      </c>
      <c r="D37" s="96" t="str">
        <f>IFERROR(VLOOKUP($E37,Preenchimento!$A$2:$BV$1048576,3,0),"")</f>
        <v/>
      </c>
      <c r="E37" s="96">
        <v>35</v>
      </c>
      <c r="F37" s="96" t="str">
        <f>IFERROR(VLOOKUP($E37,Preenchimento!$A$2:$BV$1048576,7,0),"")</f>
        <v/>
      </c>
      <c r="G37" s="96" t="str">
        <f>IF(IFERROR(VLOOKUP($E37,Preenchimento!$A$2:$BV$1048576,8,0),"")=0,"",IFERROR(VLOOKUP($E37,Preenchimento!$A$2:$BV$1048576,8,0),""))</f>
        <v/>
      </c>
      <c r="H37" s="96" t="str">
        <f>IFERROR(VLOOKUP($E37,Preenchimento!$A$2:$BV$1048576,9,0),"")</f>
        <v/>
      </c>
      <c r="I37" s="96" t="str">
        <f>IFERROR(VLOOKUP($E37,Preenchimento!$A$2:$BV$1048576,10,0),"")</f>
        <v/>
      </c>
      <c r="J37" s="96" t="str">
        <f>IFERROR(VLOOKUP($E37,Preenchimento!$A$2:$BV$1048576,12,0),"")</f>
        <v/>
      </c>
      <c r="K37" s="96" t="str">
        <f>IFERROR(VLOOKUP($E37,Preenchimento!$A$2:$BV$1048576,6,0),"")</f>
        <v/>
      </c>
      <c r="L37" s="96" t="str">
        <f>IF(IFERROR(VLOOKUP($E37,Preenchimento!$A$2:$BV$1048576,53,0),"")=0,"",IFERROR(VLOOKUP($E37,Preenchimento!$A$2:$BV$1048576,53,0),""))</f>
        <v/>
      </c>
      <c r="M37" s="96" t="str">
        <f>IFERROR(VLOOKUP($E37,Preenchimento!$A$2:$BV$1048576,74,0),"")</f>
        <v/>
      </c>
    </row>
    <row r="38" spans="1:13" x14ac:dyDescent="0.2">
      <c r="A38" s="96">
        <f>Sitio!$E$3</f>
        <v>0</v>
      </c>
      <c r="B38" s="96" t="str">
        <f>IFERROR(VLOOKUP($E38,Preenchimento!$A$2:$BV$1048576,2,0),"")</f>
        <v/>
      </c>
      <c r="C38" s="96" t="str">
        <f>IFERROR(VLOOKUP($E38,Preenchimento!$A$2:$BV$1048576,4,0),"")</f>
        <v/>
      </c>
      <c r="D38" s="96" t="str">
        <f>IFERROR(VLOOKUP($E38,Preenchimento!$A$2:$BV$1048576,3,0),"")</f>
        <v/>
      </c>
      <c r="E38" s="96">
        <v>36</v>
      </c>
      <c r="F38" s="96" t="str">
        <f>IFERROR(VLOOKUP($E38,Preenchimento!$A$2:$BV$1048576,7,0),"")</f>
        <v/>
      </c>
      <c r="G38" s="96" t="str">
        <f>IF(IFERROR(VLOOKUP($E38,Preenchimento!$A$2:$BV$1048576,8,0),"")=0,"",IFERROR(VLOOKUP($E38,Preenchimento!$A$2:$BV$1048576,8,0),""))</f>
        <v/>
      </c>
      <c r="H38" s="96" t="str">
        <f>IFERROR(VLOOKUP($E38,Preenchimento!$A$2:$BV$1048576,9,0),"")</f>
        <v/>
      </c>
      <c r="I38" s="96" t="str">
        <f>IFERROR(VLOOKUP($E38,Preenchimento!$A$2:$BV$1048576,10,0),"")</f>
        <v/>
      </c>
      <c r="J38" s="96" t="str">
        <f>IFERROR(VLOOKUP($E38,Preenchimento!$A$2:$BV$1048576,12,0),"")</f>
        <v/>
      </c>
      <c r="K38" s="96" t="str">
        <f>IFERROR(VLOOKUP($E38,Preenchimento!$A$2:$BV$1048576,6,0),"")</f>
        <v/>
      </c>
      <c r="L38" s="96" t="str">
        <f>IF(IFERROR(VLOOKUP($E38,Preenchimento!$A$2:$BV$1048576,53,0),"")=0,"",IFERROR(VLOOKUP($E38,Preenchimento!$A$2:$BV$1048576,53,0),""))</f>
        <v/>
      </c>
      <c r="M38" s="96" t="str">
        <f>IFERROR(VLOOKUP($E38,Preenchimento!$A$2:$BV$1048576,74,0),"")</f>
        <v/>
      </c>
    </row>
    <row r="39" spans="1:13" x14ac:dyDescent="0.2">
      <c r="A39" s="96">
        <f>Sitio!$E$3</f>
        <v>0</v>
      </c>
      <c r="B39" s="96" t="str">
        <f>IFERROR(VLOOKUP($E39,Preenchimento!$A$2:$BV$1048576,2,0),"")</f>
        <v/>
      </c>
      <c r="C39" s="96" t="str">
        <f>IFERROR(VLOOKUP($E39,Preenchimento!$A$2:$BV$1048576,4,0),"")</f>
        <v/>
      </c>
      <c r="D39" s="96" t="str">
        <f>IFERROR(VLOOKUP($E39,Preenchimento!$A$2:$BV$1048576,3,0),"")</f>
        <v/>
      </c>
      <c r="E39" s="96">
        <v>37</v>
      </c>
      <c r="F39" s="96" t="str">
        <f>IFERROR(VLOOKUP($E39,Preenchimento!$A$2:$BV$1048576,7,0),"")</f>
        <v/>
      </c>
      <c r="G39" s="96" t="str">
        <f>IF(IFERROR(VLOOKUP($E39,Preenchimento!$A$2:$BV$1048576,8,0),"")=0,"",IFERROR(VLOOKUP($E39,Preenchimento!$A$2:$BV$1048576,8,0),""))</f>
        <v/>
      </c>
      <c r="H39" s="96" t="str">
        <f>IFERROR(VLOOKUP($E39,Preenchimento!$A$2:$BV$1048576,9,0),"")</f>
        <v/>
      </c>
      <c r="I39" s="96" t="str">
        <f>IFERROR(VLOOKUP($E39,Preenchimento!$A$2:$BV$1048576,10,0),"")</f>
        <v/>
      </c>
      <c r="J39" s="96" t="str">
        <f>IFERROR(VLOOKUP($E39,Preenchimento!$A$2:$BV$1048576,12,0),"")</f>
        <v/>
      </c>
      <c r="K39" s="96" t="str">
        <f>IFERROR(VLOOKUP($E39,Preenchimento!$A$2:$BV$1048576,6,0),"")</f>
        <v/>
      </c>
      <c r="L39" s="96" t="str">
        <f>IF(IFERROR(VLOOKUP($E39,Preenchimento!$A$2:$BV$1048576,53,0),"")=0,"",IFERROR(VLOOKUP($E39,Preenchimento!$A$2:$BV$1048576,53,0),""))</f>
        <v/>
      </c>
      <c r="M39" s="96" t="str">
        <f>IFERROR(VLOOKUP($E39,Preenchimento!$A$2:$BV$1048576,74,0),"")</f>
        <v/>
      </c>
    </row>
    <row r="40" spans="1:13" x14ac:dyDescent="0.2">
      <c r="A40" s="96">
        <f>Sitio!$E$3</f>
        <v>0</v>
      </c>
      <c r="B40" s="96" t="str">
        <f>IFERROR(VLOOKUP($E40,Preenchimento!$A$2:$BV$1048576,2,0),"")</f>
        <v/>
      </c>
      <c r="C40" s="96" t="str">
        <f>IFERROR(VLOOKUP($E40,Preenchimento!$A$2:$BV$1048576,4,0),"")</f>
        <v/>
      </c>
      <c r="D40" s="96" t="str">
        <f>IFERROR(VLOOKUP($E40,Preenchimento!$A$2:$BV$1048576,3,0),"")</f>
        <v/>
      </c>
      <c r="E40" s="96">
        <v>38</v>
      </c>
      <c r="F40" s="96" t="str">
        <f>IFERROR(VLOOKUP($E40,Preenchimento!$A$2:$BV$1048576,7,0),"")</f>
        <v/>
      </c>
      <c r="G40" s="96" t="str">
        <f>IF(IFERROR(VLOOKUP($E40,Preenchimento!$A$2:$BV$1048576,8,0),"")=0,"",IFERROR(VLOOKUP($E40,Preenchimento!$A$2:$BV$1048576,8,0),""))</f>
        <v/>
      </c>
      <c r="H40" s="96" t="str">
        <f>IFERROR(VLOOKUP($E40,Preenchimento!$A$2:$BV$1048576,9,0),"")</f>
        <v/>
      </c>
      <c r="I40" s="96" t="str">
        <f>IFERROR(VLOOKUP($E40,Preenchimento!$A$2:$BV$1048576,10,0),"")</f>
        <v/>
      </c>
      <c r="J40" s="96" t="str">
        <f>IFERROR(VLOOKUP($E40,Preenchimento!$A$2:$BV$1048576,12,0),"")</f>
        <v/>
      </c>
      <c r="K40" s="96" t="str">
        <f>IFERROR(VLOOKUP($E40,Preenchimento!$A$2:$BV$1048576,6,0),"")</f>
        <v/>
      </c>
      <c r="L40" s="96" t="str">
        <f>IF(IFERROR(VLOOKUP($E40,Preenchimento!$A$2:$BV$1048576,53,0),"")=0,"",IFERROR(VLOOKUP($E40,Preenchimento!$A$2:$BV$1048576,53,0),""))</f>
        <v/>
      </c>
      <c r="M40" s="96" t="str">
        <f>IFERROR(VLOOKUP($E40,Preenchimento!$A$2:$BV$1048576,74,0),"")</f>
        <v/>
      </c>
    </row>
    <row r="41" spans="1:13" x14ac:dyDescent="0.2">
      <c r="A41" s="96">
        <f>Sitio!$E$3</f>
        <v>0</v>
      </c>
      <c r="B41" s="96" t="str">
        <f>IFERROR(VLOOKUP($E41,Preenchimento!$A$2:$BV$1048576,2,0),"")</f>
        <v/>
      </c>
      <c r="C41" s="96" t="str">
        <f>IFERROR(VLOOKUP($E41,Preenchimento!$A$2:$BV$1048576,4,0),"")</f>
        <v/>
      </c>
      <c r="D41" s="96" t="str">
        <f>IFERROR(VLOOKUP($E41,Preenchimento!$A$2:$BV$1048576,3,0),"")</f>
        <v/>
      </c>
      <c r="E41" s="96">
        <v>39</v>
      </c>
      <c r="F41" s="96" t="str">
        <f>IFERROR(VLOOKUP($E41,Preenchimento!$A$2:$BV$1048576,7,0),"")</f>
        <v/>
      </c>
      <c r="G41" s="96" t="str">
        <f>IF(IFERROR(VLOOKUP($E41,Preenchimento!$A$2:$BV$1048576,8,0),"")=0,"",IFERROR(VLOOKUP($E41,Preenchimento!$A$2:$BV$1048576,8,0),""))</f>
        <v/>
      </c>
      <c r="H41" s="96" t="str">
        <f>IFERROR(VLOOKUP($E41,Preenchimento!$A$2:$BV$1048576,9,0),"")</f>
        <v/>
      </c>
      <c r="I41" s="96" t="str">
        <f>IFERROR(VLOOKUP($E41,Preenchimento!$A$2:$BV$1048576,10,0),"")</f>
        <v/>
      </c>
      <c r="J41" s="96" t="str">
        <f>IFERROR(VLOOKUP($E41,Preenchimento!$A$2:$BV$1048576,12,0),"")</f>
        <v/>
      </c>
      <c r="K41" s="96" t="str">
        <f>IFERROR(VLOOKUP($E41,Preenchimento!$A$2:$BV$1048576,6,0),"")</f>
        <v/>
      </c>
      <c r="L41" s="96" t="str">
        <f>IF(IFERROR(VLOOKUP($E41,Preenchimento!$A$2:$BV$1048576,53,0),"")=0,"",IFERROR(VLOOKUP($E41,Preenchimento!$A$2:$BV$1048576,53,0),""))</f>
        <v/>
      </c>
      <c r="M41" s="96" t="str">
        <f>IFERROR(VLOOKUP($E41,Preenchimento!$A$2:$BV$1048576,74,0),"")</f>
        <v/>
      </c>
    </row>
    <row r="42" spans="1:13" x14ac:dyDescent="0.2">
      <c r="A42" s="96">
        <f>Sitio!$E$3</f>
        <v>0</v>
      </c>
      <c r="B42" s="96" t="str">
        <f>IFERROR(VLOOKUP($E42,Preenchimento!$A$2:$BV$1048576,2,0),"")</f>
        <v/>
      </c>
      <c r="C42" s="96" t="str">
        <f>IFERROR(VLOOKUP($E42,Preenchimento!$A$2:$BV$1048576,4,0),"")</f>
        <v/>
      </c>
      <c r="D42" s="96" t="str">
        <f>IFERROR(VLOOKUP($E42,Preenchimento!$A$2:$BV$1048576,3,0),"")</f>
        <v/>
      </c>
      <c r="E42" s="96">
        <v>40</v>
      </c>
      <c r="F42" s="96" t="str">
        <f>IFERROR(VLOOKUP($E42,Preenchimento!$A$2:$BV$1048576,7,0),"")</f>
        <v/>
      </c>
      <c r="G42" s="96" t="str">
        <f>IF(IFERROR(VLOOKUP($E42,Preenchimento!$A$2:$BV$1048576,8,0),"")=0,"",IFERROR(VLOOKUP($E42,Preenchimento!$A$2:$BV$1048576,8,0),""))</f>
        <v/>
      </c>
      <c r="H42" s="96" t="str">
        <f>IFERROR(VLOOKUP($E42,Preenchimento!$A$2:$BV$1048576,9,0),"")</f>
        <v/>
      </c>
      <c r="I42" s="96" t="str">
        <f>IFERROR(VLOOKUP($E42,Preenchimento!$A$2:$BV$1048576,10,0),"")</f>
        <v/>
      </c>
      <c r="J42" s="96" t="str">
        <f>IFERROR(VLOOKUP($E42,Preenchimento!$A$2:$BV$1048576,12,0),"")</f>
        <v/>
      </c>
      <c r="K42" s="96" t="str">
        <f>IFERROR(VLOOKUP($E42,Preenchimento!$A$2:$BV$1048576,6,0),"")</f>
        <v/>
      </c>
      <c r="L42" s="96" t="str">
        <f>IF(IFERROR(VLOOKUP($E42,Preenchimento!$A$2:$BV$1048576,53,0),"")=0,"",IFERROR(VLOOKUP($E42,Preenchimento!$A$2:$BV$1048576,53,0),""))</f>
        <v/>
      </c>
      <c r="M42" s="96" t="str">
        <f>IFERROR(VLOOKUP($E42,Preenchimento!$A$2:$BV$1048576,74,0),"")</f>
        <v/>
      </c>
    </row>
    <row r="43" spans="1:13" x14ac:dyDescent="0.2">
      <c r="A43" s="96">
        <f>Sitio!$E$3</f>
        <v>0</v>
      </c>
      <c r="B43" s="96" t="str">
        <f>IFERROR(VLOOKUP($E43,Preenchimento!$A$2:$BV$1048576,2,0),"")</f>
        <v/>
      </c>
      <c r="C43" s="96" t="str">
        <f>IFERROR(VLOOKUP($E43,Preenchimento!$A$2:$BV$1048576,4,0),"")</f>
        <v/>
      </c>
      <c r="D43" s="96" t="str">
        <f>IFERROR(VLOOKUP($E43,Preenchimento!$A$2:$BV$1048576,3,0),"")</f>
        <v/>
      </c>
      <c r="E43" s="96">
        <v>41</v>
      </c>
      <c r="F43" s="96" t="str">
        <f>IFERROR(VLOOKUP($E43,Preenchimento!$A$2:$BV$1048576,7,0),"")</f>
        <v/>
      </c>
      <c r="G43" s="96" t="str">
        <f>IF(IFERROR(VLOOKUP($E43,Preenchimento!$A$2:$BV$1048576,8,0),"")=0,"",IFERROR(VLOOKUP($E43,Preenchimento!$A$2:$BV$1048576,8,0),""))</f>
        <v/>
      </c>
      <c r="H43" s="96" t="str">
        <f>IFERROR(VLOOKUP($E43,Preenchimento!$A$2:$BV$1048576,9,0),"")</f>
        <v/>
      </c>
      <c r="I43" s="96" t="str">
        <f>IFERROR(VLOOKUP($E43,Preenchimento!$A$2:$BV$1048576,10,0),"")</f>
        <v/>
      </c>
      <c r="J43" s="96" t="str">
        <f>IFERROR(VLOOKUP($E43,Preenchimento!$A$2:$BV$1048576,12,0),"")</f>
        <v/>
      </c>
      <c r="K43" s="96" t="str">
        <f>IFERROR(VLOOKUP($E43,Preenchimento!$A$2:$BV$1048576,6,0),"")</f>
        <v/>
      </c>
      <c r="L43" s="96" t="str">
        <f>IF(IFERROR(VLOOKUP($E43,Preenchimento!$A$2:$BV$1048576,53,0),"")=0,"",IFERROR(VLOOKUP($E43,Preenchimento!$A$2:$BV$1048576,53,0),""))</f>
        <v/>
      </c>
      <c r="M43" s="96" t="str">
        <f>IFERROR(VLOOKUP($E43,Preenchimento!$A$2:$BV$1048576,74,0),"")</f>
        <v/>
      </c>
    </row>
    <row r="44" spans="1:13" x14ac:dyDescent="0.2">
      <c r="A44" s="96">
        <f>Sitio!$E$3</f>
        <v>0</v>
      </c>
      <c r="B44" s="96" t="str">
        <f>IFERROR(VLOOKUP($E44,Preenchimento!$A$2:$BV$1048576,2,0),"")</f>
        <v/>
      </c>
      <c r="C44" s="96" t="str">
        <f>IFERROR(VLOOKUP($E44,Preenchimento!$A$2:$BV$1048576,4,0),"")</f>
        <v/>
      </c>
      <c r="D44" s="96" t="str">
        <f>IFERROR(VLOOKUP($E44,Preenchimento!$A$2:$BV$1048576,3,0),"")</f>
        <v/>
      </c>
      <c r="E44" s="96">
        <v>42</v>
      </c>
      <c r="F44" s="96" t="str">
        <f>IFERROR(VLOOKUP($E44,Preenchimento!$A$2:$BV$1048576,7,0),"")</f>
        <v/>
      </c>
      <c r="G44" s="96" t="str">
        <f>IF(IFERROR(VLOOKUP($E44,Preenchimento!$A$2:$BV$1048576,8,0),"")=0,"",IFERROR(VLOOKUP($E44,Preenchimento!$A$2:$BV$1048576,8,0),""))</f>
        <v/>
      </c>
      <c r="H44" s="96" t="str">
        <f>IFERROR(VLOOKUP($E44,Preenchimento!$A$2:$BV$1048576,9,0),"")</f>
        <v/>
      </c>
      <c r="I44" s="96" t="str">
        <f>IFERROR(VLOOKUP($E44,Preenchimento!$A$2:$BV$1048576,10,0),"")</f>
        <v/>
      </c>
      <c r="J44" s="96" t="str">
        <f>IFERROR(VLOOKUP($E44,Preenchimento!$A$2:$BV$1048576,12,0),"")</f>
        <v/>
      </c>
      <c r="K44" s="96" t="str">
        <f>IFERROR(VLOOKUP($E44,Preenchimento!$A$2:$BV$1048576,6,0),"")</f>
        <v/>
      </c>
      <c r="L44" s="96" t="str">
        <f>IF(IFERROR(VLOOKUP($E44,Preenchimento!$A$2:$BV$1048576,53,0),"")=0,"",IFERROR(VLOOKUP($E44,Preenchimento!$A$2:$BV$1048576,53,0),""))</f>
        <v/>
      </c>
      <c r="M44" s="96" t="str">
        <f>IFERROR(VLOOKUP($E44,Preenchimento!$A$2:$BV$1048576,74,0),"")</f>
        <v/>
      </c>
    </row>
    <row r="45" spans="1:13" x14ac:dyDescent="0.2">
      <c r="A45" s="96">
        <f>Sitio!$E$3</f>
        <v>0</v>
      </c>
      <c r="B45" s="96" t="str">
        <f>IFERROR(VLOOKUP($E45,Preenchimento!$A$2:$BV$1048576,2,0),"")</f>
        <v/>
      </c>
      <c r="C45" s="96" t="str">
        <f>IFERROR(VLOOKUP($E45,Preenchimento!$A$2:$BV$1048576,4,0),"")</f>
        <v/>
      </c>
      <c r="D45" s="96" t="str">
        <f>IFERROR(VLOOKUP($E45,Preenchimento!$A$2:$BV$1048576,3,0),"")</f>
        <v/>
      </c>
      <c r="E45" s="96">
        <v>43</v>
      </c>
      <c r="F45" s="96" t="str">
        <f>IFERROR(VLOOKUP($E45,Preenchimento!$A$2:$BV$1048576,7,0),"")</f>
        <v/>
      </c>
      <c r="G45" s="96" t="str">
        <f>IF(IFERROR(VLOOKUP($E45,Preenchimento!$A$2:$BV$1048576,8,0),"")=0,"",IFERROR(VLOOKUP($E45,Preenchimento!$A$2:$BV$1048576,8,0),""))</f>
        <v/>
      </c>
      <c r="H45" s="96" t="str">
        <f>IFERROR(VLOOKUP($E45,Preenchimento!$A$2:$BV$1048576,9,0),"")</f>
        <v/>
      </c>
      <c r="I45" s="96" t="str">
        <f>IFERROR(VLOOKUP($E45,Preenchimento!$A$2:$BV$1048576,10,0),"")</f>
        <v/>
      </c>
      <c r="J45" s="96" t="str">
        <f>IFERROR(VLOOKUP($E45,Preenchimento!$A$2:$BV$1048576,12,0),"")</f>
        <v/>
      </c>
      <c r="K45" s="96" t="str">
        <f>IFERROR(VLOOKUP($E45,Preenchimento!$A$2:$BV$1048576,6,0),"")</f>
        <v/>
      </c>
      <c r="L45" s="96" t="str">
        <f>IF(IFERROR(VLOOKUP($E45,Preenchimento!$A$2:$BV$1048576,53,0),"")=0,"",IFERROR(VLOOKUP($E45,Preenchimento!$A$2:$BV$1048576,53,0),""))</f>
        <v/>
      </c>
      <c r="M45" s="96" t="str">
        <f>IFERROR(VLOOKUP($E45,Preenchimento!$A$2:$BV$1048576,74,0),"")</f>
        <v/>
      </c>
    </row>
    <row r="46" spans="1:13" x14ac:dyDescent="0.2">
      <c r="A46" s="96">
        <f>Sitio!$E$3</f>
        <v>0</v>
      </c>
      <c r="B46" s="96" t="str">
        <f>IFERROR(VLOOKUP($E46,Preenchimento!$A$2:$BV$1048576,2,0),"")</f>
        <v/>
      </c>
      <c r="C46" s="96" t="str">
        <f>IFERROR(VLOOKUP($E46,Preenchimento!$A$2:$BV$1048576,4,0),"")</f>
        <v/>
      </c>
      <c r="D46" s="96" t="str">
        <f>IFERROR(VLOOKUP($E46,Preenchimento!$A$2:$BV$1048576,3,0),"")</f>
        <v/>
      </c>
      <c r="E46" s="96">
        <v>44</v>
      </c>
      <c r="F46" s="96" t="str">
        <f>IFERROR(VLOOKUP($E46,Preenchimento!$A$2:$BV$1048576,7,0),"")</f>
        <v/>
      </c>
      <c r="G46" s="96" t="str">
        <f>IF(IFERROR(VLOOKUP($E46,Preenchimento!$A$2:$BV$1048576,8,0),"")=0,"",IFERROR(VLOOKUP($E46,Preenchimento!$A$2:$BV$1048576,8,0),""))</f>
        <v/>
      </c>
      <c r="H46" s="96" t="str">
        <f>IFERROR(VLOOKUP($E46,Preenchimento!$A$2:$BV$1048576,9,0),"")</f>
        <v/>
      </c>
      <c r="I46" s="96" t="str">
        <f>IFERROR(VLOOKUP($E46,Preenchimento!$A$2:$BV$1048576,10,0),"")</f>
        <v/>
      </c>
      <c r="J46" s="96" t="str">
        <f>IFERROR(VLOOKUP($E46,Preenchimento!$A$2:$BV$1048576,12,0),"")</f>
        <v/>
      </c>
      <c r="K46" s="96" t="str">
        <f>IFERROR(VLOOKUP($E46,Preenchimento!$A$2:$BV$1048576,6,0),"")</f>
        <v/>
      </c>
      <c r="L46" s="96" t="str">
        <f>IF(IFERROR(VLOOKUP($E46,Preenchimento!$A$2:$BV$1048576,53,0),"")=0,"",IFERROR(VLOOKUP($E46,Preenchimento!$A$2:$BV$1048576,53,0),""))</f>
        <v/>
      </c>
      <c r="M46" s="96" t="str">
        <f>IFERROR(VLOOKUP($E46,Preenchimento!$A$2:$BV$1048576,74,0),"")</f>
        <v/>
      </c>
    </row>
    <row r="47" spans="1:13" x14ac:dyDescent="0.2">
      <c r="A47" s="96">
        <f>Sitio!$E$3</f>
        <v>0</v>
      </c>
      <c r="B47" s="96" t="str">
        <f>IFERROR(VLOOKUP($E47,Preenchimento!$A$2:$BV$1048576,2,0),"")</f>
        <v/>
      </c>
      <c r="C47" s="96" t="str">
        <f>IFERROR(VLOOKUP($E47,Preenchimento!$A$2:$BV$1048576,4,0),"")</f>
        <v/>
      </c>
      <c r="D47" s="96" t="str">
        <f>IFERROR(VLOOKUP($E47,Preenchimento!$A$2:$BV$1048576,3,0),"")</f>
        <v/>
      </c>
      <c r="E47" s="96">
        <v>45</v>
      </c>
      <c r="F47" s="96" t="str">
        <f>IFERROR(VLOOKUP($E47,Preenchimento!$A$2:$BV$1048576,7,0),"")</f>
        <v/>
      </c>
      <c r="G47" s="96" t="str">
        <f>IF(IFERROR(VLOOKUP($E47,Preenchimento!$A$2:$BV$1048576,8,0),"")=0,"",IFERROR(VLOOKUP($E47,Preenchimento!$A$2:$BV$1048576,8,0),""))</f>
        <v/>
      </c>
      <c r="H47" s="96" t="str">
        <f>IFERROR(VLOOKUP($E47,Preenchimento!$A$2:$BV$1048576,9,0),"")</f>
        <v/>
      </c>
      <c r="I47" s="96" t="str">
        <f>IFERROR(VLOOKUP($E47,Preenchimento!$A$2:$BV$1048576,10,0),"")</f>
        <v/>
      </c>
      <c r="J47" s="96" t="str">
        <f>IFERROR(VLOOKUP($E47,Preenchimento!$A$2:$BV$1048576,12,0),"")</f>
        <v/>
      </c>
      <c r="K47" s="96" t="str">
        <f>IFERROR(VLOOKUP($E47,Preenchimento!$A$2:$BV$1048576,6,0),"")</f>
        <v/>
      </c>
      <c r="L47" s="96" t="str">
        <f>IF(IFERROR(VLOOKUP($E47,Preenchimento!$A$2:$BV$1048576,53,0),"")=0,"",IFERROR(VLOOKUP($E47,Preenchimento!$A$2:$BV$1048576,53,0),""))</f>
        <v/>
      </c>
      <c r="M47" s="96" t="str">
        <f>IFERROR(VLOOKUP($E47,Preenchimento!$A$2:$BV$1048576,74,0),"")</f>
        <v/>
      </c>
    </row>
    <row r="48" spans="1:13" x14ac:dyDescent="0.2">
      <c r="A48" s="96">
        <f>Sitio!$E$3</f>
        <v>0</v>
      </c>
      <c r="B48" s="96" t="str">
        <f>IFERROR(VLOOKUP($E48,Preenchimento!$A$2:$BV$1048576,2,0),"")</f>
        <v/>
      </c>
      <c r="C48" s="96" t="str">
        <f>IFERROR(VLOOKUP($E48,Preenchimento!$A$2:$BV$1048576,4,0),"")</f>
        <v/>
      </c>
      <c r="D48" s="96" t="str">
        <f>IFERROR(VLOOKUP($E48,Preenchimento!$A$2:$BV$1048576,3,0),"")</f>
        <v/>
      </c>
      <c r="E48" s="96">
        <v>46</v>
      </c>
      <c r="F48" s="96" t="str">
        <f>IFERROR(VLOOKUP($E48,Preenchimento!$A$2:$BV$1048576,7,0),"")</f>
        <v/>
      </c>
      <c r="G48" s="96" t="str">
        <f>IF(IFERROR(VLOOKUP($E48,Preenchimento!$A$2:$BV$1048576,8,0),"")=0,"",IFERROR(VLOOKUP($E48,Preenchimento!$A$2:$BV$1048576,8,0),""))</f>
        <v/>
      </c>
      <c r="H48" s="96" t="str">
        <f>IFERROR(VLOOKUP($E48,Preenchimento!$A$2:$BV$1048576,9,0),"")</f>
        <v/>
      </c>
      <c r="I48" s="96" t="str">
        <f>IFERROR(VLOOKUP($E48,Preenchimento!$A$2:$BV$1048576,10,0),"")</f>
        <v/>
      </c>
      <c r="J48" s="96" t="str">
        <f>IFERROR(VLOOKUP($E48,Preenchimento!$A$2:$BV$1048576,12,0),"")</f>
        <v/>
      </c>
      <c r="K48" s="96" t="str">
        <f>IFERROR(VLOOKUP($E48,Preenchimento!$A$2:$BV$1048576,6,0),"")</f>
        <v/>
      </c>
      <c r="L48" s="96" t="str">
        <f>IF(IFERROR(VLOOKUP($E48,Preenchimento!$A$2:$BV$1048576,53,0),"")=0,"",IFERROR(VLOOKUP($E48,Preenchimento!$A$2:$BV$1048576,53,0),""))</f>
        <v/>
      </c>
      <c r="M48" s="96" t="str">
        <f>IFERROR(VLOOKUP($E48,Preenchimento!$A$2:$BV$1048576,74,0),"")</f>
        <v/>
      </c>
    </row>
    <row r="49" spans="1:13" x14ac:dyDescent="0.2">
      <c r="A49" s="96">
        <f>Sitio!$E$3</f>
        <v>0</v>
      </c>
      <c r="B49" s="96" t="str">
        <f>IFERROR(VLOOKUP($E49,Preenchimento!$A$2:$BV$1048576,2,0),"")</f>
        <v/>
      </c>
      <c r="C49" s="96" t="str">
        <f>IFERROR(VLOOKUP($E49,Preenchimento!$A$2:$BV$1048576,4,0),"")</f>
        <v/>
      </c>
      <c r="D49" s="96" t="str">
        <f>IFERROR(VLOOKUP($E49,Preenchimento!$A$2:$BV$1048576,3,0),"")</f>
        <v/>
      </c>
      <c r="E49" s="96">
        <v>47</v>
      </c>
      <c r="F49" s="96" t="str">
        <f>IFERROR(VLOOKUP($E49,Preenchimento!$A$2:$BV$1048576,7,0),"")</f>
        <v/>
      </c>
      <c r="G49" s="96" t="str">
        <f>IF(IFERROR(VLOOKUP($E49,Preenchimento!$A$2:$BV$1048576,8,0),"")=0,"",IFERROR(VLOOKUP($E49,Preenchimento!$A$2:$BV$1048576,8,0),""))</f>
        <v/>
      </c>
      <c r="H49" s="96" t="str">
        <f>IFERROR(VLOOKUP($E49,Preenchimento!$A$2:$BV$1048576,9,0),"")</f>
        <v/>
      </c>
      <c r="I49" s="96" t="str">
        <f>IFERROR(VLOOKUP($E49,Preenchimento!$A$2:$BV$1048576,10,0),"")</f>
        <v/>
      </c>
      <c r="J49" s="96" t="str">
        <f>IFERROR(VLOOKUP($E49,Preenchimento!$A$2:$BV$1048576,12,0),"")</f>
        <v/>
      </c>
      <c r="K49" s="96" t="str">
        <f>IFERROR(VLOOKUP($E49,Preenchimento!$A$2:$BV$1048576,6,0),"")</f>
        <v/>
      </c>
      <c r="L49" s="96" t="str">
        <f>IF(IFERROR(VLOOKUP($E49,Preenchimento!$A$2:$BV$1048576,53,0),"")=0,"",IFERROR(VLOOKUP($E49,Preenchimento!$A$2:$BV$1048576,53,0),""))</f>
        <v/>
      </c>
      <c r="M49" s="96" t="str">
        <f>IFERROR(VLOOKUP($E49,Preenchimento!$A$2:$BV$1048576,74,0),"")</f>
        <v/>
      </c>
    </row>
    <row r="50" spans="1:13" x14ac:dyDescent="0.2">
      <c r="A50" s="96">
        <f>Sitio!$E$3</f>
        <v>0</v>
      </c>
      <c r="B50" s="96" t="str">
        <f>IFERROR(VLOOKUP($E50,Preenchimento!$A$2:$BV$1048576,2,0),"")</f>
        <v/>
      </c>
      <c r="C50" s="96" t="str">
        <f>IFERROR(VLOOKUP($E50,Preenchimento!$A$2:$BV$1048576,4,0),"")</f>
        <v/>
      </c>
      <c r="D50" s="96" t="str">
        <f>IFERROR(VLOOKUP($E50,Preenchimento!$A$2:$BV$1048576,3,0),"")</f>
        <v/>
      </c>
      <c r="E50" s="96">
        <v>48</v>
      </c>
      <c r="F50" s="96" t="str">
        <f>IFERROR(VLOOKUP($E50,Preenchimento!$A$2:$BV$1048576,7,0),"")</f>
        <v/>
      </c>
      <c r="G50" s="96" t="str">
        <f>IF(IFERROR(VLOOKUP($E50,Preenchimento!$A$2:$BV$1048576,8,0),"")=0,"",IFERROR(VLOOKUP($E50,Preenchimento!$A$2:$BV$1048576,8,0),""))</f>
        <v/>
      </c>
      <c r="H50" s="96" t="str">
        <f>IFERROR(VLOOKUP($E50,Preenchimento!$A$2:$BV$1048576,9,0),"")</f>
        <v/>
      </c>
      <c r="I50" s="96" t="str">
        <f>IFERROR(VLOOKUP($E50,Preenchimento!$A$2:$BV$1048576,10,0),"")</f>
        <v/>
      </c>
      <c r="J50" s="96" t="str">
        <f>IFERROR(VLOOKUP($E50,Preenchimento!$A$2:$BV$1048576,12,0),"")</f>
        <v/>
      </c>
      <c r="K50" s="96" t="str">
        <f>IFERROR(VLOOKUP($E50,Preenchimento!$A$2:$BV$1048576,6,0),"")</f>
        <v/>
      </c>
      <c r="L50" s="96" t="str">
        <f>IF(IFERROR(VLOOKUP($E50,Preenchimento!$A$2:$BV$1048576,53,0),"")=0,"",IFERROR(VLOOKUP($E50,Preenchimento!$A$2:$BV$1048576,53,0),""))</f>
        <v/>
      </c>
      <c r="M50" s="96" t="str">
        <f>IFERROR(VLOOKUP($E50,Preenchimento!$A$2:$BV$1048576,74,0),"")</f>
        <v/>
      </c>
    </row>
    <row r="51" spans="1:13" x14ac:dyDescent="0.2">
      <c r="A51" s="96">
        <f>Sitio!$E$3</f>
        <v>0</v>
      </c>
      <c r="B51" s="96" t="str">
        <f>IFERROR(VLOOKUP($E51,Preenchimento!$A$2:$BV$1048576,2,0),"")</f>
        <v/>
      </c>
      <c r="C51" s="96" t="str">
        <f>IFERROR(VLOOKUP($E51,Preenchimento!$A$2:$BV$1048576,4,0),"")</f>
        <v/>
      </c>
      <c r="D51" s="96" t="str">
        <f>IFERROR(VLOOKUP($E51,Preenchimento!$A$2:$BV$1048576,3,0),"")</f>
        <v/>
      </c>
      <c r="E51" s="96">
        <v>49</v>
      </c>
      <c r="F51" s="96" t="str">
        <f>IFERROR(VLOOKUP($E51,Preenchimento!$A$2:$BV$1048576,7,0),"")</f>
        <v/>
      </c>
      <c r="G51" s="96" t="str">
        <f>IF(IFERROR(VLOOKUP($E51,Preenchimento!$A$2:$BV$1048576,8,0),"")=0,"",IFERROR(VLOOKUP($E51,Preenchimento!$A$2:$BV$1048576,8,0),""))</f>
        <v/>
      </c>
      <c r="H51" s="96" t="str">
        <f>IFERROR(VLOOKUP($E51,Preenchimento!$A$2:$BV$1048576,9,0),"")</f>
        <v/>
      </c>
      <c r="I51" s="96" t="str">
        <f>IFERROR(VLOOKUP($E51,Preenchimento!$A$2:$BV$1048576,10,0),"")</f>
        <v/>
      </c>
      <c r="J51" s="96" t="str">
        <f>IFERROR(VLOOKUP($E51,Preenchimento!$A$2:$BV$1048576,12,0),"")</f>
        <v/>
      </c>
      <c r="K51" s="96" t="str">
        <f>IFERROR(VLOOKUP($E51,Preenchimento!$A$2:$BV$1048576,6,0),"")</f>
        <v/>
      </c>
      <c r="L51" s="96" t="str">
        <f>IF(IFERROR(VLOOKUP($E51,Preenchimento!$A$2:$BV$1048576,53,0),"")=0,"",IFERROR(VLOOKUP($E51,Preenchimento!$A$2:$BV$1048576,53,0),""))</f>
        <v/>
      </c>
      <c r="M51" s="96" t="str">
        <f>IFERROR(VLOOKUP($E51,Preenchimento!$A$2:$BV$1048576,74,0),"")</f>
        <v/>
      </c>
    </row>
    <row r="52" spans="1:13" x14ac:dyDescent="0.2">
      <c r="A52" s="96">
        <f>Sitio!$E$3</f>
        <v>0</v>
      </c>
      <c r="B52" s="96" t="str">
        <f>IFERROR(VLOOKUP($E52,Preenchimento!$A$2:$BV$1048576,2,0),"")</f>
        <v/>
      </c>
      <c r="C52" s="96" t="str">
        <f>IFERROR(VLOOKUP($E52,Preenchimento!$A$2:$BV$1048576,4,0),"")</f>
        <v/>
      </c>
      <c r="D52" s="96" t="str">
        <f>IFERROR(VLOOKUP($E52,Preenchimento!$A$2:$BV$1048576,3,0),"")</f>
        <v/>
      </c>
      <c r="E52" s="96">
        <v>50</v>
      </c>
      <c r="F52" s="96" t="str">
        <f>IFERROR(VLOOKUP($E52,Preenchimento!$A$2:$BV$1048576,7,0),"")</f>
        <v/>
      </c>
      <c r="G52" s="96" t="str">
        <f>IF(IFERROR(VLOOKUP($E52,Preenchimento!$A$2:$BV$1048576,8,0),"")=0,"",IFERROR(VLOOKUP($E52,Preenchimento!$A$2:$BV$1048576,8,0),""))</f>
        <v/>
      </c>
      <c r="H52" s="96" t="str">
        <f>IFERROR(VLOOKUP($E52,Preenchimento!$A$2:$BV$1048576,9,0),"")</f>
        <v/>
      </c>
      <c r="I52" s="96" t="str">
        <f>IFERROR(VLOOKUP($E52,Preenchimento!$A$2:$BV$1048576,10,0),"")</f>
        <v/>
      </c>
      <c r="J52" s="96" t="str">
        <f>IFERROR(VLOOKUP($E52,Preenchimento!$A$2:$BV$1048576,12,0),"")</f>
        <v/>
      </c>
      <c r="K52" s="96" t="str">
        <f>IFERROR(VLOOKUP($E52,Preenchimento!$A$2:$BV$1048576,6,0),"")</f>
        <v/>
      </c>
      <c r="L52" s="96" t="str">
        <f>IF(IFERROR(VLOOKUP($E52,Preenchimento!$A$2:$BV$1048576,53,0),"")=0,"",IFERROR(VLOOKUP($E52,Preenchimento!$A$2:$BV$1048576,53,0),""))</f>
        <v/>
      </c>
      <c r="M52" s="96" t="str">
        <f>IFERROR(VLOOKUP($E52,Preenchimento!$A$2:$BV$1048576,74,0),"")</f>
        <v/>
      </c>
    </row>
    <row r="53" spans="1:13" x14ac:dyDescent="0.2">
      <c r="A53" s="96">
        <f>Sitio!$E$3</f>
        <v>0</v>
      </c>
      <c r="B53" s="96" t="str">
        <f>IFERROR(VLOOKUP($E53,Preenchimento!$A$2:$BV$1048576,2,0),"")</f>
        <v/>
      </c>
      <c r="C53" s="96" t="str">
        <f>IFERROR(VLOOKUP($E53,Preenchimento!$A$2:$BV$1048576,4,0),"")</f>
        <v/>
      </c>
      <c r="D53" s="96" t="str">
        <f>IFERROR(VLOOKUP($E53,Preenchimento!$A$2:$BV$1048576,3,0),"")</f>
        <v/>
      </c>
      <c r="E53" s="96">
        <v>51</v>
      </c>
      <c r="F53" s="96" t="str">
        <f>IFERROR(VLOOKUP($E53,Preenchimento!$A$2:$BV$1048576,7,0),"")</f>
        <v/>
      </c>
      <c r="G53" s="96" t="str">
        <f>IF(IFERROR(VLOOKUP($E53,Preenchimento!$A$2:$BV$1048576,8,0),"")=0,"",IFERROR(VLOOKUP($E53,Preenchimento!$A$2:$BV$1048576,8,0),""))</f>
        <v/>
      </c>
      <c r="H53" s="96" t="str">
        <f>IFERROR(VLOOKUP($E53,Preenchimento!$A$2:$BV$1048576,9,0),"")</f>
        <v/>
      </c>
      <c r="I53" s="96" t="str">
        <f>IFERROR(VLOOKUP($E53,Preenchimento!$A$2:$BV$1048576,10,0),"")</f>
        <v/>
      </c>
      <c r="J53" s="96" t="str">
        <f>IFERROR(VLOOKUP($E53,Preenchimento!$A$2:$BV$1048576,12,0),"")</f>
        <v/>
      </c>
      <c r="K53" s="96" t="str">
        <f>IFERROR(VLOOKUP($E53,Preenchimento!$A$2:$BV$1048576,6,0),"")</f>
        <v/>
      </c>
      <c r="L53" s="96" t="str">
        <f>IF(IFERROR(VLOOKUP($E53,Preenchimento!$A$2:$BV$1048576,53,0),"")=0,"",IFERROR(VLOOKUP($E53,Preenchimento!$A$2:$BV$1048576,53,0),""))</f>
        <v/>
      </c>
      <c r="M53" s="96" t="str">
        <f>IFERROR(VLOOKUP($E53,Preenchimento!$A$2:$BV$1048576,74,0),"")</f>
        <v/>
      </c>
    </row>
    <row r="54" spans="1:13" x14ac:dyDescent="0.2">
      <c r="A54" s="96">
        <f>Sitio!$E$3</f>
        <v>0</v>
      </c>
      <c r="B54" s="96" t="str">
        <f>IFERROR(VLOOKUP($E54,Preenchimento!$A$2:$BV$1048576,2,0),"")</f>
        <v/>
      </c>
      <c r="C54" s="96" t="str">
        <f>IFERROR(VLOOKUP($E54,Preenchimento!$A$2:$BV$1048576,4,0),"")</f>
        <v/>
      </c>
      <c r="D54" s="96" t="str">
        <f>IFERROR(VLOOKUP($E54,Preenchimento!$A$2:$BV$1048576,3,0),"")</f>
        <v/>
      </c>
      <c r="E54" s="96">
        <v>52</v>
      </c>
      <c r="F54" s="96" t="str">
        <f>IFERROR(VLOOKUP($E54,Preenchimento!$A$2:$BV$1048576,7,0),"")</f>
        <v/>
      </c>
      <c r="G54" s="96" t="str">
        <f>IF(IFERROR(VLOOKUP($E54,Preenchimento!$A$2:$BV$1048576,8,0),"")=0,"",IFERROR(VLOOKUP($E54,Preenchimento!$A$2:$BV$1048576,8,0),""))</f>
        <v/>
      </c>
      <c r="H54" s="96" t="str">
        <f>IFERROR(VLOOKUP($E54,Preenchimento!$A$2:$BV$1048576,9,0),"")</f>
        <v/>
      </c>
      <c r="I54" s="96" t="str">
        <f>IFERROR(VLOOKUP($E54,Preenchimento!$A$2:$BV$1048576,10,0),"")</f>
        <v/>
      </c>
      <c r="J54" s="96" t="str">
        <f>IFERROR(VLOOKUP($E54,Preenchimento!$A$2:$BV$1048576,12,0),"")</f>
        <v/>
      </c>
      <c r="K54" s="96" t="str">
        <f>IFERROR(VLOOKUP($E54,Preenchimento!$A$2:$BV$1048576,6,0),"")</f>
        <v/>
      </c>
      <c r="L54" s="96" t="str">
        <f>IF(IFERROR(VLOOKUP($E54,Preenchimento!$A$2:$BV$1048576,53,0),"")=0,"",IFERROR(VLOOKUP($E54,Preenchimento!$A$2:$BV$1048576,53,0),""))</f>
        <v/>
      </c>
      <c r="M54" s="96" t="str">
        <f>IFERROR(VLOOKUP($E54,Preenchimento!$A$2:$BV$1048576,74,0),"")</f>
        <v/>
      </c>
    </row>
    <row r="55" spans="1:13" x14ac:dyDescent="0.2">
      <c r="A55" s="96">
        <f>Sitio!$E$3</f>
        <v>0</v>
      </c>
      <c r="B55" s="96" t="str">
        <f>IFERROR(VLOOKUP($E55,Preenchimento!$A$2:$BV$1048576,2,0),"")</f>
        <v/>
      </c>
      <c r="C55" s="96" t="str">
        <f>IFERROR(VLOOKUP($E55,Preenchimento!$A$2:$BV$1048576,4,0),"")</f>
        <v/>
      </c>
      <c r="D55" s="96" t="str">
        <f>IFERROR(VLOOKUP($E55,Preenchimento!$A$2:$BV$1048576,3,0),"")</f>
        <v/>
      </c>
      <c r="E55" s="96">
        <v>53</v>
      </c>
      <c r="F55" s="96" t="str">
        <f>IFERROR(VLOOKUP($E55,Preenchimento!$A$2:$BV$1048576,7,0),"")</f>
        <v/>
      </c>
      <c r="G55" s="96" t="str">
        <f>IF(IFERROR(VLOOKUP($E55,Preenchimento!$A$2:$BV$1048576,8,0),"")=0,"",IFERROR(VLOOKUP($E55,Preenchimento!$A$2:$BV$1048576,8,0),""))</f>
        <v/>
      </c>
      <c r="H55" s="96" t="str">
        <f>IFERROR(VLOOKUP($E55,Preenchimento!$A$2:$BV$1048576,9,0),"")</f>
        <v/>
      </c>
      <c r="I55" s="96" t="str">
        <f>IFERROR(VLOOKUP($E55,Preenchimento!$A$2:$BV$1048576,10,0),"")</f>
        <v/>
      </c>
      <c r="J55" s="96" t="str">
        <f>IFERROR(VLOOKUP($E55,Preenchimento!$A$2:$BV$1048576,12,0),"")</f>
        <v/>
      </c>
      <c r="K55" s="96" t="str">
        <f>IFERROR(VLOOKUP($E55,Preenchimento!$A$2:$BV$1048576,6,0),"")</f>
        <v/>
      </c>
      <c r="L55" s="96" t="str">
        <f>IF(IFERROR(VLOOKUP($E55,Preenchimento!$A$2:$BV$1048576,53,0),"")=0,"",IFERROR(VLOOKUP($E55,Preenchimento!$A$2:$BV$1048576,53,0),""))</f>
        <v/>
      </c>
      <c r="M55" s="96" t="str">
        <f>IFERROR(VLOOKUP($E55,Preenchimento!$A$2:$BV$1048576,74,0),"")</f>
        <v/>
      </c>
    </row>
    <row r="56" spans="1:13" x14ac:dyDescent="0.2">
      <c r="A56" s="96">
        <f>Sitio!$E$3</f>
        <v>0</v>
      </c>
      <c r="B56" s="96" t="str">
        <f>IFERROR(VLOOKUP($E56,Preenchimento!$A$2:$BV$1048576,2,0),"")</f>
        <v/>
      </c>
      <c r="C56" s="96" t="str">
        <f>IFERROR(VLOOKUP($E56,Preenchimento!$A$2:$BV$1048576,4,0),"")</f>
        <v/>
      </c>
      <c r="D56" s="96" t="str">
        <f>IFERROR(VLOOKUP($E56,Preenchimento!$A$2:$BV$1048576,3,0),"")</f>
        <v/>
      </c>
      <c r="E56" s="96">
        <v>54</v>
      </c>
      <c r="F56" s="96" t="str">
        <f>IFERROR(VLOOKUP($E56,Preenchimento!$A$2:$BV$1048576,7,0),"")</f>
        <v/>
      </c>
      <c r="G56" s="96" t="str">
        <f>IF(IFERROR(VLOOKUP($E56,Preenchimento!$A$2:$BV$1048576,8,0),"")=0,"",IFERROR(VLOOKUP($E56,Preenchimento!$A$2:$BV$1048576,8,0),""))</f>
        <v/>
      </c>
      <c r="H56" s="96" t="str">
        <f>IFERROR(VLOOKUP($E56,Preenchimento!$A$2:$BV$1048576,9,0),"")</f>
        <v/>
      </c>
      <c r="I56" s="96" t="str">
        <f>IFERROR(VLOOKUP($E56,Preenchimento!$A$2:$BV$1048576,10,0),"")</f>
        <v/>
      </c>
      <c r="J56" s="96" t="str">
        <f>IFERROR(VLOOKUP($E56,Preenchimento!$A$2:$BV$1048576,12,0),"")</f>
        <v/>
      </c>
      <c r="K56" s="96" t="str">
        <f>IFERROR(VLOOKUP($E56,Preenchimento!$A$2:$BV$1048576,6,0),"")</f>
        <v/>
      </c>
      <c r="L56" s="96" t="str">
        <f>IF(IFERROR(VLOOKUP($E56,Preenchimento!$A$2:$BV$1048576,53,0),"")=0,"",IFERROR(VLOOKUP($E56,Preenchimento!$A$2:$BV$1048576,53,0),""))</f>
        <v/>
      </c>
      <c r="M56" s="96" t="str">
        <f>IFERROR(VLOOKUP($E56,Preenchimento!$A$2:$BV$1048576,74,0),"")</f>
        <v/>
      </c>
    </row>
    <row r="57" spans="1:13" x14ac:dyDescent="0.2">
      <c r="A57" s="96">
        <f>Sitio!$E$3</f>
        <v>0</v>
      </c>
      <c r="B57" s="96" t="str">
        <f>IFERROR(VLOOKUP($E57,Preenchimento!$A$2:$BV$1048576,2,0),"")</f>
        <v/>
      </c>
      <c r="C57" s="96" t="str">
        <f>IFERROR(VLOOKUP($E57,Preenchimento!$A$2:$BV$1048576,4,0),"")</f>
        <v/>
      </c>
      <c r="D57" s="96" t="str">
        <f>IFERROR(VLOOKUP($E57,Preenchimento!$A$2:$BV$1048576,3,0),"")</f>
        <v/>
      </c>
      <c r="E57" s="96">
        <v>55</v>
      </c>
      <c r="F57" s="96" t="str">
        <f>IFERROR(VLOOKUP($E57,Preenchimento!$A$2:$BV$1048576,7,0),"")</f>
        <v/>
      </c>
      <c r="G57" s="96" t="str">
        <f>IF(IFERROR(VLOOKUP($E57,Preenchimento!$A$2:$BV$1048576,8,0),"")=0,"",IFERROR(VLOOKUP($E57,Preenchimento!$A$2:$BV$1048576,8,0),""))</f>
        <v/>
      </c>
      <c r="H57" s="96" t="str">
        <f>IFERROR(VLOOKUP($E57,Preenchimento!$A$2:$BV$1048576,9,0),"")</f>
        <v/>
      </c>
      <c r="I57" s="96" t="str">
        <f>IFERROR(VLOOKUP($E57,Preenchimento!$A$2:$BV$1048576,10,0),"")</f>
        <v/>
      </c>
      <c r="J57" s="96" t="str">
        <f>IFERROR(VLOOKUP($E57,Preenchimento!$A$2:$BV$1048576,12,0),"")</f>
        <v/>
      </c>
      <c r="K57" s="96" t="str">
        <f>IFERROR(VLOOKUP($E57,Preenchimento!$A$2:$BV$1048576,6,0),"")</f>
        <v/>
      </c>
      <c r="L57" s="96" t="str">
        <f>IF(IFERROR(VLOOKUP($E57,Preenchimento!$A$2:$BV$1048576,53,0),"")=0,"",IFERROR(VLOOKUP($E57,Preenchimento!$A$2:$BV$1048576,53,0),""))</f>
        <v/>
      </c>
      <c r="M57" s="96" t="str">
        <f>IFERROR(VLOOKUP($E57,Preenchimento!$A$2:$BV$1048576,74,0),"")</f>
        <v/>
      </c>
    </row>
    <row r="58" spans="1:13" x14ac:dyDescent="0.2">
      <c r="A58" s="96">
        <f>Sitio!$E$3</f>
        <v>0</v>
      </c>
      <c r="B58" s="96" t="str">
        <f>IFERROR(VLOOKUP($E58,Preenchimento!$A$2:$BV$1048576,2,0),"")</f>
        <v/>
      </c>
      <c r="C58" s="96" t="str">
        <f>IFERROR(VLOOKUP($E58,Preenchimento!$A$2:$BV$1048576,4,0),"")</f>
        <v/>
      </c>
      <c r="D58" s="96" t="str">
        <f>IFERROR(VLOOKUP($E58,Preenchimento!$A$2:$BV$1048576,3,0),"")</f>
        <v/>
      </c>
      <c r="E58" s="96">
        <v>56</v>
      </c>
      <c r="F58" s="96" t="str">
        <f>IFERROR(VLOOKUP($E58,Preenchimento!$A$2:$BV$1048576,7,0),"")</f>
        <v/>
      </c>
      <c r="G58" s="96" t="str">
        <f>IF(IFERROR(VLOOKUP($E58,Preenchimento!$A$2:$BV$1048576,8,0),"")=0,"",IFERROR(VLOOKUP($E58,Preenchimento!$A$2:$BV$1048576,8,0),""))</f>
        <v/>
      </c>
      <c r="H58" s="96" t="str">
        <f>IFERROR(VLOOKUP($E58,Preenchimento!$A$2:$BV$1048576,9,0),"")</f>
        <v/>
      </c>
      <c r="I58" s="96" t="str">
        <f>IFERROR(VLOOKUP($E58,Preenchimento!$A$2:$BV$1048576,10,0),"")</f>
        <v/>
      </c>
      <c r="J58" s="96" t="str">
        <f>IFERROR(VLOOKUP($E58,Preenchimento!$A$2:$BV$1048576,12,0),"")</f>
        <v/>
      </c>
      <c r="K58" s="96" t="str">
        <f>IFERROR(VLOOKUP($E58,Preenchimento!$A$2:$BV$1048576,6,0),"")</f>
        <v/>
      </c>
      <c r="L58" s="96" t="str">
        <f>IF(IFERROR(VLOOKUP($E58,Preenchimento!$A$2:$BV$1048576,53,0),"")=0,"",IFERROR(VLOOKUP($E58,Preenchimento!$A$2:$BV$1048576,53,0),""))</f>
        <v/>
      </c>
      <c r="M58" s="96" t="str">
        <f>IFERROR(VLOOKUP($E58,Preenchimento!$A$2:$BV$1048576,74,0),"")</f>
        <v/>
      </c>
    </row>
    <row r="59" spans="1:13" x14ac:dyDescent="0.2">
      <c r="A59" s="96">
        <f>Sitio!$E$3</f>
        <v>0</v>
      </c>
      <c r="B59" s="96" t="str">
        <f>IFERROR(VLOOKUP($E59,Preenchimento!$A$2:$BV$1048576,2,0),"")</f>
        <v/>
      </c>
      <c r="C59" s="96" t="str">
        <f>IFERROR(VLOOKUP($E59,Preenchimento!$A$2:$BV$1048576,4,0),"")</f>
        <v/>
      </c>
      <c r="D59" s="96" t="str">
        <f>IFERROR(VLOOKUP($E59,Preenchimento!$A$2:$BV$1048576,3,0),"")</f>
        <v/>
      </c>
      <c r="E59" s="96">
        <v>57</v>
      </c>
      <c r="F59" s="96" t="str">
        <f>IFERROR(VLOOKUP($E59,Preenchimento!$A$2:$BV$1048576,7,0),"")</f>
        <v/>
      </c>
      <c r="G59" s="96" t="str">
        <f>IF(IFERROR(VLOOKUP($E59,Preenchimento!$A$2:$BV$1048576,8,0),"")=0,"",IFERROR(VLOOKUP($E59,Preenchimento!$A$2:$BV$1048576,8,0),""))</f>
        <v/>
      </c>
      <c r="H59" s="96" t="str">
        <f>IFERROR(VLOOKUP($E59,Preenchimento!$A$2:$BV$1048576,9,0),"")</f>
        <v/>
      </c>
      <c r="I59" s="96" t="str">
        <f>IFERROR(VLOOKUP($E59,Preenchimento!$A$2:$BV$1048576,10,0),"")</f>
        <v/>
      </c>
      <c r="J59" s="96" t="str">
        <f>IFERROR(VLOOKUP($E59,Preenchimento!$A$2:$BV$1048576,12,0),"")</f>
        <v/>
      </c>
      <c r="K59" s="96" t="str">
        <f>IFERROR(VLOOKUP($E59,Preenchimento!$A$2:$BV$1048576,6,0),"")</f>
        <v/>
      </c>
      <c r="L59" s="96" t="str">
        <f>IF(IFERROR(VLOOKUP($E59,Preenchimento!$A$2:$BV$1048576,53,0),"")=0,"",IFERROR(VLOOKUP($E59,Preenchimento!$A$2:$BV$1048576,53,0),""))</f>
        <v/>
      </c>
      <c r="M59" s="96" t="str">
        <f>IFERROR(VLOOKUP($E59,Preenchimento!$A$2:$BV$1048576,74,0),"")</f>
        <v/>
      </c>
    </row>
    <row r="60" spans="1:13" x14ac:dyDescent="0.2">
      <c r="A60" s="96">
        <f>Sitio!$E$3</f>
        <v>0</v>
      </c>
      <c r="B60" s="96" t="str">
        <f>IFERROR(VLOOKUP($E60,Preenchimento!$A$2:$BV$1048576,2,0),"")</f>
        <v/>
      </c>
      <c r="C60" s="96" t="str">
        <f>IFERROR(VLOOKUP($E60,Preenchimento!$A$2:$BV$1048576,4,0),"")</f>
        <v/>
      </c>
      <c r="D60" s="96" t="str">
        <f>IFERROR(VLOOKUP($E60,Preenchimento!$A$2:$BV$1048576,3,0),"")</f>
        <v/>
      </c>
      <c r="E60" s="96">
        <v>58</v>
      </c>
      <c r="F60" s="96" t="str">
        <f>IFERROR(VLOOKUP($E60,Preenchimento!$A$2:$BV$1048576,7,0),"")</f>
        <v/>
      </c>
      <c r="G60" s="96" t="str">
        <f>IF(IFERROR(VLOOKUP($E60,Preenchimento!$A$2:$BV$1048576,8,0),"")=0,"",IFERROR(VLOOKUP($E60,Preenchimento!$A$2:$BV$1048576,8,0),""))</f>
        <v/>
      </c>
      <c r="H60" s="96" t="str">
        <f>IFERROR(VLOOKUP($E60,Preenchimento!$A$2:$BV$1048576,9,0),"")</f>
        <v/>
      </c>
      <c r="I60" s="96" t="str">
        <f>IFERROR(VLOOKUP($E60,Preenchimento!$A$2:$BV$1048576,10,0),"")</f>
        <v/>
      </c>
      <c r="J60" s="96" t="str">
        <f>IFERROR(VLOOKUP($E60,Preenchimento!$A$2:$BV$1048576,12,0),"")</f>
        <v/>
      </c>
      <c r="K60" s="96" t="str">
        <f>IFERROR(VLOOKUP($E60,Preenchimento!$A$2:$BV$1048576,6,0),"")</f>
        <v/>
      </c>
      <c r="L60" s="96" t="str">
        <f>IF(IFERROR(VLOOKUP($E60,Preenchimento!$A$2:$BV$1048576,53,0),"")=0,"",IFERROR(VLOOKUP($E60,Preenchimento!$A$2:$BV$1048576,53,0),""))</f>
        <v/>
      </c>
      <c r="M60" s="96" t="str">
        <f>IFERROR(VLOOKUP($E60,Preenchimento!$A$2:$BV$1048576,74,0),"")</f>
        <v/>
      </c>
    </row>
    <row r="61" spans="1:13" x14ac:dyDescent="0.2">
      <c r="A61" s="96">
        <f>Sitio!$E$3</f>
        <v>0</v>
      </c>
      <c r="B61" s="96" t="str">
        <f>IFERROR(VLOOKUP($E61,Preenchimento!$A$2:$BV$1048576,2,0),"")</f>
        <v/>
      </c>
      <c r="C61" s="96" t="str">
        <f>IFERROR(VLOOKUP($E61,Preenchimento!$A$2:$BV$1048576,4,0),"")</f>
        <v/>
      </c>
      <c r="D61" s="96" t="str">
        <f>IFERROR(VLOOKUP($E61,Preenchimento!$A$2:$BV$1048576,3,0),"")</f>
        <v/>
      </c>
      <c r="E61" s="96">
        <v>59</v>
      </c>
      <c r="F61" s="96" t="str">
        <f>IFERROR(VLOOKUP($E61,Preenchimento!$A$2:$BV$1048576,7,0),"")</f>
        <v/>
      </c>
      <c r="G61" s="96" t="str">
        <f>IF(IFERROR(VLOOKUP($E61,Preenchimento!$A$2:$BV$1048576,8,0),"")=0,"",IFERROR(VLOOKUP($E61,Preenchimento!$A$2:$BV$1048576,8,0),""))</f>
        <v/>
      </c>
      <c r="H61" s="96" t="str">
        <f>IFERROR(VLOOKUP($E61,Preenchimento!$A$2:$BV$1048576,9,0),"")</f>
        <v/>
      </c>
      <c r="I61" s="96" t="str">
        <f>IFERROR(VLOOKUP($E61,Preenchimento!$A$2:$BV$1048576,10,0),"")</f>
        <v/>
      </c>
      <c r="J61" s="96" t="str">
        <f>IFERROR(VLOOKUP($E61,Preenchimento!$A$2:$BV$1048576,12,0),"")</f>
        <v/>
      </c>
      <c r="K61" s="96" t="str">
        <f>IFERROR(VLOOKUP($E61,Preenchimento!$A$2:$BV$1048576,6,0),"")</f>
        <v/>
      </c>
      <c r="L61" s="96" t="str">
        <f>IF(IFERROR(VLOOKUP($E61,Preenchimento!$A$2:$BV$1048576,53,0),"")=0,"",IFERROR(VLOOKUP($E61,Preenchimento!$A$2:$BV$1048576,53,0),""))</f>
        <v/>
      </c>
      <c r="M61" s="96" t="str">
        <f>IFERROR(VLOOKUP($E61,Preenchimento!$A$2:$BV$1048576,74,0),"")</f>
        <v/>
      </c>
    </row>
    <row r="62" spans="1:13" x14ac:dyDescent="0.2">
      <c r="A62" s="96">
        <f>Sitio!$E$3</f>
        <v>0</v>
      </c>
      <c r="B62" s="96" t="str">
        <f>IFERROR(VLOOKUP($E62,Preenchimento!$A$2:$BV$1048576,2,0),"")</f>
        <v/>
      </c>
      <c r="C62" s="96" t="str">
        <f>IFERROR(VLOOKUP($E62,Preenchimento!$A$2:$BV$1048576,4,0),"")</f>
        <v/>
      </c>
      <c r="D62" s="96" t="str">
        <f>IFERROR(VLOOKUP($E62,Preenchimento!$A$2:$BV$1048576,3,0),"")</f>
        <v/>
      </c>
      <c r="E62" s="96">
        <v>60</v>
      </c>
      <c r="F62" s="96" t="str">
        <f>IFERROR(VLOOKUP($E62,Preenchimento!$A$2:$BV$1048576,7,0),"")</f>
        <v/>
      </c>
      <c r="G62" s="96" t="str">
        <f>IF(IFERROR(VLOOKUP($E62,Preenchimento!$A$2:$BV$1048576,8,0),"")=0,"",IFERROR(VLOOKUP($E62,Preenchimento!$A$2:$BV$1048576,8,0),""))</f>
        <v/>
      </c>
      <c r="H62" s="96" t="str">
        <f>IFERROR(VLOOKUP($E62,Preenchimento!$A$2:$BV$1048576,9,0),"")</f>
        <v/>
      </c>
      <c r="I62" s="96" t="str">
        <f>IFERROR(VLOOKUP($E62,Preenchimento!$A$2:$BV$1048576,10,0),"")</f>
        <v/>
      </c>
      <c r="J62" s="96" t="str">
        <f>IFERROR(VLOOKUP($E62,Preenchimento!$A$2:$BV$1048576,12,0),"")</f>
        <v/>
      </c>
      <c r="K62" s="96" t="str">
        <f>IFERROR(VLOOKUP($E62,Preenchimento!$A$2:$BV$1048576,6,0),"")</f>
        <v/>
      </c>
      <c r="L62" s="96" t="str">
        <f>IF(IFERROR(VLOOKUP($E62,Preenchimento!$A$2:$BV$1048576,53,0),"")=0,"",IFERROR(VLOOKUP($E62,Preenchimento!$A$2:$BV$1048576,53,0),""))</f>
        <v/>
      </c>
      <c r="M62" s="96" t="str">
        <f>IFERROR(VLOOKUP($E62,Preenchimento!$A$2:$BV$1048576,74,0),"")</f>
        <v/>
      </c>
    </row>
    <row r="63" spans="1:13" x14ac:dyDescent="0.2">
      <c r="A63" s="96">
        <f>Sitio!$E$3</f>
        <v>0</v>
      </c>
      <c r="B63" s="96" t="str">
        <f>IFERROR(VLOOKUP($E63,Preenchimento!$A$2:$BV$1048576,2,0),"")</f>
        <v/>
      </c>
      <c r="C63" s="96" t="str">
        <f>IFERROR(VLOOKUP($E63,Preenchimento!$A$2:$BV$1048576,4,0),"")</f>
        <v/>
      </c>
      <c r="D63" s="96" t="str">
        <f>IFERROR(VLOOKUP($E63,Preenchimento!$A$2:$BV$1048576,3,0),"")</f>
        <v/>
      </c>
      <c r="E63" s="96">
        <v>61</v>
      </c>
      <c r="F63" s="96" t="str">
        <f>IFERROR(VLOOKUP($E63,Preenchimento!$A$2:$BV$1048576,7,0),"")</f>
        <v/>
      </c>
      <c r="G63" s="96" t="str">
        <f>IF(IFERROR(VLOOKUP($E63,Preenchimento!$A$2:$BV$1048576,8,0),"")=0,"",IFERROR(VLOOKUP($E63,Preenchimento!$A$2:$BV$1048576,8,0),""))</f>
        <v/>
      </c>
      <c r="H63" s="96" t="str">
        <f>IFERROR(VLOOKUP($E63,Preenchimento!$A$2:$BV$1048576,9,0),"")</f>
        <v/>
      </c>
      <c r="I63" s="96" t="str">
        <f>IFERROR(VLOOKUP($E63,Preenchimento!$A$2:$BV$1048576,10,0),"")</f>
        <v/>
      </c>
      <c r="J63" s="96" t="str">
        <f>IFERROR(VLOOKUP($E63,Preenchimento!$A$2:$BV$1048576,12,0),"")</f>
        <v/>
      </c>
      <c r="K63" s="96" t="str">
        <f>IFERROR(VLOOKUP($E63,Preenchimento!$A$2:$BV$1048576,6,0),"")</f>
        <v/>
      </c>
      <c r="L63" s="96" t="str">
        <f>IF(IFERROR(VLOOKUP($E63,Preenchimento!$A$2:$BV$1048576,53,0),"")=0,"",IFERROR(VLOOKUP($E63,Preenchimento!$A$2:$BV$1048576,53,0),""))</f>
        <v/>
      </c>
      <c r="M63" s="96" t="str">
        <f>IFERROR(VLOOKUP($E63,Preenchimento!$A$2:$BV$1048576,74,0),"")</f>
        <v/>
      </c>
    </row>
    <row r="64" spans="1:13" x14ac:dyDescent="0.2">
      <c r="A64" s="96">
        <f>Sitio!$E$3</f>
        <v>0</v>
      </c>
      <c r="B64" s="96" t="str">
        <f>IFERROR(VLOOKUP($E64,Preenchimento!$A$2:$BV$1048576,2,0),"")</f>
        <v/>
      </c>
      <c r="C64" s="96" t="str">
        <f>IFERROR(VLOOKUP($E64,Preenchimento!$A$2:$BV$1048576,4,0),"")</f>
        <v/>
      </c>
      <c r="D64" s="96" t="str">
        <f>IFERROR(VLOOKUP($E64,Preenchimento!$A$2:$BV$1048576,3,0),"")</f>
        <v/>
      </c>
      <c r="E64" s="96">
        <v>62</v>
      </c>
      <c r="F64" s="96" t="str">
        <f>IFERROR(VLOOKUP($E64,Preenchimento!$A$2:$BV$1048576,7,0),"")</f>
        <v/>
      </c>
      <c r="G64" s="96" t="str">
        <f>IF(IFERROR(VLOOKUP($E64,Preenchimento!$A$2:$BV$1048576,8,0),"")=0,"",IFERROR(VLOOKUP($E64,Preenchimento!$A$2:$BV$1048576,8,0),""))</f>
        <v/>
      </c>
      <c r="H64" s="96" t="str">
        <f>IFERROR(VLOOKUP($E64,Preenchimento!$A$2:$BV$1048576,9,0),"")</f>
        <v/>
      </c>
      <c r="I64" s="96" t="str">
        <f>IFERROR(VLOOKUP($E64,Preenchimento!$A$2:$BV$1048576,10,0),"")</f>
        <v/>
      </c>
      <c r="J64" s="96" t="str">
        <f>IFERROR(VLOOKUP($E64,Preenchimento!$A$2:$BV$1048576,12,0),"")</f>
        <v/>
      </c>
      <c r="K64" s="96" t="str">
        <f>IFERROR(VLOOKUP($E64,Preenchimento!$A$2:$BV$1048576,6,0),"")</f>
        <v/>
      </c>
      <c r="L64" s="96" t="str">
        <f>IF(IFERROR(VLOOKUP($E64,Preenchimento!$A$2:$BV$1048576,53,0),"")=0,"",IFERROR(VLOOKUP($E64,Preenchimento!$A$2:$BV$1048576,53,0),""))</f>
        <v/>
      </c>
      <c r="M64" s="96" t="str">
        <f>IFERROR(VLOOKUP($E64,Preenchimento!$A$2:$BV$1048576,74,0),"")</f>
        <v/>
      </c>
    </row>
    <row r="65" spans="1:13" x14ac:dyDescent="0.2">
      <c r="A65" s="96">
        <f>Sitio!$E$3</f>
        <v>0</v>
      </c>
      <c r="B65" s="96" t="str">
        <f>IFERROR(VLOOKUP($E65,Preenchimento!$A$2:$BV$1048576,2,0),"")</f>
        <v/>
      </c>
      <c r="C65" s="96" t="str">
        <f>IFERROR(VLOOKUP($E65,Preenchimento!$A$2:$BV$1048576,4,0),"")</f>
        <v/>
      </c>
      <c r="D65" s="96" t="str">
        <f>IFERROR(VLOOKUP($E65,Preenchimento!$A$2:$BV$1048576,3,0),"")</f>
        <v/>
      </c>
      <c r="E65" s="96">
        <v>63</v>
      </c>
      <c r="F65" s="96" t="str">
        <f>IFERROR(VLOOKUP($E65,Preenchimento!$A$2:$BV$1048576,7,0),"")</f>
        <v/>
      </c>
      <c r="G65" s="96" t="str">
        <f>IF(IFERROR(VLOOKUP($E65,Preenchimento!$A$2:$BV$1048576,8,0),"")=0,"",IFERROR(VLOOKUP($E65,Preenchimento!$A$2:$BV$1048576,8,0),""))</f>
        <v/>
      </c>
      <c r="H65" s="96" t="str">
        <f>IFERROR(VLOOKUP($E65,Preenchimento!$A$2:$BV$1048576,9,0),"")</f>
        <v/>
      </c>
      <c r="I65" s="96" t="str">
        <f>IFERROR(VLOOKUP($E65,Preenchimento!$A$2:$BV$1048576,10,0),"")</f>
        <v/>
      </c>
      <c r="J65" s="96" t="str">
        <f>IFERROR(VLOOKUP($E65,Preenchimento!$A$2:$BV$1048576,12,0),"")</f>
        <v/>
      </c>
      <c r="K65" s="96" t="str">
        <f>IFERROR(VLOOKUP($E65,Preenchimento!$A$2:$BV$1048576,6,0),"")</f>
        <v/>
      </c>
      <c r="L65" s="96" t="str">
        <f>IF(IFERROR(VLOOKUP($E65,Preenchimento!$A$2:$BV$1048576,53,0),"")=0,"",IFERROR(VLOOKUP($E65,Preenchimento!$A$2:$BV$1048576,53,0),""))</f>
        <v/>
      </c>
      <c r="M65" s="96" t="str">
        <f>IFERROR(VLOOKUP($E65,Preenchimento!$A$2:$BV$1048576,74,0),"")</f>
        <v/>
      </c>
    </row>
    <row r="66" spans="1:13" x14ac:dyDescent="0.2">
      <c r="A66" s="96">
        <f>Sitio!$E$3</f>
        <v>0</v>
      </c>
      <c r="B66" s="96" t="str">
        <f>IFERROR(VLOOKUP($E66,Preenchimento!$A$2:$BV$1048576,2,0),"")</f>
        <v/>
      </c>
      <c r="C66" s="96" t="str">
        <f>IFERROR(VLOOKUP($E66,Preenchimento!$A$2:$BV$1048576,4,0),"")</f>
        <v/>
      </c>
      <c r="D66" s="96" t="str">
        <f>IFERROR(VLOOKUP($E66,Preenchimento!$A$2:$BV$1048576,3,0),"")</f>
        <v/>
      </c>
      <c r="E66" s="96">
        <v>64</v>
      </c>
      <c r="F66" s="96" t="str">
        <f>IFERROR(VLOOKUP($E66,Preenchimento!$A$2:$BV$1048576,7,0),"")</f>
        <v/>
      </c>
      <c r="G66" s="96" t="str">
        <f>IF(IFERROR(VLOOKUP($E66,Preenchimento!$A$2:$BV$1048576,8,0),"")=0,"",IFERROR(VLOOKUP($E66,Preenchimento!$A$2:$BV$1048576,8,0),""))</f>
        <v/>
      </c>
      <c r="H66" s="96" t="str">
        <f>IFERROR(VLOOKUP($E66,Preenchimento!$A$2:$BV$1048576,9,0),"")</f>
        <v/>
      </c>
      <c r="I66" s="96" t="str">
        <f>IFERROR(VLOOKUP($E66,Preenchimento!$A$2:$BV$1048576,10,0),"")</f>
        <v/>
      </c>
      <c r="J66" s="96" t="str">
        <f>IFERROR(VLOOKUP($E66,Preenchimento!$A$2:$BV$1048576,12,0),"")</f>
        <v/>
      </c>
      <c r="K66" s="96" t="str">
        <f>IFERROR(VLOOKUP($E66,Preenchimento!$A$2:$BV$1048576,6,0),"")</f>
        <v/>
      </c>
      <c r="L66" s="96" t="str">
        <f>IF(IFERROR(VLOOKUP($E66,Preenchimento!$A$2:$BV$1048576,53,0),"")=0,"",IFERROR(VLOOKUP($E66,Preenchimento!$A$2:$BV$1048576,53,0),""))</f>
        <v/>
      </c>
      <c r="M66" s="96" t="str">
        <f>IFERROR(VLOOKUP($E66,Preenchimento!$A$2:$BV$1048576,74,0),"")</f>
        <v/>
      </c>
    </row>
    <row r="67" spans="1:13" x14ac:dyDescent="0.2">
      <c r="A67" s="96">
        <f>Sitio!$E$3</f>
        <v>0</v>
      </c>
      <c r="B67" s="96" t="str">
        <f>IFERROR(VLOOKUP($E67,Preenchimento!$A$2:$BV$1048576,2,0),"")</f>
        <v/>
      </c>
      <c r="C67" s="96" t="str">
        <f>IFERROR(VLOOKUP($E67,Preenchimento!$A$2:$BV$1048576,4,0),"")</f>
        <v/>
      </c>
      <c r="D67" s="96" t="str">
        <f>IFERROR(VLOOKUP($E67,Preenchimento!$A$2:$BV$1048576,3,0),"")</f>
        <v/>
      </c>
      <c r="E67" s="96">
        <v>65</v>
      </c>
      <c r="F67" s="96" t="str">
        <f>IFERROR(VLOOKUP($E67,Preenchimento!$A$2:$BV$1048576,7,0),"")</f>
        <v/>
      </c>
      <c r="G67" s="96" t="str">
        <f>IF(IFERROR(VLOOKUP($E67,Preenchimento!$A$2:$BV$1048576,8,0),"")=0,"",IFERROR(VLOOKUP($E67,Preenchimento!$A$2:$BV$1048576,8,0),""))</f>
        <v/>
      </c>
      <c r="H67" s="96" t="str">
        <f>IFERROR(VLOOKUP($E67,Preenchimento!$A$2:$BV$1048576,9,0),"")</f>
        <v/>
      </c>
      <c r="I67" s="96" t="str">
        <f>IFERROR(VLOOKUP($E67,Preenchimento!$A$2:$BV$1048576,10,0),"")</f>
        <v/>
      </c>
      <c r="J67" s="96" t="str">
        <f>IFERROR(VLOOKUP($E67,Preenchimento!$A$2:$BV$1048576,12,0),"")</f>
        <v/>
      </c>
      <c r="K67" s="96" t="str">
        <f>IFERROR(VLOOKUP($E67,Preenchimento!$A$2:$BV$1048576,6,0),"")</f>
        <v/>
      </c>
      <c r="L67" s="96" t="str">
        <f>IF(IFERROR(VLOOKUP($E67,Preenchimento!$A$2:$BV$1048576,53,0),"")=0,"",IFERROR(VLOOKUP($E67,Preenchimento!$A$2:$BV$1048576,53,0),""))</f>
        <v/>
      </c>
      <c r="M67" s="96" t="str">
        <f>IFERROR(VLOOKUP($E67,Preenchimento!$A$2:$BV$1048576,74,0),"")</f>
        <v/>
      </c>
    </row>
    <row r="68" spans="1:13" x14ac:dyDescent="0.2">
      <c r="A68" s="96">
        <f>Sitio!$E$3</f>
        <v>0</v>
      </c>
      <c r="B68" s="96" t="str">
        <f>IFERROR(VLOOKUP($E68,Preenchimento!$A$2:$BV$1048576,2,0),"")</f>
        <v/>
      </c>
      <c r="C68" s="96" t="str">
        <f>IFERROR(VLOOKUP($E68,Preenchimento!$A$2:$BV$1048576,4,0),"")</f>
        <v/>
      </c>
      <c r="D68" s="96" t="str">
        <f>IFERROR(VLOOKUP($E68,Preenchimento!$A$2:$BV$1048576,3,0),"")</f>
        <v/>
      </c>
      <c r="E68" s="96">
        <v>66</v>
      </c>
      <c r="F68" s="96" t="str">
        <f>IFERROR(VLOOKUP($E68,Preenchimento!$A$2:$BV$1048576,7,0),"")</f>
        <v/>
      </c>
      <c r="G68" s="96" t="str">
        <f>IF(IFERROR(VLOOKUP($E68,Preenchimento!$A$2:$BV$1048576,8,0),"")=0,"",IFERROR(VLOOKUP($E68,Preenchimento!$A$2:$BV$1048576,8,0),""))</f>
        <v/>
      </c>
      <c r="H68" s="96" t="str">
        <f>IFERROR(VLOOKUP($E68,Preenchimento!$A$2:$BV$1048576,9,0),"")</f>
        <v/>
      </c>
      <c r="I68" s="96" t="str">
        <f>IFERROR(VLOOKUP($E68,Preenchimento!$A$2:$BV$1048576,10,0),"")</f>
        <v/>
      </c>
      <c r="J68" s="96" t="str">
        <f>IFERROR(VLOOKUP($E68,Preenchimento!$A$2:$BV$1048576,12,0),"")</f>
        <v/>
      </c>
      <c r="K68" s="96" t="str">
        <f>IFERROR(VLOOKUP($E68,Preenchimento!$A$2:$BV$1048576,6,0),"")</f>
        <v/>
      </c>
      <c r="L68" s="96" t="str">
        <f>IF(IFERROR(VLOOKUP($E68,Preenchimento!$A$2:$BV$1048576,53,0),"")=0,"",IFERROR(VLOOKUP($E68,Preenchimento!$A$2:$BV$1048576,53,0),""))</f>
        <v/>
      </c>
      <c r="M68" s="96" t="str">
        <f>IFERROR(VLOOKUP($E68,Preenchimento!$A$2:$BV$1048576,74,0),"")</f>
        <v/>
      </c>
    </row>
    <row r="69" spans="1:13" x14ac:dyDescent="0.2">
      <c r="A69" s="96">
        <f>Sitio!$E$3</f>
        <v>0</v>
      </c>
      <c r="B69" s="96" t="str">
        <f>IFERROR(VLOOKUP($E69,Preenchimento!$A$2:$BV$1048576,2,0),"")</f>
        <v/>
      </c>
      <c r="C69" s="96" t="str">
        <f>IFERROR(VLOOKUP($E69,Preenchimento!$A$2:$BV$1048576,4,0),"")</f>
        <v/>
      </c>
      <c r="D69" s="96" t="str">
        <f>IFERROR(VLOOKUP($E69,Preenchimento!$A$2:$BV$1048576,3,0),"")</f>
        <v/>
      </c>
      <c r="E69" s="96">
        <v>67</v>
      </c>
      <c r="F69" s="96" t="str">
        <f>IFERROR(VLOOKUP($E69,Preenchimento!$A$2:$BV$1048576,7,0),"")</f>
        <v/>
      </c>
      <c r="G69" s="96" t="str">
        <f>IF(IFERROR(VLOOKUP($E69,Preenchimento!$A$2:$BV$1048576,8,0),"")=0,"",IFERROR(VLOOKUP($E69,Preenchimento!$A$2:$BV$1048576,8,0),""))</f>
        <v/>
      </c>
      <c r="H69" s="96" t="str">
        <f>IFERROR(VLOOKUP($E69,Preenchimento!$A$2:$BV$1048576,9,0),"")</f>
        <v/>
      </c>
      <c r="I69" s="96" t="str">
        <f>IFERROR(VLOOKUP($E69,Preenchimento!$A$2:$BV$1048576,10,0),"")</f>
        <v/>
      </c>
      <c r="J69" s="96" t="str">
        <f>IFERROR(VLOOKUP($E69,Preenchimento!$A$2:$BV$1048576,12,0),"")</f>
        <v/>
      </c>
      <c r="K69" s="96" t="str">
        <f>IFERROR(VLOOKUP($E69,Preenchimento!$A$2:$BV$1048576,6,0),"")</f>
        <v/>
      </c>
      <c r="L69" s="96" t="str">
        <f>IF(IFERROR(VLOOKUP($E69,Preenchimento!$A$2:$BV$1048576,53,0),"")=0,"",IFERROR(VLOOKUP($E69,Preenchimento!$A$2:$BV$1048576,53,0),""))</f>
        <v/>
      </c>
      <c r="M69" s="96" t="str">
        <f>IFERROR(VLOOKUP($E69,Preenchimento!$A$2:$BV$1048576,74,0),"")</f>
        <v/>
      </c>
    </row>
    <row r="70" spans="1:13" x14ac:dyDescent="0.2">
      <c r="A70" s="96">
        <f>Sitio!$E$3</f>
        <v>0</v>
      </c>
      <c r="B70" s="96" t="str">
        <f>IFERROR(VLOOKUP($E70,Preenchimento!$A$2:$BV$1048576,2,0),"")</f>
        <v/>
      </c>
      <c r="C70" s="96" t="str">
        <f>IFERROR(VLOOKUP($E70,Preenchimento!$A$2:$BV$1048576,4,0),"")</f>
        <v/>
      </c>
      <c r="D70" s="96" t="str">
        <f>IFERROR(VLOOKUP($E70,Preenchimento!$A$2:$BV$1048576,3,0),"")</f>
        <v/>
      </c>
      <c r="E70" s="96">
        <v>68</v>
      </c>
      <c r="F70" s="96" t="str">
        <f>IFERROR(VLOOKUP($E70,Preenchimento!$A$2:$BV$1048576,7,0),"")</f>
        <v/>
      </c>
      <c r="G70" s="96" t="str">
        <f>IF(IFERROR(VLOOKUP($E70,Preenchimento!$A$2:$BV$1048576,8,0),"")=0,"",IFERROR(VLOOKUP($E70,Preenchimento!$A$2:$BV$1048576,8,0),""))</f>
        <v/>
      </c>
      <c r="H70" s="96" t="str">
        <f>IFERROR(VLOOKUP($E70,Preenchimento!$A$2:$BV$1048576,9,0),"")</f>
        <v/>
      </c>
      <c r="I70" s="96" t="str">
        <f>IFERROR(VLOOKUP($E70,Preenchimento!$A$2:$BV$1048576,10,0),"")</f>
        <v/>
      </c>
      <c r="J70" s="96" t="str">
        <f>IFERROR(VLOOKUP($E70,Preenchimento!$A$2:$BV$1048576,12,0),"")</f>
        <v/>
      </c>
      <c r="K70" s="96" t="str">
        <f>IFERROR(VLOOKUP($E70,Preenchimento!$A$2:$BV$1048576,6,0),"")</f>
        <v/>
      </c>
      <c r="L70" s="96" t="str">
        <f>IF(IFERROR(VLOOKUP($E70,Preenchimento!$A$2:$BV$1048576,53,0),"")=0,"",IFERROR(VLOOKUP($E70,Preenchimento!$A$2:$BV$1048576,53,0),""))</f>
        <v/>
      </c>
      <c r="M70" s="96" t="str">
        <f>IFERROR(VLOOKUP($E70,Preenchimento!$A$2:$BV$1048576,74,0),"")</f>
        <v/>
      </c>
    </row>
    <row r="71" spans="1:13" x14ac:dyDescent="0.2">
      <c r="A71" s="96">
        <f>Sitio!$E$3</f>
        <v>0</v>
      </c>
      <c r="B71" s="96" t="str">
        <f>IFERROR(VLOOKUP($E71,Preenchimento!$A$2:$BV$1048576,2,0),"")</f>
        <v/>
      </c>
      <c r="C71" s="96" t="str">
        <f>IFERROR(VLOOKUP($E71,Preenchimento!$A$2:$BV$1048576,4,0),"")</f>
        <v/>
      </c>
      <c r="D71" s="96" t="str">
        <f>IFERROR(VLOOKUP($E71,Preenchimento!$A$2:$BV$1048576,3,0),"")</f>
        <v/>
      </c>
      <c r="E71" s="96">
        <v>69</v>
      </c>
      <c r="F71" s="96" t="str">
        <f>IFERROR(VLOOKUP($E71,Preenchimento!$A$2:$BV$1048576,7,0),"")</f>
        <v/>
      </c>
      <c r="G71" s="96" t="str">
        <f>IF(IFERROR(VLOOKUP($E71,Preenchimento!$A$2:$BV$1048576,8,0),"")=0,"",IFERROR(VLOOKUP($E71,Preenchimento!$A$2:$BV$1048576,8,0),""))</f>
        <v/>
      </c>
      <c r="H71" s="96" t="str">
        <f>IFERROR(VLOOKUP($E71,Preenchimento!$A$2:$BV$1048576,9,0),"")</f>
        <v/>
      </c>
      <c r="I71" s="96" t="str">
        <f>IFERROR(VLOOKUP($E71,Preenchimento!$A$2:$BV$1048576,10,0),"")</f>
        <v/>
      </c>
      <c r="J71" s="96" t="str">
        <f>IFERROR(VLOOKUP($E71,Preenchimento!$A$2:$BV$1048576,12,0),"")</f>
        <v/>
      </c>
      <c r="K71" s="96" t="str">
        <f>IFERROR(VLOOKUP($E71,Preenchimento!$A$2:$BV$1048576,6,0),"")</f>
        <v/>
      </c>
      <c r="L71" s="96" t="str">
        <f>IF(IFERROR(VLOOKUP($E71,Preenchimento!$A$2:$BV$1048576,53,0),"")=0,"",IFERROR(VLOOKUP($E71,Preenchimento!$A$2:$BV$1048576,53,0),""))</f>
        <v/>
      </c>
      <c r="M71" s="96" t="str">
        <f>IFERROR(VLOOKUP($E71,Preenchimento!$A$2:$BV$1048576,74,0),"")</f>
        <v/>
      </c>
    </row>
    <row r="72" spans="1:13" x14ac:dyDescent="0.2">
      <c r="A72" s="96">
        <f>Sitio!$E$3</f>
        <v>0</v>
      </c>
      <c r="B72" s="96" t="str">
        <f>IFERROR(VLOOKUP($E72,Preenchimento!$A$2:$BV$1048576,2,0),"")</f>
        <v/>
      </c>
      <c r="C72" s="96" t="str">
        <f>IFERROR(VLOOKUP($E72,Preenchimento!$A$2:$BV$1048576,4,0),"")</f>
        <v/>
      </c>
      <c r="D72" s="96" t="str">
        <f>IFERROR(VLOOKUP($E72,Preenchimento!$A$2:$BV$1048576,3,0),"")</f>
        <v/>
      </c>
      <c r="E72" s="96">
        <v>70</v>
      </c>
      <c r="F72" s="96" t="str">
        <f>IFERROR(VLOOKUP($E72,Preenchimento!$A$2:$BV$1048576,7,0),"")</f>
        <v/>
      </c>
      <c r="G72" s="96" t="str">
        <f>IF(IFERROR(VLOOKUP($E72,Preenchimento!$A$2:$BV$1048576,8,0),"")=0,"",IFERROR(VLOOKUP($E72,Preenchimento!$A$2:$BV$1048576,8,0),""))</f>
        <v/>
      </c>
      <c r="H72" s="96" t="str">
        <f>IFERROR(VLOOKUP($E72,Preenchimento!$A$2:$BV$1048576,9,0),"")</f>
        <v/>
      </c>
      <c r="I72" s="96" t="str">
        <f>IFERROR(VLOOKUP($E72,Preenchimento!$A$2:$BV$1048576,10,0),"")</f>
        <v/>
      </c>
      <c r="J72" s="96" t="str">
        <f>IFERROR(VLOOKUP($E72,Preenchimento!$A$2:$BV$1048576,12,0),"")</f>
        <v/>
      </c>
      <c r="K72" s="96" t="str">
        <f>IFERROR(VLOOKUP($E72,Preenchimento!$A$2:$BV$1048576,6,0),"")</f>
        <v/>
      </c>
      <c r="L72" s="96" t="str">
        <f>IF(IFERROR(VLOOKUP($E72,Preenchimento!$A$2:$BV$1048576,53,0),"")=0,"",IFERROR(VLOOKUP($E72,Preenchimento!$A$2:$BV$1048576,53,0),""))</f>
        <v/>
      </c>
      <c r="M72" s="96" t="str">
        <f>IFERROR(VLOOKUP($E72,Preenchimento!$A$2:$BV$1048576,74,0),"")</f>
        <v/>
      </c>
    </row>
    <row r="73" spans="1:13" x14ac:dyDescent="0.2">
      <c r="A73" s="96">
        <f>Sitio!$E$3</f>
        <v>0</v>
      </c>
      <c r="B73" s="96" t="str">
        <f>IFERROR(VLOOKUP($E73,Preenchimento!$A$2:$BV$1048576,2,0),"")</f>
        <v/>
      </c>
      <c r="C73" s="96" t="str">
        <f>IFERROR(VLOOKUP($E73,Preenchimento!$A$2:$BV$1048576,4,0),"")</f>
        <v/>
      </c>
      <c r="D73" s="96" t="str">
        <f>IFERROR(VLOOKUP($E73,Preenchimento!$A$2:$BV$1048576,3,0),"")</f>
        <v/>
      </c>
      <c r="E73" s="96">
        <v>71</v>
      </c>
      <c r="F73" s="96" t="str">
        <f>IFERROR(VLOOKUP($E73,Preenchimento!$A$2:$BV$1048576,7,0),"")</f>
        <v/>
      </c>
      <c r="G73" s="96" t="str">
        <f>IF(IFERROR(VLOOKUP($E73,Preenchimento!$A$2:$BV$1048576,8,0),"")=0,"",IFERROR(VLOOKUP($E73,Preenchimento!$A$2:$BV$1048576,8,0),""))</f>
        <v/>
      </c>
      <c r="H73" s="96" t="str">
        <f>IFERROR(VLOOKUP($E73,Preenchimento!$A$2:$BV$1048576,9,0),"")</f>
        <v/>
      </c>
      <c r="I73" s="96" t="str">
        <f>IFERROR(VLOOKUP($E73,Preenchimento!$A$2:$BV$1048576,10,0),"")</f>
        <v/>
      </c>
      <c r="J73" s="96" t="str">
        <f>IFERROR(VLOOKUP($E73,Preenchimento!$A$2:$BV$1048576,12,0),"")</f>
        <v/>
      </c>
      <c r="K73" s="96" t="str">
        <f>IFERROR(VLOOKUP($E73,Preenchimento!$A$2:$BV$1048576,6,0),"")</f>
        <v/>
      </c>
      <c r="L73" s="96" t="str">
        <f>IF(IFERROR(VLOOKUP($E73,Preenchimento!$A$2:$BV$1048576,53,0),"")=0,"",IFERROR(VLOOKUP($E73,Preenchimento!$A$2:$BV$1048576,53,0),""))</f>
        <v/>
      </c>
      <c r="M73" s="96" t="str">
        <f>IFERROR(VLOOKUP($E73,Preenchimento!$A$2:$BV$1048576,74,0),"")</f>
        <v/>
      </c>
    </row>
    <row r="74" spans="1:13" x14ac:dyDescent="0.2">
      <c r="A74" s="96">
        <f>Sitio!$E$3</f>
        <v>0</v>
      </c>
      <c r="B74" s="96" t="str">
        <f>IFERROR(VLOOKUP($E74,Preenchimento!$A$2:$BV$1048576,2,0),"")</f>
        <v/>
      </c>
      <c r="C74" s="96" t="str">
        <f>IFERROR(VLOOKUP($E74,Preenchimento!$A$2:$BV$1048576,4,0),"")</f>
        <v/>
      </c>
      <c r="D74" s="96" t="str">
        <f>IFERROR(VLOOKUP($E74,Preenchimento!$A$2:$BV$1048576,3,0),"")</f>
        <v/>
      </c>
      <c r="E74" s="96">
        <v>72</v>
      </c>
      <c r="F74" s="96" t="str">
        <f>IFERROR(VLOOKUP($E74,Preenchimento!$A$2:$BV$1048576,7,0),"")</f>
        <v/>
      </c>
      <c r="G74" s="96" t="str">
        <f>IF(IFERROR(VLOOKUP($E74,Preenchimento!$A$2:$BV$1048576,8,0),"")=0,"",IFERROR(VLOOKUP($E74,Preenchimento!$A$2:$BV$1048576,8,0),""))</f>
        <v/>
      </c>
      <c r="H74" s="96" t="str">
        <f>IFERROR(VLOOKUP($E74,Preenchimento!$A$2:$BV$1048576,9,0),"")</f>
        <v/>
      </c>
      <c r="I74" s="96" t="str">
        <f>IFERROR(VLOOKUP($E74,Preenchimento!$A$2:$BV$1048576,10,0),"")</f>
        <v/>
      </c>
      <c r="J74" s="96" t="str">
        <f>IFERROR(VLOOKUP($E74,Preenchimento!$A$2:$BV$1048576,12,0),"")</f>
        <v/>
      </c>
      <c r="K74" s="96" t="str">
        <f>IFERROR(VLOOKUP($E74,Preenchimento!$A$2:$BV$1048576,6,0),"")</f>
        <v/>
      </c>
      <c r="L74" s="96" t="str">
        <f>IF(IFERROR(VLOOKUP($E74,Preenchimento!$A$2:$BV$1048576,53,0),"")=0,"",IFERROR(VLOOKUP($E74,Preenchimento!$A$2:$BV$1048576,53,0),""))</f>
        <v/>
      </c>
      <c r="M74" s="96" t="str">
        <f>IFERROR(VLOOKUP($E74,Preenchimento!$A$2:$BV$1048576,74,0),"")</f>
        <v/>
      </c>
    </row>
    <row r="75" spans="1:13" x14ac:dyDescent="0.2">
      <c r="A75" s="96">
        <f>Sitio!$E$3</f>
        <v>0</v>
      </c>
      <c r="B75" s="96" t="str">
        <f>IFERROR(VLOOKUP($E75,Preenchimento!$A$2:$BV$1048576,2,0),"")</f>
        <v/>
      </c>
      <c r="C75" s="96" t="str">
        <f>IFERROR(VLOOKUP($E75,Preenchimento!$A$2:$BV$1048576,4,0),"")</f>
        <v/>
      </c>
      <c r="D75" s="96" t="str">
        <f>IFERROR(VLOOKUP($E75,Preenchimento!$A$2:$BV$1048576,3,0),"")</f>
        <v/>
      </c>
      <c r="E75" s="96">
        <v>73</v>
      </c>
      <c r="F75" s="96" t="str">
        <f>IFERROR(VLOOKUP($E75,Preenchimento!$A$2:$BV$1048576,7,0),"")</f>
        <v/>
      </c>
      <c r="G75" s="96" t="str">
        <f>IF(IFERROR(VLOOKUP($E75,Preenchimento!$A$2:$BV$1048576,8,0),"")=0,"",IFERROR(VLOOKUP($E75,Preenchimento!$A$2:$BV$1048576,8,0),""))</f>
        <v/>
      </c>
      <c r="H75" s="96" t="str">
        <f>IFERROR(VLOOKUP($E75,Preenchimento!$A$2:$BV$1048576,9,0),"")</f>
        <v/>
      </c>
      <c r="I75" s="96" t="str">
        <f>IFERROR(VLOOKUP($E75,Preenchimento!$A$2:$BV$1048576,10,0),"")</f>
        <v/>
      </c>
      <c r="J75" s="96" t="str">
        <f>IFERROR(VLOOKUP($E75,Preenchimento!$A$2:$BV$1048576,12,0),"")</f>
        <v/>
      </c>
      <c r="K75" s="96" t="str">
        <f>IFERROR(VLOOKUP($E75,Preenchimento!$A$2:$BV$1048576,6,0),"")</f>
        <v/>
      </c>
      <c r="L75" s="96" t="str">
        <f>IF(IFERROR(VLOOKUP($E75,Preenchimento!$A$2:$BV$1048576,53,0),"")=0,"",IFERROR(VLOOKUP($E75,Preenchimento!$A$2:$BV$1048576,53,0),""))</f>
        <v/>
      </c>
      <c r="M75" s="96" t="str">
        <f>IFERROR(VLOOKUP($E75,Preenchimento!$A$2:$BV$1048576,74,0),"")</f>
        <v/>
      </c>
    </row>
    <row r="76" spans="1:13" x14ac:dyDescent="0.2">
      <c r="A76" s="96">
        <f>Sitio!$E$3</f>
        <v>0</v>
      </c>
      <c r="B76" s="96" t="str">
        <f>IFERROR(VLOOKUP($E76,Preenchimento!$A$2:$BV$1048576,2,0),"")</f>
        <v/>
      </c>
      <c r="C76" s="96" t="str">
        <f>IFERROR(VLOOKUP($E76,Preenchimento!$A$2:$BV$1048576,4,0),"")</f>
        <v/>
      </c>
      <c r="D76" s="96" t="str">
        <f>IFERROR(VLOOKUP($E76,Preenchimento!$A$2:$BV$1048576,3,0),"")</f>
        <v/>
      </c>
      <c r="E76" s="96">
        <v>74</v>
      </c>
      <c r="F76" s="96" t="str">
        <f>IFERROR(VLOOKUP($E76,Preenchimento!$A$2:$BV$1048576,7,0),"")</f>
        <v/>
      </c>
      <c r="G76" s="96" t="str">
        <f>IF(IFERROR(VLOOKUP($E76,Preenchimento!$A$2:$BV$1048576,8,0),"")=0,"",IFERROR(VLOOKUP($E76,Preenchimento!$A$2:$BV$1048576,8,0),""))</f>
        <v/>
      </c>
      <c r="H76" s="96" t="str">
        <f>IFERROR(VLOOKUP($E76,Preenchimento!$A$2:$BV$1048576,9,0),"")</f>
        <v/>
      </c>
      <c r="I76" s="96" t="str">
        <f>IFERROR(VLOOKUP($E76,Preenchimento!$A$2:$BV$1048576,10,0),"")</f>
        <v/>
      </c>
      <c r="J76" s="96" t="str">
        <f>IFERROR(VLOOKUP($E76,Preenchimento!$A$2:$BV$1048576,12,0),"")</f>
        <v/>
      </c>
      <c r="K76" s="96" t="str">
        <f>IFERROR(VLOOKUP($E76,Preenchimento!$A$2:$BV$1048576,6,0),"")</f>
        <v/>
      </c>
      <c r="L76" s="96" t="str">
        <f>IF(IFERROR(VLOOKUP($E76,Preenchimento!$A$2:$BV$1048576,53,0),"")=0,"",IFERROR(VLOOKUP($E76,Preenchimento!$A$2:$BV$1048576,53,0),""))</f>
        <v/>
      </c>
      <c r="M76" s="96" t="str">
        <f>IFERROR(VLOOKUP($E76,Preenchimento!$A$2:$BV$1048576,74,0),"")</f>
        <v/>
      </c>
    </row>
    <row r="77" spans="1:13" x14ac:dyDescent="0.2">
      <c r="A77" s="96">
        <f>Sitio!$E$3</f>
        <v>0</v>
      </c>
      <c r="B77" s="96" t="str">
        <f>IFERROR(VLOOKUP($E77,Preenchimento!$A$2:$BV$1048576,2,0),"")</f>
        <v/>
      </c>
      <c r="C77" s="96" t="str">
        <f>IFERROR(VLOOKUP($E77,Preenchimento!$A$2:$BV$1048576,4,0),"")</f>
        <v/>
      </c>
      <c r="D77" s="96" t="str">
        <f>IFERROR(VLOOKUP($E77,Preenchimento!$A$2:$BV$1048576,3,0),"")</f>
        <v/>
      </c>
      <c r="E77" s="96">
        <v>75</v>
      </c>
      <c r="F77" s="96" t="str">
        <f>IFERROR(VLOOKUP($E77,Preenchimento!$A$2:$BV$1048576,7,0),"")</f>
        <v/>
      </c>
      <c r="G77" s="96" t="str">
        <f>IF(IFERROR(VLOOKUP($E77,Preenchimento!$A$2:$BV$1048576,8,0),"")=0,"",IFERROR(VLOOKUP($E77,Preenchimento!$A$2:$BV$1048576,8,0),""))</f>
        <v/>
      </c>
      <c r="H77" s="96" t="str">
        <f>IFERROR(VLOOKUP($E77,Preenchimento!$A$2:$BV$1048576,9,0),"")</f>
        <v/>
      </c>
      <c r="I77" s="96" t="str">
        <f>IFERROR(VLOOKUP($E77,Preenchimento!$A$2:$BV$1048576,10,0),"")</f>
        <v/>
      </c>
      <c r="J77" s="96" t="str">
        <f>IFERROR(VLOOKUP($E77,Preenchimento!$A$2:$BV$1048576,12,0),"")</f>
        <v/>
      </c>
      <c r="K77" s="96" t="str">
        <f>IFERROR(VLOOKUP($E77,Preenchimento!$A$2:$BV$1048576,6,0),"")</f>
        <v/>
      </c>
      <c r="L77" s="96" t="str">
        <f>IF(IFERROR(VLOOKUP($E77,Preenchimento!$A$2:$BV$1048576,53,0),"")=0,"",IFERROR(VLOOKUP($E77,Preenchimento!$A$2:$BV$1048576,53,0),""))</f>
        <v/>
      </c>
      <c r="M77" s="96" t="str">
        <f>IFERROR(VLOOKUP($E77,Preenchimento!$A$2:$BV$1048576,74,0),"")</f>
        <v/>
      </c>
    </row>
    <row r="78" spans="1:13" x14ac:dyDescent="0.2">
      <c r="A78" s="96">
        <f>Sitio!$E$3</f>
        <v>0</v>
      </c>
      <c r="B78" s="96" t="str">
        <f>IFERROR(VLOOKUP($E78,Preenchimento!$A$2:$BV$1048576,2,0),"")</f>
        <v/>
      </c>
      <c r="C78" s="96" t="str">
        <f>IFERROR(VLOOKUP($E78,Preenchimento!$A$2:$BV$1048576,4,0),"")</f>
        <v/>
      </c>
      <c r="D78" s="96" t="str">
        <f>IFERROR(VLOOKUP($E78,Preenchimento!$A$2:$BV$1048576,3,0),"")</f>
        <v/>
      </c>
      <c r="E78" s="96">
        <v>76</v>
      </c>
      <c r="F78" s="96" t="str">
        <f>IFERROR(VLOOKUP($E78,Preenchimento!$A$2:$BV$1048576,7,0),"")</f>
        <v/>
      </c>
      <c r="G78" s="96" t="str">
        <f>IF(IFERROR(VLOOKUP($E78,Preenchimento!$A$2:$BV$1048576,8,0),"")=0,"",IFERROR(VLOOKUP($E78,Preenchimento!$A$2:$BV$1048576,8,0),""))</f>
        <v/>
      </c>
      <c r="H78" s="96" t="str">
        <f>IFERROR(VLOOKUP($E78,Preenchimento!$A$2:$BV$1048576,9,0),"")</f>
        <v/>
      </c>
      <c r="I78" s="96" t="str">
        <f>IFERROR(VLOOKUP($E78,Preenchimento!$A$2:$BV$1048576,10,0),"")</f>
        <v/>
      </c>
      <c r="J78" s="96" t="str">
        <f>IFERROR(VLOOKUP($E78,Preenchimento!$A$2:$BV$1048576,12,0),"")</f>
        <v/>
      </c>
      <c r="K78" s="96" t="str">
        <f>IFERROR(VLOOKUP($E78,Preenchimento!$A$2:$BV$1048576,6,0),"")</f>
        <v/>
      </c>
      <c r="L78" s="96" t="str">
        <f>IF(IFERROR(VLOOKUP($E78,Preenchimento!$A$2:$BV$1048576,53,0),"")=0,"",IFERROR(VLOOKUP($E78,Preenchimento!$A$2:$BV$1048576,53,0),""))</f>
        <v/>
      </c>
      <c r="M78" s="96" t="str">
        <f>IFERROR(VLOOKUP($E78,Preenchimento!$A$2:$BV$1048576,74,0),"")</f>
        <v/>
      </c>
    </row>
    <row r="79" spans="1:13" x14ac:dyDescent="0.2">
      <c r="A79" s="96">
        <f>Sitio!$E$3</f>
        <v>0</v>
      </c>
      <c r="B79" s="96" t="str">
        <f>IFERROR(VLOOKUP($E79,Preenchimento!$A$2:$BV$1048576,2,0),"")</f>
        <v/>
      </c>
      <c r="C79" s="96" t="str">
        <f>IFERROR(VLOOKUP($E79,Preenchimento!$A$2:$BV$1048576,4,0),"")</f>
        <v/>
      </c>
      <c r="D79" s="96" t="str">
        <f>IFERROR(VLOOKUP($E79,Preenchimento!$A$2:$BV$1048576,3,0),"")</f>
        <v/>
      </c>
      <c r="E79" s="96">
        <v>77</v>
      </c>
      <c r="F79" s="96" t="str">
        <f>IFERROR(VLOOKUP($E79,Preenchimento!$A$2:$BV$1048576,7,0),"")</f>
        <v/>
      </c>
      <c r="G79" s="96" t="str">
        <f>IF(IFERROR(VLOOKUP($E79,Preenchimento!$A$2:$BV$1048576,8,0),"")=0,"",IFERROR(VLOOKUP($E79,Preenchimento!$A$2:$BV$1048576,8,0),""))</f>
        <v/>
      </c>
      <c r="H79" s="96" t="str">
        <f>IFERROR(VLOOKUP($E79,Preenchimento!$A$2:$BV$1048576,9,0),"")</f>
        <v/>
      </c>
      <c r="I79" s="96" t="str">
        <f>IFERROR(VLOOKUP($E79,Preenchimento!$A$2:$BV$1048576,10,0),"")</f>
        <v/>
      </c>
      <c r="J79" s="96" t="str">
        <f>IFERROR(VLOOKUP($E79,Preenchimento!$A$2:$BV$1048576,12,0),"")</f>
        <v/>
      </c>
      <c r="K79" s="96" t="str">
        <f>IFERROR(VLOOKUP($E79,Preenchimento!$A$2:$BV$1048576,6,0),"")</f>
        <v/>
      </c>
      <c r="L79" s="96" t="str">
        <f>IF(IFERROR(VLOOKUP($E79,Preenchimento!$A$2:$BV$1048576,53,0),"")=0,"",IFERROR(VLOOKUP($E79,Preenchimento!$A$2:$BV$1048576,53,0),""))</f>
        <v/>
      </c>
      <c r="M79" s="96" t="str">
        <f>IFERROR(VLOOKUP($E79,Preenchimento!$A$2:$BV$1048576,74,0),"")</f>
        <v/>
      </c>
    </row>
    <row r="80" spans="1:13" x14ac:dyDescent="0.2">
      <c r="A80" s="96">
        <f>Sitio!$E$3</f>
        <v>0</v>
      </c>
      <c r="B80" s="96" t="str">
        <f>IFERROR(VLOOKUP($E80,Preenchimento!$A$2:$BV$1048576,2,0),"")</f>
        <v/>
      </c>
      <c r="C80" s="96" t="str">
        <f>IFERROR(VLOOKUP($E80,Preenchimento!$A$2:$BV$1048576,4,0),"")</f>
        <v/>
      </c>
      <c r="D80" s="96" t="str">
        <f>IFERROR(VLOOKUP($E80,Preenchimento!$A$2:$BV$1048576,3,0),"")</f>
        <v/>
      </c>
      <c r="E80" s="96">
        <v>78</v>
      </c>
      <c r="F80" s="96" t="str">
        <f>IFERROR(VLOOKUP($E80,Preenchimento!$A$2:$BV$1048576,7,0),"")</f>
        <v/>
      </c>
      <c r="G80" s="96" t="str">
        <f>IF(IFERROR(VLOOKUP($E80,Preenchimento!$A$2:$BV$1048576,8,0),"")=0,"",IFERROR(VLOOKUP($E80,Preenchimento!$A$2:$BV$1048576,8,0),""))</f>
        <v/>
      </c>
      <c r="H80" s="96" t="str">
        <f>IFERROR(VLOOKUP($E80,Preenchimento!$A$2:$BV$1048576,9,0),"")</f>
        <v/>
      </c>
      <c r="I80" s="96" t="str">
        <f>IFERROR(VLOOKUP($E80,Preenchimento!$A$2:$BV$1048576,10,0),"")</f>
        <v/>
      </c>
      <c r="J80" s="96" t="str">
        <f>IFERROR(VLOOKUP($E80,Preenchimento!$A$2:$BV$1048576,12,0),"")</f>
        <v/>
      </c>
      <c r="K80" s="96" t="str">
        <f>IFERROR(VLOOKUP($E80,Preenchimento!$A$2:$BV$1048576,6,0),"")</f>
        <v/>
      </c>
      <c r="L80" s="96" t="str">
        <f>IF(IFERROR(VLOOKUP($E80,Preenchimento!$A$2:$BV$1048576,53,0),"")=0,"",IFERROR(VLOOKUP($E80,Preenchimento!$A$2:$BV$1048576,53,0),""))</f>
        <v/>
      </c>
      <c r="M80" s="96" t="str">
        <f>IFERROR(VLOOKUP($E80,Preenchimento!$A$2:$BV$1048576,74,0),"")</f>
        <v/>
      </c>
    </row>
    <row r="81" spans="1:13" x14ac:dyDescent="0.2">
      <c r="A81" s="96">
        <f>Sitio!$E$3</f>
        <v>0</v>
      </c>
      <c r="B81" s="96" t="str">
        <f>IFERROR(VLOOKUP($E81,Preenchimento!$A$2:$BV$1048576,2,0),"")</f>
        <v/>
      </c>
      <c r="C81" s="96" t="str">
        <f>IFERROR(VLOOKUP($E81,Preenchimento!$A$2:$BV$1048576,4,0),"")</f>
        <v/>
      </c>
      <c r="D81" s="96" t="str">
        <f>IFERROR(VLOOKUP($E81,Preenchimento!$A$2:$BV$1048576,3,0),"")</f>
        <v/>
      </c>
      <c r="E81" s="96">
        <v>79</v>
      </c>
      <c r="F81" s="96" t="str">
        <f>IFERROR(VLOOKUP($E81,Preenchimento!$A$2:$BV$1048576,7,0),"")</f>
        <v/>
      </c>
      <c r="G81" s="96" t="str">
        <f>IF(IFERROR(VLOOKUP($E81,Preenchimento!$A$2:$BV$1048576,8,0),"")=0,"",IFERROR(VLOOKUP($E81,Preenchimento!$A$2:$BV$1048576,8,0),""))</f>
        <v/>
      </c>
      <c r="H81" s="96" t="str">
        <f>IFERROR(VLOOKUP($E81,Preenchimento!$A$2:$BV$1048576,9,0),"")</f>
        <v/>
      </c>
      <c r="I81" s="96" t="str">
        <f>IFERROR(VLOOKUP($E81,Preenchimento!$A$2:$BV$1048576,10,0),"")</f>
        <v/>
      </c>
      <c r="J81" s="96" t="str">
        <f>IFERROR(VLOOKUP($E81,Preenchimento!$A$2:$BV$1048576,12,0),"")</f>
        <v/>
      </c>
      <c r="K81" s="96" t="str">
        <f>IFERROR(VLOOKUP($E81,Preenchimento!$A$2:$BV$1048576,6,0),"")</f>
        <v/>
      </c>
      <c r="L81" s="96" t="str">
        <f>IF(IFERROR(VLOOKUP($E81,Preenchimento!$A$2:$BV$1048576,53,0),"")=0,"",IFERROR(VLOOKUP($E81,Preenchimento!$A$2:$BV$1048576,53,0),""))</f>
        <v/>
      </c>
      <c r="M81" s="96" t="str">
        <f>IFERROR(VLOOKUP($E81,Preenchimento!$A$2:$BV$1048576,74,0),"")</f>
        <v/>
      </c>
    </row>
    <row r="82" spans="1:13" x14ac:dyDescent="0.2">
      <c r="A82" s="96">
        <f>Sitio!$E$3</f>
        <v>0</v>
      </c>
      <c r="B82" s="96" t="str">
        <f>IFERROR(VLOOKUP($E82,Preenchimento!$A$2:$BV$1048576,2,0),"")</f>
        <v/>
      </c>
      <c r="C82" s="96" t="str">
        <f>IFERROR(VLOOKUP($E82,Preenchimento!$A$2:$BV$1048576,4,0),"")</f>
        <v/>
      </c>
      <c r="D82" s="96" t="str">
        <f>IFERROR(VLOOKUP($E82,Preenchimento!$A$2:$BV$1048576,3,0),"")</f>
        <v/>
      </c>
      <c r="E82" s="96">
        <v>80</v>
      </c>
      <c r="F82" s="96" t="str">
        <f>IFERROR(VLOOKUP($E82,Preenchimento!$A$2:$BV$1048576,7,0),"")</f>
        <v/>
      </c>
      <c r="G82" s="96" t="str">
        <f>IF(IFERROR(VLOOKUP($E82,Preenchimento!$A$2:$BV$1048576,8,0),"")=0,"",IFERROR(VLOOKUP($E82,Preenchimento!$A$2:$BV$1048576,8,0),""))</f>
        <v/>
      </c>
      <c r="H82" s="96" t="str">
        <f>IFERROR(VLOOKUP($E82,Preenchimento!$A$2:$BV$1048576,9,0),"")</f>
        <v/>
      </c>
      <c r="I82" s="96" t="str">
        <f>IFERROR(VLOOKUP($E82,Preenchimento!$A$2:$BV$1048576,10,0),"")</f>
        <v/>
      </c>
      <c r="J82" s="96" t="str">
        <f>IFERROR(VLOOKUP($E82,Preenchimento!$A$2:$BV$1048576,12,0),"")</f>
        <v/>
      </c>
      <c r="K82" s="96" t="str">
        <f>IFERROR(VLOOKUP($E82,Preenchimento!$A$2:$BV$1048576,6,0),"")</f>
        <v/>
      </c>
      <c r="L82" s="96" t="str">
        <f>IF(IFERROR(VLOOKUP($E82,Preenchimento!$A$2:$BV$1048576,53,0),"")=0,"",IFERROR(VLOOKUP($E82,Preenchimento!$A$2:$BV$1048576,53,0),""))</f>
        <v/>
      </c>
      <c r="M82" s="96" t="str">
        <f>IFERROR(VLOOKUP($E82,Preenchimento!$A$2:$BV$1048576,74,0),"")</f>
        <v/>
      </c>
    </row>
    <row r="83" spans="1:13" x14ac:dyDescent="0.2">
      <c r="A83" s="96">
        <f>Sitio!$E$3</f>
        <v>0</v>
      </c>
      <c r="B83" s="96" t="str">
        <f>IFERROR(VLOOKUP($E83,Preenchimento!$A$2:$BV$1048576,2,0),"")</f>
        <v/>
      </c>
      <c r="C83" s="96" t="str">
        <f>IFERROR(VLOOKUP($E83,Preenchimento!$A$2:$BV$1048576,4,0),"")</f>
        <v/>
      </c>
      <c r="D83" s="96" t="str">
        <f>IFERROR(VLOOKUP($E83,Preenchimento!$A$2:$BV$1048576,3,0),"")</f>
        <v/>
      </c>
      <c r="E83" s="96">
        <v>81</v>
      </c>
      <c r="F83" s="96" t="str">
        <f>IFERROR(VLOOKUP($E83,Preenchimento!$A$2:$BV$1048576,7,0),"")</f>
        <v/>
      </c>
      <c r="G83" s="96" t="str">
        <f>IF(IFERROR(VLOOKUP($E83,Preenchimento!$A$2:$BV$1048576,8,0),"")=0,"",IFERROR(VLOOKUP($E83,Preenchimento!$A$2:$BV$1048576,8,0),""))</f>
        <v/>
      </c>
      <c r="H83" s="96" t="str">
        <f>IFERROR(VLOOKUP($E83,Preenchimento!$A$2:$BV$1048576,9,0),"")</f>
        <v/>
      </c>
      <c r="I83" s="96" t="str">
        <f>IFERROR(VLOOKUP($E83,Preenchimento!$A$2:$BV$1048576,10,0),"")</f>
        <v/>
      </c>
      <c r="J83" s="96" t="str">
        <f>IFERROR(VLOOKUP($E83,Preenchimento!$A$2:$BV$1048576,12,0),"")</f>
        <v/>
      </c>
      <c r="K83" s="96" t="str">
        <f>IFERROR(VLOOKUP($E83,Preenchimento!$A$2:$BV$1048576,6,0),"")</f>
        <v/>
      </c>
      <c r="L83" s="96" t="str">
        <f>IF(IFERROR(VLOOKUP($E83,Preenchimento!$A$2:$BV$1048576,53,0),"")=0,"",IFERROR(VLOOKUP($E83,Preenchimento!$A$2:$BV$1048576,53,0),""))</f>
        <v/>
      </c>
      <c r="M83" s="96" t="str">
        <f>IFERROR(VLOOKUP($E83,Preenchimento!$A$2:$BV$1048576,74,0),"")</f>
        <v/>
      </c>
    </row>
    <row r="84" spans="1:13" x14ac:dyDescent="0.2">
      <c r="A84" s="96">
        <f>Sitio!$E$3</f>
        <v>0</v>
      </c>
      <c r="B84" s="96" t="str">
        <f>IFERROR(VLOOKUP($E84,Preenchimento!$A$2:$BV$1048576,2,0),"")</f>
        <v/>
      </c>
      <c r="C84" s="96" t="str">
        <f>IFERROR(VLOOKUP($E84,Preenchimento!$A$2:$BV$1048576,4,0),"")</f>
        <v/>
      </c>
      <c r="D84" s="96" t="str">
        <f>IFERROR(VLOOKUP($E84,Preenchimento!$A$2:$BV$1048576,3,0),"")</f>
        <v/>
      </c>
      <c r="E84" s="96">
        <v>82</v>
      </c>
      <c r="F84" s="96" t="str">
        <f>IFERROR(VLOOKUP($E84,Preenchimento!$A$2:$BV$1048576,7,0),"")</f>
        <v/>
      </c>
      <c r="G84" s="96" t="str">
        <f>IF(IFERROR(VLOOKUP($E84,Preenchimento!$A$2:$BV$1048576,8,0),"")=0,"",IFERROR(VLOOKUP($E84,Preenchimento!$A$2:$BV$1048576,8,0),""))</f>
        <v/>
      </c>
      <c r="H84" s="96" t="str">
        <f>IFERROR(VLOOKUP($E84,Preenchimento!$A$2:$BV$1048576,9,0),"")</f>
        <v/>
      </c>
      <c r="I84" s="96" t="str">
        <f>IFERROR(VLOOKUP($E84,Preenchimento!$A$2:$BV$1048576,10,0),"")</f>
        <v/>
      </c>
      <c r="J84" s="96" t="str">
        <f>IFERROR(VLOOKUP($E84,Preenchimento!$A$2:$BV$1048576,12,0),"")</f>
        <v/>
      </c>
      <c r="K84" s="96" t="str">
        <f>IFERROR(VLOOKUP($E84,Preenchimento!$A$2:$BV$1048576,6,0),"")</f>
        <v/>
      </c>
      <c r="L84" s="96" t="str">
        <f>IF(IFERROR(VLOOKUP($E84,Preenchimento!$A$2:$BV$1048576,53,0),"")=0,"",IFERROR(VLOOKUP($E84,Preenchimento!$A$2:$BV$1048576,53,0),""))</f>
        <v/>
      </c>
      <c r="M84" s="96" t="str">
        <f>IFERROR(VLOOKUP($E84,Preenchimento!$A$2:$BV$1048576,74,0),"")</f>
        <v/>
      </c>
    </row>
    <row r="85" spans="1:13" x14ac:dyDescent="0.2">
      <c r="A85" s="96">
        <f>Sitio!$E$3</f>
        <v>0</v>
      </c>
      <c r="B85" s="96" t="str">
        <f>IFERROR(VLOOKUP($E85,Preenchimento!$A$2:$BV$1048576,2,0),"")</f>
        <v/>
      </c>
      <c r="C85" s="96" t="str">
        <f>IFERROR(VLOOKUP($E85,Preenchimento!$A$2:$BV$1048576,4,0),"")</f>
        <v/>
      </c>
      <c r="D85" s="96" t="str">
        <f>IFERROR(VLOOKUP($E85,Preenchimento!$A$2:$BV$1048576,3,0),"")</f>
        <v/>
      </c>
      <c r="E85" s="96">
        <v>83</v>
      </c>
      <c r="F85" s="96" t="str">
        <f>IFERROR(VLOOKUP($E85,Preenchimento!$A$2:$BV$1048576,7,0),"")</f>
        <v/>
      </c>
      <c r="G85" s="96" t="str">
        <f>IF(IFERROR(VLOOKUP($E85,Preenchimento!$A$2:$BV$1048576,8,0),"")=0,"",IFERROR(VLOOKUP($E85,Preenchimento!$A$2:$BV$1048576,8,0),""))</f>
        <v/>
      </c>
      <c r="H85" s="96" t="str">
        <f>IFERROR(VLOOKUP($E85,Preenchimento!$A$2:$BV$1048576,9,0),"")</f>
        <v/>
      </c>
      <c r="I85" s="96" t="str">
        <f>IFERROR(VLOOKUP($E85,Preenchimento!$A$2:$BV$1048576,10,0),"")</f>
        <v/>
      </c>
      <c r="J85" s="96" t="str">
        <f>IFERROR(VLOOKUP($E85,Preenchimento!$A$2:$BV$1048576,12,0),"")</f>
        <v/>
      </c>
      <c r="K85" s="96" t="str">
        <f>IFERROR(VLOOKUP($E85,Preenchimento!$A$2:$BV$1048576,6,0),"")</f>
        <v/>
      </c>
      <c r="L85" s="96" t="str">
        <f>IF(IFERROR(VLOOKUP($E85,Preenchimento!$A$2:$BV$1048576,53,0),"")=0,"",IFERROR(VLOOKUP($E85,Preenchimento!$A$2:$BV$1048576,53,0),""))</f>
        <v/>
      </c>
      <c r="M85" s="96" t="str">
        <f>IFERROR(VLOOKUP($E85,Preenchimento!$A$2:$BV$1048576,74,0),"")</f>
        <v/>
      </c>
    </row>
    <row r="86" spans="1:13" x14ac:dyDescent="0.2">
      <c r="A86" s="96">
        <f>Sitio!$E$3</f>
        <v>0</v>
      </c>
      <c r="B86" s="96" t="str">
        <f>IFERROR(VLOOKUP($E86,Preenchimento!$A$2:$BV$1048576,2,0),"")</f>
        <v/>
      </c>
      <c r="C86" s="96" t="str">
        <f>IFERROR(VLOOKUP($E86,Preenchimento!$A$2:$BV$1048576,4,0),"")</f>
        <v/>
      </c>
      <c r="D86" s="96" t="str">
        <f>IFERROR(VLOOKUP($E86,Preenchimento!$A$2:$BV$1048576,3,0),"")</f>
        <v/>
      </c>
      <c r="E86" s="96">
        <v>84</v>
      </c>
      <c r="F86" s="96" t="str">
        <f>IFERROR(VLOOKUP($E86,Preenchimento!$A$2:$BV$1048576,7,0),"")</f>
        <v/>
      </c>
      <c r="G86" s="96" t="str">
        <f>IF(IFERROR(VLOOKUP($E86,Preenchimento!$A$2:$BV$1048576,8,0),"")=0,"",IFERROR(VLOOKUP($E86,Preenchimento!$A$2:$BV$1048576,8,0),""))</f>
        <v/>
      </c>
      <c r="H86" s="96" t="str">
        <f>IFERROR(VLOOKUP($E86,Preenchimento!$A$2:$BV$1048576,9,0),"")</f>
        <v/>
      </c>
      <c r="I86" s="96" t="str">
        <f>IFERROR(VLOOKUP($E86,Preenchimento!$A$2:$BV$1048576,10,0),"")</f>
        <v/>
      </c>
      <c r="J86" s="96" t="str">
        <f>IFERROR(VLOOKUP($E86,Preenchimento!$A$2:$BV$1048576,12,0),"")</f>
        <v/>
      </c>
      <c r="K86" s="96" t="str">
        <f>IFERROR(VLOOKUP($E86,Preenchimento!$A$2:$BV$1048576,6,0),"")</f>
        <v/>
      </c>
      <c r="L86" s="96" t="str">
        <f>IF(IFERROR(VLOOKUP($E86,Preenchimento!$A$2:$BV$1048576,53,0),"")=0,"",IFERROR(VLOOKUP($E86,Preenchimento!$A$2:$BV$1048576,53,0),""))</f>
        <v/>
      </c>
      <c r="M86" s="96" t="str">
        <f>IFERROR(VLOOKUP($E86,Preenchimento!$A$2:$BV$1048576,74,0),"")</f>
        <v/>
      </c>
    </row>
    <row r="87" spans="1:13" x14ac:dyDescent="0.2">
      <c r="A87" s="96">
        <f>Sitio!$E$3</f>
        <v>0</v>
      </c>
      <c r="B87" s="96" t="str">
        <f>IFERROR(VLOOKUP($E87,Preenchimento!$A$2:$BV$1048576,2,0),"")</f>
        <v/>
      </c>
      <c r="C87" s="96" t="str">
        <f>IFERROR(VLOOKUP($E87,Preenchimento!$A$2:$BV$1048576,4,0),"")</f>
        <v/>
      </c>
      <c r="D87" s="96" t="str">
        <f>IFERROR(VLOOKUP($E87,Preenchimento!$A$2:$BV$1048576,3,0),"")</f>
        <v/>
      </c>
      <c r="E87" s="96">
        <v>85</v>
      </c>
      <c r="F87" s="96" t="str">
        <f>IFERROR(VLOOKUP($E87,Preenchimento!$A$2:$BV$1048576,7,0),"")</f>
        <v/>
      </c>
      <c r="G87" s="96" t="str">
        <f>IF(IFERROR(VLOOKUP($E87,Preenchimento!$A$2:$BV$1048576,8,0),"")=0,"",IFERROR(VLOOKUP($E87,Preenchimento!$A$2:$BV$1048576,8,0),""))</f>
        <v/>
      </c>
      <c r="H87" s="96" t="str">
        <f>IFERROR(VLOOKUP($E87,Preenchimento!$A$2:$BV$1048576,9,0),"")</f>
        <v/>
      </c>
      <c r="I87" s="96" t="str">
        <f>IFERROR(VLOOKUP($E87,Preenchimento!$A$2:$BV$1048576,10,0),"")</f>
        <v/>
      </c>
      <c r="J87" s="96" t="str">
        <f>IFERROR(VLOOKUP($E87,Preenchimento!$A$2:$BV$1048576,12,0),"")</f>
        <v/>
      </c>
      <c r="K87" s="96" t="str">
        <f>IFERROR(VLOOKUP($E87,Preenchimento!$A$2:$BV$1048576,6,0),"")</f>
        <v/>
      </c>
      <c r="L87" s="96" t="str">
        <f>IF(IFERROR(VLOOKUP($E87,Preenchimento!$A$2:$BV$1048576,53,0),"")=0,"",IFERROR(VLOOKUP($E87,Preenchimento!$A$2:$BV$1048576,53,0),""))</f>
        <v/>
      </c>
      <c r="M87" s="96" t="str">
        <f>IFERROR(VLOOKUP($E87,Preenchimento!$A$2:$BV$1048576,74,0),"")</f>
        <v/>
      </c>
    </row>
    <row r="88" spans="1:13" x14ac:dyDescent="0.2">
      <c r="A88" s="96">
        <f>Sitio!$E$3</f>
        <v>0</v>
      </c>
      <c r="B88" s="96" t="str">
        <f>IFERROR(VLOOKUP($E88,Preenchimento!$A$2:$BV$1048576,2,0),"")</f>
        <v/>
      </c>
      <c r="C88" s="96" t="str">
        <f>IFERROR(VLOOKUP($E88,Preenchimento!$A$2:$BV$1048576,4,0),"")</f>
        <v/>
      </c>
      <c r="D88" s="96" t="str">
        <f>IFERROR(VLOOKUP($E88,Preenchimento!$A$2:$BV$1048576,3,0),"")</f>
        <v/>
      </c>
      <c r="E88" s="96">
        <v>86</v>
      </c>
      <c r="F88" s="96" t="str">
        <f>IFERROR(VLOOKUP($E88,Preenchimento!$A$2:$BV$1048576,7,0),"")</f>
        <v/>
      </c>
      <c r="G88" s="96" t="str">
        <f>IF(IFERROR(VLOOKUP($E88,Preenchimento!$A$2:$BV$1048576,8,0),"")=0,"",IFERROR(VLOOKUP($E88,Preenchimento!$A$2:$BV$1048576,8,0),""))</f>
        <v/>
      </c>
      <c r="H88" s="96" t="str">
        <f>IFERROR(VLOOKUP($E88,Preenchimento!$A$2:$BV$1048576,9,0),"")</f>
        <v/>
      </c>
      <c r="I88" s="96" t="str">
        <f>IFERROR(VLOOKUP($E88,Preenchimento!$A$2:$BV$1048576,10,0),"")</f>
        <v/>
      </c>
      <c r="J88" s="96" t="str">
        <f>IFERROR(VLOOKUP($E88,Preenchimento!$A$2:$BV$1048576,12,0),"")</f>
        <v/>
      </c>
      <c r="K88" s="96" t="str">
        <f>IFERROR(VLOOKUP($E88,Preenchimento!$A$2:$BV$1048576,6,0),"")</f>
        <v/>
      </c>
      <c r="L88" s="96" t="str">
        <f>IF(IFERROR(VLOOKUP($E88,Preenchimento!$A$2:$BV$1048576,53,0),"")=0,"",IFERROR(VLOOKUP($E88,Preenchimento!$A$2:$BV$1048576,53,0),""))</f>
        <v/>
      </c>
      <c r="M88" s="96" t="str">
        <f>IFERROR(VLOOKUP($E88,Preenchimento!$A$2:$BV$1048576,74,0),"")</f>
        <v/>
      </c>
    </row>
    <row r="89" spans="1:13" x14ac:dyDescent="0.2">
      <c r="A89" s="96">
        <f>Sitio!$E$3</f>
        <v>0</v>
      </c>
      <c r="B89" s="96" t="str">
        <f>IFERROR(VLOOKUP($E89,Preenchimento!$A$2:$BV$1048576,2,0),"")</f>
        <v/>
      </c>
      <c r="C89" s="96" t="str">
        <f>IFERROR(VLOOKUP($E89,Preenchimento!$A$2:$BV$1048576,4,0),"")</f>
        <v/>
      </c>
      <c r="D89" s="96" t="str">
        <f>IFERROR(VLOOKUP($E89,Preenchimento!$A$2:$BV$1048576,3,0),"")</f>
        <v/>
      </c>
      <c r="E89" s="96">
        <v>87</v>
      </c>
      <c r="F89" s="96" t="str">
        <f>IFERROR(VLOOKUP($E89,Preenchimento!$A$2:$BV$1048576,7,0),"")</f>
        <v/>
      </c>
      <c r="G89" s="96" t="str">
        <f>IF(IFERROR(VLOOKUP($E89,Preenchimento!$A$2:$BV$1048576,8,0),"")=0,"",IFERROR(VLOOKUP($E89,Preenchimento!$A$2:$BV$1048576,8,0),""))</f>
        <v/>
      </c>
      <c r="H89" s="96" t="str">
        <f>IFERROR(VLOOKUP($E89,Preenchimento!$A$2:$BV$1048576,9,0),"")</f>
        <v/>
      </c>
      <c r="I89" s="96" t="str">
        <f>IFERROR(VLOOKUP($E89,Preenchimento!$A$2:$BV$1048576,10,0),"")</f>
        <v/>
      </c>
      <c r="J89" s="96" t="str">
        <f>IFERROR(VLOOKUP($E89,Preenchimento!$A$2:$BV$1048576,12,0),"")</f>
        <v/>
      </c>
      <c r="K89" s="96" t="str">
        <f>IFERROR(VLOOKUP($E89,Preenchimento!$A$2:$BV$1048576,6,0),"")</f>
        <v/>
      </c>
      <c r="L89" s="96" t="str">
        <f>IF(IFERROR(VLOOKUP($E89,Preenchimento!$A$2:$BV$1048576,53,0),"")=0,"",IFERROR(VLOOKUP($E89,Preenchimento!$A$2:$BV$1048576,53,0),""))</f>
        <v/>
      </c>
      <c r="M89" s="96" t="str">
        <f>IFERROR(VLOOKUP($E89,Preenchimento!$A$2:$BV$1048576,74,0),"")</f>
        <v/>
      </c>
    </row>
    <row r="90" spans="1:13" x14ac:dyDescent="0.2">
      <c r="A90" s="96">
        <f>Sitio!$E$3</f>
        <v>0</v>
      </c>
      <c r="B90" s="96" t="str">
        <f>IFERROR(VLOOKUP($E90,Preenchimento!$A$2:$BV$1048576,2,0),"")</f>
        <v/>
      </c>
      <c r="C90" s="96" t="str">
        <f>IFERROR(VLOOKUP($E90,Preenchimento!$A$2:$BV$1048576,4,0),"")</f>
        <v/>
      </c>
      <c r="D90" s="96" t="str">
        <f>IFERROR(VLOOKUP($E90,Preenchimento!$A$2:$BV$1048576,3,0),"")</f>
        <v/>
      </c>
      <c r="E90" s="96">
        <v>88</v>
      </c>
      <c r="F90" s="96" t="str">
        <f>IFERROR(VLOOKUP($E90,Preenchimento!$A$2:$BV$1048576,7,0),"")</f>
        <v/>
      </c>
      <c r="G90" s="96" t="str">
        <f>IF(IFERROR(VLOOKUP($E90,Preenchimento!$A$2:$BV$1048576,8,0),"")=0,"",IFERROR(VLOOKUP($E90,Preenchimento!$A$2:$BV$1048576,8,0),""))</f>
        <v/>
      </c>
      <c r="H90" s="96" t="str">
        <f>IFERROR(VLOOKUP($E90,Preenchimento!$A$2:$BV$1048576,9,0),"")</f>
        <v/>
      </c>
      <c r="I90" s="96" t="str">
        <f>IFERROR(VLOOKUP($E90,Preenchimento!$A$2:$BV$1048576,10,0),"")</f>
        <v/>
      </c>
      <c r="J90" s="96" t="str">
        <f>IFERROR(VLOOKUP($E90,Preenchimento!$A$2:$BV$1048576,12,0),"")</f>
        <v/>
      </c>
      <c r="K90" s="96" t="str">
        <f>IFERROR(VLOOKUP($E90,Preenchimento!$A$2:$BV$1048576,6,0),"")</f>
        <v/>
      </c>
      <c r="L90" s="96" t="str">
        <f>IF(IFERROR(VLOOKUP($E90,Preenchimento!$A$2:$BV$1048576,53,0),"")=0,"",IFERROR(VLOOKUP($E90,Preenchimento!$A$2:$BV$1048576,53,0),""))</f>
        <v/>
      </c>
      <c r="M90" s="96" t="str">
        <f>IFERROR(VLOOKUP($E90,Preenchimento!$A$2:$BV$1048576,74,0),"")</f>
        <v/>
      </c>
    </row>
    <row r="91" spans="1:13" x14ac:dyDescent="0.2">
      <c r="A91" s="96">
        <f>Sitio!$E$3</f>
        <v>0</v>
      </c>
      <c r="B91" s="96" t="str">
        <f>IFERROR(VLOOKUP($E91,Preenchimento!$A$2:$BV$1048576,2,0),"")</f>
        <v/>
      </c>
      <c r="C91" s="96" t="str">
        <f>IFERROR(VLOOKUP($E91,Preenchimento!$A$2:$BV$1048576,4,0),"")</f>
        <v/>
      </c>
      <c r="D91" s="96" t="str">
        <f>IFERROR(VLOOKUP($E91,Preenchimento!$A$2:$BV$1048576,3,0),"")</f>
        <v/>
      </c>
      <c r="E91" s="96">
        <v>89</v>
      </c>
      <c r="F91" s="96" t="str">
        <f>IFERROR(VLOOKUP($E91,Preenchimento!$A$2:$BV$1048576,7,0),"")</f>
        <v/>
      </c>
      <c r="G91" s="96" t="str">
        <f>IF(IFERROR(VLOOKUP($E91,Preenchimento!$A$2:$BV$1048576,8,0),"")=0,"",IFERROR(VLOOKUP($E91,Preenchimento!$A$2:$BV$1048576,8,0),""))</f>
        <v/>
      </c>
      <c r="H91" s="96" t="str">
        <f>IFERROR(VLOOKUP($E91,Preenchimento!$A$2:$BV$1048576,9,0),"")</f>
        <v/>
      </c>
      <c r="I91" s="96" t="str">
        <f>IFERROR(VLOOKUP($E91,Preenchimento!$A$2:$BV$1048576,10,0),"")</f>
        <v/>
      </c>
      <c r="J91" s="96" t="str">
        <f>IFERROR(VLOOKUP($E91,Preenchimento!$A$2:$BV$1048576,12,0),"")</f>
        <v/>
      </c>
      <c r="K91" s="96" t="str">
        <f>IFERROR(VLOOKUP($E91,Preenchimento!$A$2:$BV$1048576,6,0),"")</f>
        <v/>
      </c>
      <c r="L91" s="96" t="str">
        <f>IF(IFERROR(VLOOKUP($E91,Preenchimento!$A$2:$BV$1048576,53,0),"")=0,"",IFERROR(VLOOKUP($E91,Preenchimento!$A$2:$BV$1048576,53,0),""))</f>
        <v/>
      </c>
      <c r="M91" s="96" t="str">
        <f>IFERROR(VLOOKUP($E91,Preenchimento!$A$2:$BV$1048576,74,0),"")</f>
        <v/>
      </c>
    </row>
    <row r="92" spans="1:13" x14ac:dyDescent="0.2">
      <c r="A92" s="96">
        <f>Sitio!$E$3</f>
        <v>0</v>
      </c>
      <c r="B92" s="96" t="str">
        <f>IFERROR(VLOOKUP($E92,Preenchimento!$A$2:$BV$1048576,2,0),"")</f>
        <v/>
      </c>
      <c r="C92" s="96" t="str">
        <f>IFERROR(VLOOKUP($E92,Preenchimento!$A$2:$BV$1048576,4,0),"")</f>
        <v/>
      </c>
      <c r="D92" s="96" t="str">
        <f>IFERROR(VLOOKUP($E92,Preenchimento!$A$2:$BV$1048576,3,0),"")</f>
        <v/>
      </c>
      <c r="E92" s="96">
        <v>90</v>
      </c>
      <c r="F92" s="96" t="str">
        <f>IFERROR(VLOOKUP($E92,Preenchimento!$A$2:$BV$1048576,7,0),"")</f>
        <v/>
      </c>
      <c r="G92" s="96" t="str">
        <f>IF(IFERROR(VLOOKUP($E92,Preenchimento!$A$2:$BV$1048576,8,0),"")=0,"",IFERROR(VLOOKUP($E92,Preenchimento!$A$2:$BV$1048576,8,0),""))</f>
        <v/>
      </c>
      <c r="H92" s="96" t="str">
        <f>IFERROR(VLOOKUP($E92,Preenchimento!$A$2:$BV$1048576,9,0),"")</f>
        <v/>
      </c>
      <c r="I92" s="96" t="str">
        <f>IFERROR(VLOOKUP($E92,Preenchimento!$A$2:$BV$1048576,10,0),"")</f>
        <v/>
      </c>
      <c r="J92" s="96" t="str">
        <f>IFERROR(VLOOKUP($E92,Preenchimento!$A$2:$BV$1048576,12,0),"")</f>
        <v/>
      </c>
      <c r="K92" s="96" t="str">
        <f>IFERROR(VLOOKUP($E92,Preenchimento!$A$2:$BV$1048576,6,0),"")</f>
        <v/>
      </c>
      <c r="L92" s="96" t="str">
        <f>IF(IFERROR(VLOOKUP($E92,Preenchimento!$A$2:$BV$1048576,53,0),"")=0,"",IFERROR(VLOOKUP($E92,Preenchimento!$A$2:$BV$1048576,53,0),""))</f>
        <v/>
      </c>
      <c r="M92" s="96" t="str">
        <f>IFERROR(VLOOKUP($E92,Preenchimento!$A$2:$BV$1048576,74,0),"")</f>
        <v/>
      </c>
    </row>
    <row r="93" spans="1:13" x14ac:dyDescent="0.2">
      <c r="A93" s="96">
        <f>Sitio!$E$3</f>
        <v>0</v>
      </c>
      <c r="B93" s="96" t="str">
        <f>IFERROR(VLOOKUP($E93,Preenchimento!$A$2:$BV$1048576,2,0),"")</f>
        <v/>
      </c>
      <c r="C93" s="96" t="str">
        <f>IFERROR(VLOOKUP($E93,Preenchimento!$A$2:$BV$1048576,4,0),"")</f>
        <v/>
      </c>
      <c r="D93" s="96" t="str">
        <f>IFERROR(VLOOKUP($E93,Preenchimento!$A$2:$BV$1048576,3,0),"")</f>
        <v/>
      </c>
      <c r="E93" s="96">
        <v>91</v>
      </c>
      <c r="F93" s="96" t="str">
        <f>IFERROR(VLOOKUP($E93,Preenchimento!$A$2:$BV$1048576,7,0),"")</f>
        <v/>
      </c>
      <c r="G93" s="96" t="str">
        <f>IF(IFERROR(VLOOKUP($E93,Preenchimento!$A$2:$BV$1048576,8,0),"")=0,"",IFERROR(VLOOKUP($E93,Preenchimento!$A$2:$BV$1048576,8,0),""))</f>
        <v/>
      </c>
      <c r="H93" s="96" t="str">
        <f>IFERROR(VLOOKUP($E93,Preenchimento!$A$2:$BV$1048576,9,0),"")</f>
        <v/>
      </c>
      <c r="I93" s="96" t="str">
        <f>IFERROR(VLOOKUP($E93,Preenchimento!$A$2:$BV$1048576,10,0),"")</f>
        <v/>
      </c>
      <c r="J93" s="96" t="str">
        <f>IFERROR(VLOOKUP($E93,Preenchimento!$A$2:$BV$1048576,12,0),"")</f>
        <v/>
      </c>
      <c r="K93" s="96" t="str">
        <f>IFERROR(VLOOKUP($E93,Preenchimento!$A$2:$BV$1048576,6,0),"")</f>
        <v/>
      </c>
      <c r="L93" s="96" t="str">
        <f>IF(IFERROR(VLOOKUP($E93,Preenchimento!$A$2:$BV$1048576,53,0),"")=0,"",IFERROR(VLOOKUP($E93,Preenchimento!$A$2:$BV$1048576,53,0),""))</f>
        <v/>
      </c>
      <c r="M93" s="96" t="str">
        <f>IFERROR(VLOOKUP($E93,Preenchimento!$A$2:$BV$1048576,74,0),"")</f>
        <v/>
      </c>
    </row>
    <row r="94" spans="1:13" x14ac:dyDescent="0.2">
      <c r="A94" s="96">
        <f>Sitio!$E$3</f>
        <v>0</v>
      </c>
      <c r="B94" s="96" t="str">
        <f>IFERROR(VLOOKUP($E94,Preenchimento!$A$2:$BV$1048576,2,0),"")</f>
        <v/>
      </c>
      <c r="C94" s="96" t="str">
        <f>IFERROR(VLOOKUP($E94,Preenchimento!$A$2:$BV$1048576,4,0),"")</f>
        <v/>
      </c>
      <c r="D94" s="96" t="str">
        <f>IFERROR(VLOOKUP($E94,Preenchimento!$A$2:$BV$1048576,3,0),"")</f>
        <v/>
      </c>
      <c r="E94" s="96">
        <v>92</v>
      </c>
      <c r="F94" s="96" t="str">
        <f>IFERROR(VLOOKUP($E94,Preenchimento!$A$2:$BV$1048576,7,0),"")</f>
        <v/>
      </c>
      <c r="G94" s="96" t="str">
        <f>IF(IFERROR(VLOOKUP($E94,Preenchimento!$A$2:$BV$1048576,8,0),"")=0,"",IFERROR(VLOOKUP($E94,Preenchimento!$A$2:$BV$1048576,8,0),""))</f>
        <v/>
      </c>
      <c r="H94" s="96" t="str">
        <f>IFERROR(VLOOKUP($E94,Preenchimento!$A$2:$BV$1048576,9,0),"")</f>
        <v/>
      </c>
      <c r="I94" s="96" t="str">
        <f>IFERROR(VLOOKUP($E94,Preenchimento!$A$2:$BV$1048576,10,0),"")</f>
        <v/>
      </c>
      <c r="J94" s="96" t="str">
        <f>IFERROR(VLOOKUP($E94,Preenchimento!$A$2:$BV$1048576,12,0),"")</f>
        <v/>
      </c>
      <c r="K94" s="96" t="str">
        <f>IFERROR(VLOOKUP($E94,Preenchimento!$A$2:$BV$1048576,6,0),"")</f>
        <v/>
      </c>
      <c r="L94" s="96" t="str">
        <f>IF(IFERROR(VLOOKUP($E94,Preenchimento!$A$2:$BV$1048576,53,0),"")=0,"",IFERROR(VLOOKUP($E94,Preenchimento!$A$2:$BV$1048576,53,0),""))</f>
        <v/>
      </c>
      <c r="M94" s="96" t="str">
        <f>IFERROR(VLOOKUP($E94,Preenchimento!$A$2:$BV$1048576,74,0),"")</f>
        <v/>
      </c>
    </row>
    <row r="95" spans="1:13" x14ac:dyDescent="0.2">
      <c r="A95" s="96">
        <f>Sitio!$E$3</f>
        <v>0</v>
      </c>
      <c r="B95" s="96" t="str">
        <f>IFERROR(VLOOKUP($E95,Preenchimento!$A$2:$BV$1048576,2,0),"")</f>
        <v/>
      </c>
      <c r="C95" s="96" t="str">
        <f>IFERROR(VLOOKUP($E95,Preenchimento!$A$2:$BV$1048576,4,0),"")</f>
        <v/>
      </c>
      <c r="D95" s="96" t="str">
        <f>IFERROR(VLOOKUP($E95,Preenchimento!$A$2:$BV$1048576,3,0),"")</f>
        <v/>
      </c>
      <c r="E95" s="96">
        <v>93</v>
      </c>
      <c r="F95" s="96" t="str">
        <f>IFERROR(VLOOKUP($E95,Preenchimento!$A$2:$BV$1048576,7,0),"")</f>
        <v/>
      </c>
      <c r="G95" s="96" t="str">
        <f>IF(IFERROR(VLOOKUP($E95,Preenchimento!$A$2:$BV$1048576,8,0),"")=0,"",IFERROR(VLOOKUP($E95,Preenchimento!$A$2:$BV$1048576,8,0),""))</f>
        <v/>
      </c>
      <c r="H95" s="96" t="str">
        <f>IFERROR(VLOOKUP($E95,Preenchimento!$A$2:$BV$1048576,9,0),"")</f>
        <v/>
      </c>
      <c r="I95" s="96" t="str">
        <f>IFERROR(VLOOKUP($E95,Preenchimento!$A$2:$BV$1048576,10,0),"")</f>
        <v/>
      </c>
      <c r="J95" s="96" t="str">
        <f>IFERROR(VLOOKUP($E95,Preenchimento!$A$2:$BV$1048576,12,0),"")</f>
        <v/>
      </c>
      <c r="K95" s="96" t="str">
        <f>IFERROR(VLOOKUP($E95,Preenchimento!$A$2:$BV$1048576,6,0),"")</f>
        <v/>
      </c>
      <c r="L95" s="96" t="str">
        <f>IF(IFERROR(VLOOKUP($E95,Preenchimento!$A$2:$BV$1048576,53,0),"")=0,"",IFERROR(VLOOKUP($E95,Preenchimento!$A$2:$BV$1048576,53,0),""))</f>
        <v/>
      </c>
      <c r="M95" s="96" t="str">
        <f>IFERROR(VLOOKUP($E95,Preenchimento!$A$2:$BV$1048576,74,0),"")</f>
        <v/>
      </c>
    </row>
    <row r="96" spans="1:13" x14ac:dyDescent="0.2">
      <c r="A96" s="96">
        <f>Sitio!$E$3</f>
        <v>0</v>
      </c>
      <c r="B96" s="96" t="str">
        <f>IFERROR(VLOOKUP($E96,Preenchimento!$A$2:$BV$1048576,2,0),"")</f>
        <v/>
      </c>
      <c r="C96" s="96" t="str">
        <f>IFERROR(VLOOKUP($E96,Preenchimento!$A$2:$BV$1048576,4,0),"")</f>
        <v/>
      </c>
      <c r="D96" s="96" t="str">
        <f>IFERROR(VLOOKUP($E96,Preenchimento!$A$2:$BV$1048576,3,0),"")</f>
        <v/>
      </c>
      <c r="E96" s="96">
        <v>94</v>
      </c>
      <c r="F96" s="96" t="str">
        <f>IFERROR(VLOOKUP($E96,Preenchimento!$A$2:$BV$1048576,7,0),"")</f>
        <v/>
      </c>
      <c r="G96" s="96" t="str">
        <f>IF(IFERROR(VLOOKUP($E96,Preenchimento!$A$2:$BV$1048576,8,0),"")=0,"",IFERROR(VLOOKUP($E96,Preenchimento!$A$2:$BV$1048576,8,0),""))</f>
        <v/>
      </c>
      <c r="H96" s="96" t="str">
        <f>IFERROR(VLOOKUP($E96,Preenchimento!$A$2:$BV$1048576,9,0),"")</f>
        <v/>
      </c>
      <c r="I96" s="96" t="str">
        <f>IFERROR(VLOOKUP($E96,Preenchimento!$A$2:$BV$1048576,10,0),"")</f>
        <v/>
      </c>
      <c r="J96" s="96" t="str">
        <f>IFERROR(VLOOKUP($E96,Preenchimento!$A$2:$BV$1048576,12,0),"")</f>
        <v/>
      </c>
      <c r="K96" s="96" t="str">
        <f>IFERROR(VLOOKUP($E96,Preenchimento!$A$2:$BV$1048576,6,0),"")</f>
        <v/>
      </c>
      <c r="L96" s="96" t="str">
        <f>IF(IFERROR(VLOOKUP($E96,Preenchimento!$A$2:$BV$1048576,53,0),"")=0,"",IFERROR(VLOOKUP($E96,Preenchimento!$A$2:$BV$1048576,53,0),""))</f>
        <v/>
      </c>
      <c r="M96" s="96" t="str">
        <f>IFERROR(VLOOKUP($E96,Preenchimento!$A$2:$BV$1048576,74,0),"")</f>
        <v/>
      </c>
    </row>
    <row r="97" spans="1:13" x14ac:dyDescent="0.2">
      <c r="A97" s="96">
        <f>Sitio!$E$3</f>
        <v>0</v>
      </c>
      <c r="B97" s="96" t="str">
        <f>IFERROR(VLOOKUP($E97,Preenchimento!$A$2:$BV$1048576,2,0),"")</f>
        <v/>
      </c>
      <c r="C97" s="96" t="str">
        <f>IFERROR(VLOOKUP($E97,Preenchimento!$A$2:$BV$1048576,4,0),"")</f>
        <v/>
      </c>
      <c r="D97" s="96" t="str">
        <f>IFERROR(VLOOKUP($E97,Preenchimento!$A$2:$BV$1048576,3,0),"")</f>
        <v/>
      </c>
      <c r="E97" s="96">
        <v>95</v>
      </c>
      <c r="F97" s="96" t="str">
        <f>IFERROR(VLOOKUP($E97,Preenchimento!$A$2:$BV$1048576,7,0),"")</f>
        <v/>
      </c>
      <c r="G97" s="96" t="str">
        <f>IF(IFERROR(VLOOKUP($E97,Preenchimento!$A$2:$BV$1048576,8,0),"")=0,"",IFERROR(VLOOKUP($E97,Preenchimento!$A$2:$BV$1048576,8,0),""))</f>
        <v/>
      </c>
      <c r="H97" s="96" t="str">
        <f>IFERROR(VLOOKUP($E97,Preenchimento!$A$2:$BV$1048576,9,0),"")</f>
        <v/>
      </c>
      <c r="I97" s="96" t="str">
        <f>IFERROR(VLOOKUP($E97,Preenchimento!$A$2:$BV$1048576,10,0),"")</f>
        <v/>
      </c>
      <c r="J97" s="96" t="str">
        <f>IFERROR(VLOOKUP($E97,Preenchimento!$A$2:$BV$1048576,12,0),"")</f>
        <v/>
      </c>
      <c r="K97" s="96" t="str">
        <f>IFERROR(VLOOKUP($E97,Preenchimento!$A$2:$BV$1048576,6,0),"")</f>
        <v/>
      </c>
      <c r="L97" s="96" t="str">
        <f>IF(IFERROR(VLOOKUP($E97,Preenchimento!$A$2:$BV$1048576,53,0),"")=0,"",IFERROR(VLOOKUP($E97,Preenchimento!$A$2:$BV$1048576,53,0),""))</f>
        <v/>
      </c>
      <c r="M97" s="96" t="str">
        <f>IFERROR(VLOOKUP($E97,Preenchimento!$A$2:$BV$1048576,74,0),"")</f>
        <v/>
      </c>
    </row>
    <row r="98" spans="1:13" x14ac:dyDescent="0.2">
      <c r="A98" s="96">
        <f>Sitio!$E$3</f>
        <v>0</v>
      </c>
      <c r="B98" s="96" t="str">
        <f>IFERROR(VLOOKUP($E98,Preenchimento!$A$2:$BV$1048576,2,0),"")</f>
        <v/>
      </c>
      <c r="C98" s="96" t="str">
        <f>IFERROR(VLOOKUP($E98,Preenchimento!$A$2:$BV$1048576,4,0),"")</f>
        <v/>
      </c>
      <c r="D98" s="96" t="str">
        <f>IFERROR(VLOOKUP($E98,Preenchimento!$A$2:$BV$1048576,3,0),"")</f>
        <v/>
      </c>
      <c r="E98" s="96">
        <v>96</v>
      </c>
      <c r="F98" s="96" t="str">
        <f>IFERROR(VLOOKUP($E98,Preenchimento!$A$2:$BV$1048576,7,0),"")</f>
        <v/>
      </c>
      <c r="G98" s="96" t="str">
        <f>IF(IFERROR(VLOOKUP($E98,Preenchimento!$A$2:$BV$1048576,8,0),"")=0,"",IFERROR(VLOOKUP($E98,Preenchimento!$A$2:$BV$1048576,8,0),""))</f>
        <v/>
      </c>
      <c r="H98" s="96" t="str">
        <f>IFERROR(VLOOKUP($E98,Preenchimento!$A$2:$BV$1048576,9,0),"")</f>
        <v/>
      </c>
      <c r="I98" s="96" t="str">
        <f>IFERROR(VLOOKUP($E98,Preenchimento!$A$2:$BV$1048576,10,0),"")</f>
        <v/>
      </c>
      <c r="J98" s="96" t="str">
        <f>IFERROR(VLOOKUP($E98,Preenchimento!$A$2:$BV$1048576,12,0),"")</f>
        <v/>
      </c>
      <c r="K98" s="96" t="str">
        <f>IFERROR(VLOOKUP($E98,Preenchimento!$A$2:$BV$1048576,6,0),"")</f>
        <v/>
      </c>
      <c r="L98" s="96" t="str">
        <f>IF(IFERROR(VLOOKUP($E98,Preenchimento!$A$2:$BV$1048576,53,0),"")=0,"",IFERROR(VLOOKUP($E98,Preenchimento!$A$2:$BV$1048576,53,0),""))</f>
        <v/>
      </c>
      <c r="M98" s="96" t="str">
        <f>IFERROR(VLOOKUP($E98,Preenchimento!$A$2:$BV$1048576,74,0),"")</f>
        <v/>
      </c>
    </row>
    <row r="99" spans="1:13" x14ac:dyDescent="0.2">
      <c r="A99" s="96">
        <f>Sitio!$E$3</f>
        <v>0</v>
      </c>
      <c r="B99" s="96" t="str">
        <f>IFERROR(VLOOKUP($E99,Preenchimento!$A$2:$BV$1048576,2,0),"")</f>
        <v/>
      </c>
      <c r="C99" s="96" t="str">
        <f>IFERROR(VLOOKUP($E99,Preenchimento!$A$2:$BV$1048576,4,0),"")</f>
        <v/>
      </c>
      <c r="D99" s="96" t="str">
        <f>IFERROR(VLOOKUP($E99,Preenchimento!$A$2:$BV$1048576,3,0),"")</f>
        <v/>
      </c>
      <c r="E99" s="96">
        <v>97</v>
      </c>
      <c r="F99" s="96" t="str">
        <f>IFERROR(VLOOKUP($E99,Preenchimento!$A$2:$BV$1048576,7,0),"")</f>
        <v/>
      </c>
      <c r="G99" s="96" t="str">
        <f>IF(IFERROR(VLOOKUP($E99,Preenchimento!$A$2:$BV$1048576,8,0),"")=0,"",IFERROR(VLOOKUP($E99,Preenchimento!$A$2:$BV$1048576,8,0),""))</f>
        <v/>
      </c>
      <c r="H99" s="96" t="str">
        <f>IFERROR(VLOOKUP($E99,Preenchimento!$A$2:$BV$1048576,9,0),"")</f>
        <v/>
      </c>
      <c r="I99" s="96" t="str">
        <f>IFERROR(VLOOKUP($E99,Preenchimento!$A$2:$BV$1048576,10,0),"")</f>
        <v/>
      </c>
      <c r="J99" s="96" t="str">
        <f>IFERROR(VLOOKUP($E99,Preenchimento!$A$2:$BV$1048576,12,0),"")</f>
        <v/>
      </c>
      <c r="K99" s="96" t="str">
        <f>IFERROR(VLOOKUP($E99,Preenchimento!$A$2:$BV$1048576,6,0),"")</f>
        <v/>
      </c>
      <c r="L99" s="96" t="str">
        <f>IF(IFERROR(VLOOKUP($E99,Preenchimento!$A$2:$BV$1048576,53,0),"")=0,"",IFERROR(VLOOKUP($E99,Preenchimento!$A$2:$BV$1048576,53,0),""))</f>
        <v/>
      </c>
      <c r="M99" s="96" t="str">
        <f>IFERROR(VLOOKUP($E99,Preenchimento!$A$2:$BV$1048576,74,0),"")</f>
        <v/>
      </c>
    </row>
    <row r="100" spans="1:13" x14ac:dyDescent="0.2">
      <c r="A100" s="96">
        <f>Sitio!$E$3</f>
        <v>0</v>
      </c>
      <c r="B100" s="96" t="str">
        <f>IFERROR(VLOOKUP($E100,Preenchimento!$A$2:$BV$1048576,2,0),"")</f>
        <v/>
      </c>
      <c r="C100" s="96" t="str">
        <f>IFERROR(VLOOKUP($E100,Preenchimento!$A$2:$BV$1048576,4,0),"")</f>
        <v/>
      </c>
      <c r="D100" s="96" t="str">
        <f>IFERROR(VLOOKUP($E100,Preenchimento!$A$2:$BV$1048576,3,0),"")</f>
        <v/>
      </c>
      <c r="E100" s="96">
        <v>98</v>
      </c>
      <c r="F100" s="96" t="str">
        <f>IFERROR(VLOOKUP($E100,Preenchimento!$A$2:$BV$1048576,7,0),"")</f>
        <v/>
      </c>
      <c r="G100" s="96" t="str">
        <f>IF(IFERROR(VLOOKUP($E100,Preenchimento!$A$2:$BV$1048576,8,0),"")=0,"",IFERROR(VLOOKUP($E100,Preenchimento!$A$2:$BV$1048576,8,0),""))</f>
        <v/>
      </c>
      <c r="H100" s="96" t="str">
        <f>IFERROR(VLOOKUP($E100,Preenchimento!$A$2:$BV$1048576,9,0),"")</f>
        <v/>
      </c>
      <c r="I100" s="96" t="str">
        <f>IFERROR(VLOOKUP($E100,Preenchimento!$A$2:$BV$1048576,10,0),"")</f>
        <v/>
      </c>
      <c r="J100" s="96" t="str">
        <f>IFERROR(VLOOKUP($E100,Preenchimento!$A$2:$BV$1048576,12,0),"")</f>
        <v/>
      </c>
      <c r="K100" s="96" t="str">
        <f>IFERROR(VLOOKUP($E100,Preenchimento!$A$2:$BV$1048576,6,0),"")</f>
        <v/>
      </c>
      <c r="L100" s="96" t="str">
        <f>IF(IFERROR(VLOOKUP($E100,Preenchimento!$A$2:$BV$1048576,53,0),"")=0,"",IFERROR(VLOOKUP($E100,Preenchimento!$A$2:$BV$1048576,53,0),""))</f>
        <v/>
      </c>
      <c r="M100" s="96" t="str">
        <f>IFERROR(VLOOKUP($E100,Preenchimento!$A$2:$BV$1048576,74,0),"")</f>
        <v/>
      </c>
    </row>
    <row r="101" spans="1:13" x14ac:dyDescent="0.2">
      <c r="A101" s="96">
        <f>Sitio!$E$3</f>
        <v>0</v>
      </c>
      <c r="B101" s="96" t="str">
        <f>IFERROR(VLOOKUP($E101,Preenchimento!$A$2:$BV$1048576,2,0),"")</f>
        <v/>
      </c>
      <c r="C101" s="96" t="str">
        <f>IFERROR(VLOOKUP($E101,Preenchimento!$A$2:$BV$1048576,4,0),"")</f>
        <v/>
      </c>
      <c r="D101" s="96" t="str">
        <f>IFERROR(VLOOKUP($E101,Preenchimento!$A$2:$BV$1048576,3,0),"")</f>
        <v/>
      </c>
      <c r="E101" s="96">
        <v>99</v>
      </c>
      <c r="F101" s="96" t="str">
        <f>IFERROR(VLOOKUP($E101,Preenchimento!$A$2:$BV$1048576,7,0),"")</f>
        <v/>
      </c>
      <c r="G101" s="96" t="str">
        <f>IF(IFERROR(VLOOKUP($E101,Preenchimento!$A$2:$BV$1048576,8,0),"")=0,"",IFERROR(VLOOKUP($E101,Preenchimento!$A$2:$BV$1048576,8,0),""))</f>
        <v/>
      </c>
      <c r="H101" s="96" t="str">
        <f>IFERROR(VLOOKUP($E101,Preenchimento!$A$2:$BV$1048576,9,0),"")</f>
        <v/>
      </c>
      <c r="I101" s="96" t="str">
        <f>IFERROR(VLOOKUP($E101,Preenchimento!$A$2:$BV$1048576,10,0),"")</f>
        <v/>
      </c>
      <c r="J101" s="96" t="str">
        <f>IFERROR(VLOOKUP($E101,Preenchimento!$A$2:$BV$1048576,12,0),"")</f>
        <v/>
      </c>
      <c r="K101" s="96" t="str">
        <f>IFERROR(VLOOKUP($E101,Preenchimento!$A$2:$BV$1048576,6,0),"")</f>
        <v/>
      </c>
      <c r="L101" s="96" t="str">
        <f>IF(IFERROR(VLOOKUP($E101,Preenchimento!$A$2:$BV$1048576,53,0),"")=0,"",IFERROR(VLOOKUP($E101,Preenchimento!$A$2:$BV$1048576,53,0),""))</f>
        <v/>
      </c>
      <c r="M101" s="96" t="str">
        <f>IFERROR(VLOOKUP($E101,Preenchimento!$A$2:$BV$1048576,74,0),"")</f>
        <v/>
      </c>
    </row>
    <row r="102" spans="1:13" x14ac:dyDescent="0.2">
      <c r="A102" s="96">
        <f>Sitio!$E$3</f>
        <v>0</v>
      </c>
      <c r="B102" s="96" t="str">
        <f>IFERROR(VLOOKUP($E102,Preenchimento!$A$2:$BV$1048576,2,0),"")</f>
        <v/>
      </c>
      <c r="C102" s="96" t="str">
        <f>IFERROR(VLOOKUP($E102,Preenchimento!$A$2:$BV$1048576,4,0),"")</f>
        <v/>
      </c>
      <c r="D102" s="96" t="str">
        <f>IFERROR(VLOOKUP($E102,Preenchimento!$A$2:$BV$1048576,3,0),"")</f>
        <v/>
      </c>
      <c r="E102" s="96">
        <v>100</v>
      </c>
      <c r="F102" s="96" t="str">
        <f>IFERROR(VLOOKUP($E102,Preenchimento!$A$2:$BV$1048576,7,0),"")</f>
        <v/>
      </c>
      <c r="G102" s="96" t="str">
        <f>IF(IFERROR(VLOOKUP($E102,Preenchimento!$A$2:$BV$1048576,8,0),"")=0,"",IFERROR(VLOOKUP($E102,Preenchimento!$A$2:$BV$1048576,8,0),""))</f>
        <v/>
      </c>
      <c r="H102" s="96" t="str">
        <f>IFERROR(VLOOKUP($E102,Preenchimento!$A$2:$BV$1048576,9,0),"")</f>
        <v/>
      </c>
      <c r="I102" s="96" t="str">
        <f>IFERROR(VLOOKUP($E102,Preenchimento!$A$2:$BV$1048576,10,0),"")</f>
        <v/>
      </c>
      <c r="J102" s="96" t="str">
        <f>IFERROR(VLOOKUP($E102,Preenchimento!$A$2:$BV$1048576,12,0),"")</f>
        <v/>
      </c>
      <c r="K102" s="96" t="str">
        <f>IFERROR(VLOOKUP($E102,Preenchimento!$A$2:$BV$1048576,6,0),"")</f>
        <v/>
      </c>
      <c r="L102" s="96" t="str">
        <f>IF(IFERROR(VLOOKUP($E102,Preenchimento!$A$2:$BV$1048576,53,0),"")=0,"",IFERROR(VLOOKUP($E102,Preenchimento!$A$2:$BV$1048576,53,0),""))</f>
        <v/>
      </c>
      <c r="M102" s="96" t="str">
        <f>IFERROR(VLOOKUP($E102,Preenchimento!$A$2:$BV$1048576,74,0),"")</f>
        <v/>
      </c>
    </row>
    <row r="103" spans="1:13" x14ac:dyDescent="0.2">
      <c r="A103" s="96">
        <f>Sitio!$E$3</f>
        <v>0</v>
      </c>
      <c r="B103" s="96" t="str">
        <f>IFERROR(VLOOKUP($E103,Preenchimento!$A$2:$BV$1048576,2,0),"")</f>
        <v/>
      </c>
      <c r="C103" s="96" t="str">
        <f>IFERROR(VLOOKUP($E103,Preenchimento!$A$2:$BV$1048576,4,0),"")</f>
        <v/>
      </c>
      <c r="D103" s="96" t="str">
        <f>IFERROR(VLOOKUP($E103,Preenchimento!$A$2:$BV$1048576,3,0),"")</f>
        <v/>
      </c>
      <c r="E103" s="96">
        <v>101</v>
      </c>
      <c r="F103" s="96" t="str">
        <f>IFERROR(VLOOKUP($E103,Preenchimento!$A$2:$BV$1048576,7,0),"")</f>
        <v/>
      </c>
      <c r="G103" s="96" t="str">
        <f>IF(IFERROR(VLOOKUP($E103,Preenchimento!$A$2:$BV$1048576,8,0),"")=0,"",IFERROR(VLOOKUP($E103,Preenchimento!$A$2:$BV$1048576,8,0),""))</f>
        <v/>
      </c>
      <c r="H103" s="96" t="str">
        <f>IFERROR(VLOOKUP($E103,Preenchimento!$A$2:$BV$1048576,9,0),"")</f>
        <v/>
      </c>
      <c r="I103" s="96" t="str">
        <f>IFERROR(VLOOKUP($E103,Preenchimento!$A$2:$BV$1048576,10,0),"")</f>
        <v/>
      </c>
      <c r="J103" s="96" t="str">
        <f>IFERROR(VLOOKUP($E103,Preenchimento!$A$2:$BV$1048576,12,0),"")</f>
        <v/>
      </c>
      <c r="K103" s="96" t="str">
        <f>IFERROR(VLOOKUP($E103,Preenchimento!$A$2:$BV$1048576,6,0),"")</f>
        <v/>
      </c>
      <c r="L103" s="96" t="str">
        <f>IF(IFERROR(VLOOKUP($E103,Preenchimento!$A$2:$BV$1048576,53,0),"")=0,"",IFERROR(VLOOKUP($E103,Preenchimento!$A$2:$BV$1048576,53,0),""))</f>
        <v/>
      </c>
      <c r="M103" s="96" t="str">
        <f>IFERROR(VLOOKUP($E103,Preenchimento!$A$2:$BV$1048576,74,0),"")</f>
        <v/>
      </c>
    </row>
    <row r="104" spans="1:13" x14ac:dyDescent="0.2">
      <c r="A104" s="96">
        <f>Sitio!$E$3</f>
        <v>0</v>
      </c>
      <c r="B104" s="96" t="str">
        <f>IFERROR(VLOOKUP($E104,Preenchimento!$A$2:$BV$1048576,2,0),"")</f>
        <v/>
      </c>
      <c r="C104" s="96" t="str">
        <f>IFERROR(VLOOKUP($E104,Preenchimento!$A$2:$BV$1048576,4,0),"")</f>
        <v/>
      </c>
      <c r="D104" s="96" t="str">
        <f>IFERROR(VLOOKUP($E104,Preenchimento!$A$2:$BV$1048576,3,0),"")</f>
        <v/>
      </c>
      <c r="E104" s="96">
        <v>102</v>
      </c>
      <c r="F104" s="96" t="str">
        <f>IFERROR(VLOOKUP($E104,Preenchimento!$A$2:$BV$1048576,7,0),"")</f>
        <v/>
      </c>
      <c r="G104" s="96" t="str">
        <f>IF(IFERROR(VLOOKUP($E104,Preenchimento!$A$2:$BV$1048576,8,0),"")=0,"",IFERROR(VLOOKUP($E104,Preenchimento!$A$2:$BV$1048576,8,0),""))</f>
        <v/>
      </c>
      <c r="H104" s="96" t="str">
        <f>IFERROR(VLOOKUP($E104,Preenchimento!$A$2:$BV$1048576,9,0),"")</f>
        <v/>
      </c>
      <c r="I104" s="96" t="str">
        <f>IFERROR(VLOOKUP($E104,Preenchimento!$A$2:$BV$1048576,10,0),"")</f>
        <v/>
      </c>
      <c r="J104" s="96" t="str">
        <f>IFERROR(VLOOKUP($E104,Preenchimento!$A$2:$BV$1048576,12,0),"")</f>
        <v/>
      </c>
      <c r="K104" s="96" t="str">
        <f>IFERROR(VLOOKUP($E104,Preenchimento!$A$2:$BV$1048576,6,0),"")</f>
        <v/>
      </c>
      <c r="L104" s="96" t="str">
        <f>IF(IFERROR(VLOOKUP($E104,Preenchimento!$A$2:$BV$1048576,53,0),"")=0,"",IFERROR(VLOOKUP($E104,Preenchimento!$A$2:$BV$1048576,53,0),""))</f>
        <v/>
      </c>
      <c r="M104" s="96" t="str">
        <f>IFERROR(VLOOKUP($E104,Preenchimento!$A$2:$BV$1048576,74,0),"")</f>
        <v/>
      </c>
    </row>
    <row r="105" spans="1:13" x14ac:dyDescent="0.2">
      <c r="A105" s="96">
        <f>Sitio!$E$3</f>
        <v>0</v>
      </c>
      <c r="B105" s="96" t="str">
        <f>IFERROR(VLOOKUP($E105,Preenchimento!$A$2:$BV$1048576,2,0),"")</f>
        <v/>
      </c>
      <c r="C105" s="96" t="str">
        <f>IFERROR(VLOOKUP($E105,Preenchimento!$A$2:$BV$1048576,4,0),"")</f>
        <v/>
      </c>
      <c r="D105" s="96" t="str">
        <f>IFERROR(VLOOKUP($E105,Preenchimento!$A$2:$BV$1048576,3,0),"")</f>
        <v/>
      </c>
      <c r="E105" s="96">
        <v>103</v>
      </c>
      <c r="F105" s="96" t="str">
        <f>IFERROR(VLOOKUP($E105,Preenchimento!$A$2:$BV$1048576,7,0),"")</f>
        <v/>
      </c>
      <c r="G105" s="96" t="str">
        <f>IF(IFERROR(VLOOKUP($E105,Preenchimento!$A$2:$BV$1048576,8,0),"")=0,"",IFERROR(VLOOKUP($E105,Preenchimento!$A$2:$BV$1048576,8,0),""))</f>
        <v/>
      </c>
      <c r="H105" s="96" t="str">
        <f>IFERROR(VLOOKUP($E105,Preenchimento!$A$2:$BV$1048576,9,0),"")</f>
        <v/>
      </c>
      <c r="I105" s="96" t="str">
        <f>IFERROR(VLOOKUP($E105,Preenchimento!$A$2:$BV$1048576,10,0),"")</f>
        <v/>
      </c>
      <c r="J105" s="96" t="str">
        <f>IFERROR(VLOOKUP($E105,Preenchimento!$A$2:$BV$1048576,12,0),"")</f>
        <v/>
      </c>
      <c r="K105" s="96" t="str">
        <f>IFERROR(VLOOKUP($E105,Preenchimento!$A$2:$BV$1048576,6,0),"")</f>
        <v/>
      </c>
      <c r="L105" s="96" t="str">
        <f>IF(IFERROR(VLOOKUP($E105,Preenchimento!$A$2:$BV$1048576,53,0),"")=0,"",IFERROR(VLOOKUP($E105,Preenchimento!$A$2:$BV$1048576,53,0),""))</f>
        <v/>
      </c>
      <c r="M105" s="96" t="str">
        <f>IFERROR(VLOOKUP($E105,Preenchimento!$A$2:$BV$1048576,74,0),"")</f>
        <v/>
      </c>
    </row>
    <row r="106" spans="1:13" x14ac:dyDescent="0.2">
      <c r="A106" s="96">
        <f>Sitio!$E$3</f>
        <v>0</v>
      </c>
      <c r="B106" s="96" t="str">
        <f>IFERROR(VLOOKUP($E106,Preenchimento!$A$2:$BV$1048576,2,0),"")</f>
        <v/>
      </c>
      <c r="C106" s="96" t="str">
        <f>IFERROR(VLOOKUP($E106,Preenchimento!$A$2:$BV$1048576,4,0),"")</f>
        <v/>
      </c>
      <c r="D106" s="96" t="str">
        <f>IFERROR(VLOOKUP($E106,Preenchimento!$A$2:$BV$1048576,3,0),"")</f>
        <v/>
      </c>
      <c r="E106" s="96">
        <v>104</v>
      </c>
      <c r="F106" s="96" t="str">
        <f>IFERROR(VLOOKUP($E106,Preenchimento!$A$2:$BV$1048576,7,0),"")</f>
        <v/>
      </c>
      <c r="G106" s="96" t="str">
        <f>IF(IFERROR(VLOOKUP($E106,Preenchimento!$A$2:$BV$1048576,8,0),"")=0,"",IFERROR(VLOOKUP($E106,Preenchimento!$A$2:$BV$1048576,8,0),""))</f>
        <v/>
      </c>
      <c r="H106" s="96" t="str">
        <f>IFERROR(VLOOKUP($E106,Preenchimento!$A$2:$BV$1048576,9,0),"")</f>
        <v/>
      </c>
      <c r="I106" s="96" t="str">
        <f>IFERROR(VLOOKUP($E106,Preenchimento!$A$2:$BV$1048576,10,0),"")</f>
        <v/>
      </c>
      <c r="J106" s="96" t="str">
        <f>IFERROR(VLOOKUP($E106,Preenchimento!$A$2:$BV$1048576,12,0),"")</f>
        <v/>
      </c>
      <c r="K106" s="96" t="str">
        <f>IFERROR(VLOOKUP($E106,Preenchimento!$A$2:$BV$1048576,6,0),"")</f>
        <v/>
      </c>
      <c r="L106" s="96" t="str">
        <f>IF(IFERROR(VLOOKUP($E106,Preenchimento!$A$2:$BV$1048576,53,0),"")=0,"",IFERROR(VLOOKUP($E106,Preenchimento!$A$2:$BV$1048576,53,0),""))</f>
        <v/>
      </c>
      <c r="M106" s="96" t="str">
        <f>IFERROR(VLOOKUP($E106,Preenchimento!$A$2:$BV$1048576,74,0),"")</f>
        <v/>
      </c>
    </row>
    <row r="107" spans="1:13" x14ac:dyDescent="0.2">
      <c r="A107" s="96">
        <f>Sitio!$E$3</f>
        <v>0</v>
      </c>
      <c r="B107" s="96" t="str">
        <f>IFERROR(VLOOKUP($E107,Preenchimento!$A$2:$BV$1048576,2,0),"")</f>
        <v/>
      </c>
      <c r="C107" s="96" t="str">
        <f>IFERROR(VLOOKUP($E107,Preenchimento!$A$2:$BV$1048576,4,0),"")</f>
        <v/>
      </c>
      <c r="D107" s="96" t="str">
        <f>IFERROR(VLOOKUP($E107,Preenchimento!$A$2:$BV$1048576,3,0),"")</f>
        <v/>
      </c>
      <c r="E107" s="96">
        <v>105</v>
      </c>
      <c r="F107" s="96" t="str">
        <f>IFERROR(VLOOKUP($E107,Preenchimento!$A$2:$BV$1048576,7,0),"")</f>
        <v/>
      </c>
      <c r="G107" s="96" t="str">
        <f>IF(IFERROR(VLOOKUP($E107,Preenchimento!$A$2:$BV$1048576,8,0),"")=0,"",IFERROR(VLOOKUP($E107,Preenchimento!$A$2:$BV$1048576,8,0),""))</f>
        <v/>
      </c>
      <c r="H107" s="96" t="str">
        <f>IFERROR(VLOOKUP($E107,Preenchimento!$A$2:$BV$1048576,9,0),"")</f>
        <v/>
      </c>
      <c r="I107" s="96" t="str">
        <f>IFERROR(VLOOKUP($E107,Preenchimento!$A$2:$BV$1048576,10,0),"")</f>
        <v/>
      </c>
      <c r="J107" s="96" t="str">
        <f>IFERROR(VLOOKUP($E107,Preenchimento!$A$2:$BV$1048576,12,0),"")</f>
        <v/>
      </c>
      <c r="K107" s="96" t="str">
        <f>IFERROR(VLOOKUP($E107,Preenchimento!$A$2:$BV$1048576,6,0),"")</f>
        <v/>
      </c>
      <c r="L107" s="96" t="str">
        <f>IF(IFERROR(VLOOKUP($E107,Preenchimento!$A$2:$BV$1048576,53,0),"")=0,"",IFERROR(VLOOKUP($E107,Preenchimento!$A$2:$BV$1048576,53,0),""))</f>
        <v/>
      </c>
      <c r="M107" s="96" t="str">
        <f>IFERROR(VLOOKUP($E107,Preenchimento!$A$2:$BV$1048576,74,0),"")</f>
        <v/>
      </c>
    </row>
    <row r="108" spans="1:13" x14ac:dyDescent="0.2">
      <c r="A108" s="96">
        <f>Sitio!$E$3</f>
        <v>0</v>
      </c>
      <c r="B108" s="96" t="str">
        <f>IFERROR(VLOOKUP($E108,Preenchimento!$A$2:$BV$1048576,2,0),"")</f>
        <v/>
      </c>
      <c r="C108" s="96" t="str">
        <f>IFERROR(VLOOKUP($E108,Preenchimento!$A$2:$BV$1048576,4,0),"")</f>
        <v/>
      </c>
      <c r="D108" s="96" t="str">
        <f>IFERROR(VLOOKUP($E108,Preenchimento!$A$2:$BV$1048576,3,0),"")</f>
        <v/>
      </c>
      <c r="E108" s="96">
        <v>106</v>
      </c>
      <c r="F108" s="96" t="str">
        <f>IFERROR(VLOOKUP($E108,Preenchimento!$A$2:$BV$1048576,7,0),"")</f>
        <v/>
      </c>
      <c r="G108" s="96" t="str">
        <f>IF(IFERROR(VLOOKUP($E108,Preenchimento!$A$2:$BV$1048576,8,0),"")=0,"",IFERROR(VLOOKUP($E108,Preenchimento!$A$2:$BV$1048576,8,0),""))</f>
        <v/>
      </c>
      <c r="H108" s="96" t="str">
        <f>IFERROR(VLOOKUP($E108,Preenchimento!$A$2:$BV$1048576,9,0),"")</f>
        <v/>
      </c>
      <c r="I108" s="96" t="str">
        <f>IFERROR(VLOOKUP($E108,Preenchimento!$A$2:$BV$1048576,10,0),"")</f>
        <v/>
      </c>
      <c r="J108" s="96" t="str">
        <f>IFERROR(VLOOKUP($E108,Preenchimento!$A$2:$BV$1048576,12,0),"")</f>
        <v/>
      </c>
      <c r="K108" s="96" t="str">
        <f>IFERROR(VLOOKUP($E108,Preenchimento!$A$2:$BV$1048576,6,0),"")</f>
        <v/>
      </c>
      <c r="L108" s="96" t="str">
        <f>IF(IFERROR(VLOOKUP($E108,Preenchimento!$A$2:$BV$1048576,53,0),"")=0,"",IFERROR(VLOOKUP($E108,Preenchimento!$A$2:$BV$1048576,53,0),""))</f>
        <v/>
      </c>
      <c r="M108" s="96" t="str">
        <f>IFERROR(VLOOKUP($E108,Preenchimento!$A$2:$BV$1048576,74,0),"")</f>
        <v/>
      </c>
    </row>
    <row r="109" spans="1:13" x14ac:dyDescent="0.2">
      <c r="A109" s="96">
        <f>Sitio!$E$3</f>
        <v>0</v>
      </c>
      <c r="B109" s="96" t="str">
        <f>IFERROR(VLOOKUP($E109,Preenchimento!$A$2:$BV$1048576,2,0),"")</f>
        <v/>
      </c>
      <c r="C109" s="96" t="str">
        <f>IFERROR(VLOOKUP($E109,Preenchimento!$A$2:$BV$1048576,4,0),"")</f>
        <v/>
      </c>
      <c r="D109" s="96" t="str">
        <f>IFERROR(VLOOKUP($E109,Preenchimento!$A$2:$BV$1048576,3,0),"")</f>
        <v/>
      </c>
      <c r="E109" s="96">
        <v>107</v>
      </c>
      <c r="F109" s="96" t="str">
        <f>IFERROR(VLOOKUP($E109,Preenchimento!$A$2:$BV$1048576,7,0),"")</f>
        <v/>
      </c>
      <c r="G109" s="96" t="str">
        <f>IF(IFERROR(VLOOKUP($E109,Preenchimento!$A$2:$BV$1048576,8,0),"")=0,"",IFERROR(VLOOKUP($E109,Preenchimento!$A$2:$BV$1048576,8,0),""))</f>
        <v/>
      </c>
      <c r="H109" s="96" t="str">
        <f>IFERROR(VLOOKUP($E109,Preenchimento!$A$2:$BV$1048576,9,0),"")</f>
        <v/>
      </c>
      <c r="I109" s="96" t="str">
        <f>IFERROR(VLOOKUP($E109,Preenchimento!$A$2:$BV$1048576,10,0),"")</f>
        <v/>
      </c>
      <c r="J109" s="96" t="str">
        <f>IFERROR(VLOOKUP($E109,Preenchimento!$A$2:$BV$1048576,12,0),"")</f>
        <v/>
      </c>
      <c r="K109" s="96" t="str">
        <f>IFERROR(VLOOKUP($E109,Preenchimento!$A$2:$BV$1048576,6,0),"")</f>
        <v/>
      </c>
      <c r="L109" s="96" t="str">
        <f>IF(IFERROR(VLOOKUP($E109,Preenchimento!$A$2:$BV$1048576,53,0),"")=0,"",IFERROR(VLOOKUP($E109,Preenchimento!$A$2:$BV$1048576,53,0),""))</f>
        <v/>
      </c>
      <c r="M109" s="96" t="str">
        <f>IFERROR(VLOOKUP($E109,Preenchimento!$A$2:$BV$1048576,74,0),"")</f>
        <v/>
      </c>
    </row>
    <row r="110" spans="1:13" x14ac:dyDescent="0.2">
      <c r="A110" s="96">
        <f>Sitio!$E$3</f>
        <v>0</v>
      </c>
      <c r="B110" s="96" t="str">
        <f>IFERROR(VLOOKUP($E110,Preenchimento!$A$2:$BV$1048576,2,0),"")</f>
        <v/>
      </c>
      <c r="C110" s="96" t="str">
        <f>IFERROR(VLOOKUP($E110,Preenchimento!$A$2:$BV$1048576,4,0),"")</f>
        <v/>
      </c>
      <c r="D110" s="96" t="str">
        <f>IFERROR(VLOOKUP($E110,Preenchimento!$A$2:$BV$1048576,3,0),"")</f>
        <v/>
      </c>
      <c r="E110" s="96">
        <v>108</v>
      </c>
      <c r="F110" s="96" t="str">
        <f>IFERROR(VLOOKUP($E110,Preenchimento!$A$2:$BV$1048576,7,0),"")</f>
        <v/>
      </c>
      <c r="G110" s="96" t="str">
        <f>IF(IFERROR(VLOOKUP($E110,Preenchimento!$A$2:$BV$1048576,8,0),"")=0,"",IFERROR(VLOOKUP($E110,Preenchimento!$A$2:$BV$1048576,8,0),""))</f>
        <v/>
      </c>
      <c r="H110" s="96" t="str">
        <f>IFERROR(VLOOKUP($E110,Preenchimento!$A$2:$BV$1048576,9,0),"")</f>
        <v/>
      </c>
      <c r="I110" s="96" t="str">
        <f>IFERROR(VLOOKUP($E110,Preenchimento!$A$2:$BV$1048576,10,0),"")</f>
        <v/>
      </c>
      <c r="J110" s="96" t="str">
        <f>IFERROR(VLOOKUP($E110,Preenchimento!$A$2:$BV$1048576,12,0),"")</f>
        <v/>
      </c>
      <c r="K110" s="96" t="str">
        <f>IFERROR(VLOOKUP($E110,Preenchimento!$A$2:$BV$1048576,6,0),"")</f>
        <v/>
      </c>
      <c r="L110" s="96" t="str">
        <f>IF(IFERROR(VLOOKUP($E110,Preenchimento!$A$2:$BV$1048576,53,0),"")=0,"",IFERROR(VLOOKUP($E110,Preenchimento!$A$2:$BV$1048576,53,0),""))</f>
        <v/>
      </c>
      <c r="M110" s="96" t="str">
        <f>IFERROR(VLOOKUP($E110,Preenchimento!$A$2:$BV$1048576,74,0),"")</f>
        <v/>
      </c>
    </row>
    <row r="111" spans="1:13" x14ac:dyDescent="0.2">
      <c r="A111" s="96">
        <f>Sitio!$E$3</f>
        <v>0</v>
      </c>
      <c r="B111" s="96" t="str">
        <f>IFERROR(VLOOKUP($E111,Preenchimento!$A$2:$BV$1048576,2,0),"")</f>
        <v/>
      </c>
      <c r="C111" s="96" t="str">
        <f>IFERROR(VLOOKUP($E111,Preenchimento!$A$2:$BV$1048576,4,0),"")</f>
        <v/>
      </c>
      <c r="D111" s="96" t="str">
        <f>IFERROR(VLOOKUP($E111,Preenchimento!$A$2:$BV$1048576,3,0),"")</f>
        <v/>
      </c>
      <c r="E111" s="96">
        <v>109</v>
      </c>
      <c r="F111" s="96" t="str">
        <f>IFERROR(VLOOKUP($E111,Preenchimento!$A$2:$BV$1048576,7,0),"")</f>
        <v/>
      </c>
      <c r="G111" s="96" t="str">
        <f>IF(IFERROR(VLOOKUP($E111,Preenchimento!$A$2:$BV$1048576,8,0),"")=0,"",IFERROR(VLOOKUP($E111,Preenchimento!$A$2:$BV$1048576,8,0),""))</f>
        <v/>
      </c>
      <c r="H111" s="96" t="str">
        <f>IFERROR(VLOOKUP($E111,Preenchimento!$A$2:$BV$1048576,9,0),"")</f>
        <v/>
      </c>
      <c r="I111" s="96" t="str">
        <f>IFERROR(VLOOKUP($E111,Preenchimento!$A$2:$BV$1048576,10,0),"")</f>
        <v/>
      </c>
      <c r="J111" s="96" t="str">
        <f>IFERROR(VLOOKUP($E111,Preenchimento!$A$2:$BV$1048576,12,0),"")</f>
        <v/>
      </c>
      <c r="K111" s="96" t="str">
        <f>IFERROR(VLOOKUP($E111,Preenchimento!$A$2:$BV$1048576,6,0),"")</f>
        <v/>
      </c>
      <c r="L111" s="96" t="str">
        <f>IF(IFERROR(VLOOKUP($E111,Preenchimento!$A$2:$BV$1048576,53,0),"")=0,"",IFERROR(VLOOKUP($E111,Preenchimento!$A$2:$BV$1048576,53,0),""))</f>
        <v/>
      </c>
      <c r="M111" s="96" t="str">
        <f>IFERROR(VLOOKUP($E111,Preenchimento!$A$2:$BV$1048576,74,0),"")</f>
        <v/>
      </c>
    </row>
    <row r="112" spans="1:13" x14ac:dyDescent="0.2">
      <c r="A112" s="96">
        <f>Sitio!$E$3</f>
        <v>0</v>
      </c>
      <c r="B112" s="96" t="str">
        <f>IFERROR(VLOOKUP($E112,Preenchimento!$A$2:$BV$1048576,2,0),"")</f>
        <v/>
      </c>
      <c r="C112" s="96" t="str">
        <f>IFERROR(VLOOKUP($E112,Preenchimento!$A$2:$BV$1048576,4,0),"")</f>
        <v/>
      </c>
      <c r="D112" s="96" t="str">
        <f>IFERROR(VLOOKUP($E112,Preenchimento!$A$2:$BV$1048576,3,0),"")</f>
        <v/>
      </c>
      <c r="E112" s="96">
        <v>110</v>
      </c>
      <c r="F112" s="96" t="str">
        <f>IFERROR(VLOOKUP($E112,Preenchimento!$A$2:$BV$1048576,7,0),"")</f>
        <v/>
      </c>
      <c r="G112" s="96" t="str">
        <f>IF(IFERROR(VLOOKUP($E112,Preenchimento!$A$2:$BV$1048576,8,0),"")=0,"",IFERROR(VLOOKUP($E112,Preenchimento!$A$2:$BV$1048576,8,0),""))</f>
        <v/>
      </c>
      <c r="H112" s="96" t="str">
        <f>IFERROR(VLOOKUP($E112,Preenchimento!$A$2:$BV$1048576,9,0),"")</f>
        <v/>
      </c>
      <c r="I112" s="96" t="str">
        <f>IFERROR(VLOOKUP($E112,Preenchimento!$A$2:$BV$1048576,10,0),"")</f>
        <v/>
      </c>
      <c r="J112" s="96" t="str">
        <f>IFERROR(VLOOKUP($E112,Preenchimento!$A$2:$BV$1048576,12,0),"")</f>
        <v/>
      </c>
      <c r="K112" s="96" t="str">
        <f>IFERROR(VLOOKUP($E112,Preenchimento!$A$2:$BV$1048576,6,0),"")</f>
        <v/>
      </c>
      <c r="L112" s="96" t="str">
        <f>IF(IFERROR(VLOOKUP($E112,Preenchimento!$A$2:$BV$1048576,53,0),"")=0,"",IFERROR(VLOOKUP($E112,Preenchimento!$A$2:$BV$1048576,53,0),""))</f>
        <v/>
      </c>
      <c r="M112" s="96" t="str">
        <f>IFERROR(VLOOKUP($E112,Preenchimento!$A$2:$BV$1048576,74,0),"")</f>
        <v/>
      </c>
    </row>
    <row r="113" spans="1:13" x14ac:dyDescent="0.2">
      <c r="A113" s="96">
        <f>Sitio!$E$3</f>
        <v>0</v>
      </c>
      <c r="B113" s="96" t="str">
        <f>IFERROR(VLOOKUP($E113,Preenchimento!$A$2:$BV$1048576,2,0),"")</f>
        <v/>
      </c>
      <c r="C113" s="96" t="str">
        <f>IFERROR(VLOOKUP($E113,Preenchimento!$A$2:$BV$1048576,4,0),"")</f>
        <v/>
      </c>
      <c r="D113" s="96" t="str">
        <f>IFERROR(VLOOKUP($E113,Preenchimento!$A$2:$BV$1048576,3,0),"")</f>
        <v/>
      </c>
      <c r="E113" s="96">
        <v>111</v>
      </c>
      <c r="F113" s="96" t="str">
        <f>IFERROR(VLOOKUP($E113,Preenchimento!$A$2:$BV$1048576,7,0),"")</f>
        <v/>
      </c>
      <c r="G113" s="96" t="str">
        <f>IF(IFERROR(VLOOKUP($E113,Preenchimento!$A$2:$BV$1048576,8,0),"")=0,"",IFERROR(VLOOKUP($E113,Preenchimento!$A$2:$BV$1048576,8,0),""))</f>
        <v/>
      </c>
      <c r="H113" s="96" t="str">
        <f>IFERROR(VLOOKUP($E113,Preenchimento!$A$2:$BV$1048576,9,0),"")</f>
        <v/>
      </c>
      <c r="I113" s="96" t="str">
        <f>IFERROR(VLOOKUP($E113,Preenchimento!$A$2:$BV$1048576,10,0),"")</f>
        <v/>
      </c>
      <c r="J113" s="96" t="str">
        <f>IFERROR(VLOOKUP($E113,Preenchimento!$A$2:$BV$1048576,12,0),"")</f>
        <v/>
      </c>
      <c r="K113" s="96" t="str">
        <f>IFERROR(VLOOKUP($E113,Preenchimento!$A$2:$BV$1048576,6,0),"")</f>
        <v/>
      </c>
      <c r="L113" s="96" t="str">
        <f>IF(IFERROR(VLOOKUP($E113,Preenchimento!$A$2:$BV$1048576,53,0),"")=0,"",IFERROR(VLOOKUP($E113,Preenchimento!$A$2:$BV$1048576,53,0),""))</f>
        <v/>
      </c>
      <c r="M113" s="96" t="str">
        <f>IFERROR(VLOOKUP($E113,Preenchimento!$A$2:$BV$1048576,74,0),"")</f>
        <v/>
      </c>
    </row>
    <row r="114" spans="1:13" x14ac:dyDescent="0.2">
      <c r="A114" s="96">
        <f>Sitio!$E$3</f>
        <v>0</v>
      </c>
      <c r="B114" s="96" t="str">
        <f>IFERROR(VLOOKUP($E114,Preenchimento!$A$2:$BV$1048576,2,0),"")</f>
        <v/>
      </c>
      <c r="C114" s="96" t="str">
        <f>IFERROR(VLOOKUP($E114,Preenchimento!$A$2:$BV$1048576,4,0),"")</f>
        <v/>
      </c>
      <c r="D114" s="96" t="str">
        <f>IFERROR(VLOOKUP($E114,Preenchimento!$A$2:$BV$1048576,3,0),"")</f>
        <v/>
      </c>
      <c r="E114" s="96">
        <v>112</v>
      </c>
      <c r="F114" s="96" t="str">
        <f>IFERROR(VLOOKUP($E114,Preenchimento!$A$2:$BV$1048576,7,0),"")</f>
        <v/>
      </c>
      <c r="G114" s="96" t="str">
        <f>IF(IFERROR(VLOOKUP($E114,Preenchimento!$A$2:$BV$1048576,8,0),"")=0,"",IFERROR(VLOOKUP($E114,Preenchimento!$A$2:$BV$1048576,8,0),""))</f>
        <v/>
      </c>
      <c r="H114" s="96" t="str">
        <f>IFERROR(VLOOKUP($E114,Preenchimento!$A$2:$BV$1048576,9,0),"")</f>
        <v/>
      </c>
      <c r="I114" s="96" t="str">
        <f>IFERROR(VLOOKUP($E114,Preenchimento!$A$2:$BV$1048576,10,0),"")</f>
        <v/>
      </c>
      <c r="J114" s="96" t="str">
        <f>IFERROR(VLOOKUP($E114,Preenchimento!$A$2:$BV$1048576,12,0),"")</f>
        <v/>
      </c>
      <c r="K114" s="96" t="str">
        <f>IFERROR(VLOOKUP($E114,Preenchimento!$A$2:$BV$1048576,6,0),"")</f>
        <v/>
      </c>
      <c r="L114" s="96" t="str">
        <f>IF(IFERROR(VLOOKUP($E114,Preenchimento!$A$2:$BV$1048576,53,0),"")=0,"",IFERROR(VLOOKUP($E114,Preenchimento!$A$2:$BV$1048576,53,0),""))</f>
        <v/>
      </c>
      <c r="M114" s="96" t="str">
        <f>IFERROR(VLOOKUP($E114,Preenchimento!$A$2:$BV$1048576,74,0),"")</f>
        <v/>
      </c>
    </row>
    <row r="115" spans="1:13" x14ac:dyDescent="0.2">
      <c r="A115" s="96">
        <f>Sitio!$E$3</f>
        <v>0</v>
      </c>
      <c r="B115" s="96" t="str">
        <f>IFERROR(VLOOKUP($E115,Preenchimento!$A$2:$BV$1048576,2,0),"")</f>
        <v/>
      </c>
      <c r="C115" s="96" t="str">
        <f>IFERROR(VLOOKUP($E115,Preenchimento!$A$2:$BV$1048576,4,0),"")</f>
        <v/>
      </c>
      <c r="D115" s="96" t="str">
        <f>IFERROR(VLOOKUP($E115,Preenchimento!$A$2:$BV$1048576,3,0),"")</f>
        <v/>
      </c>
      <c r="E115" s="96">
        <v>113</v>
      </c>
      <c r="F115" s="96" t="str">
        <f>IFERROR(VLOOKUP($E115,Preenchimento!$A$2:$BV$1048576,7,0),"")</f>
        <v/>
      </c>
      <c r="G115" s="96" t="str">
        <f>IF(IFERROR(VLOOKUP($E115,Preenchimento!$A$2:$BV$1048576,8,0),"")=0,"",IFERROR(VLOOKUP($E115,Preenchimento!$A$2:$BV$1048576,8,0),""))</f>
        <v/>
      </c>
      <c r="H115" s="96" t="str">
        <f>IFERROR(VLOOKUP($E115,Preenchimento!$A$2:$BV$1048576,9,0),"")</f>
        <v/>
      </c>
      <c r="I115" s="96" t="str">
        <f>IFERROR(VLOOKUP($E115,Preenchimento!$A$2:$BV$1048576,10,0),"")</f>
        <v/>
      </c>
      <c r="J115" s="96" t="str">
        <f>IFERROR(VLOOKUP($E115,Preenchimento!$A$2:$BV$1048576,12,0),"")</f>
        <v/>
      </c>
      <c r="K115" s="96" t="str">
        <f>IFERROR(VLOOKUP($E115,Preenchimento!$A$2:$BV$1048576,6,0),"")</f>
        <v/>
      </c>
      <c r="L115" s="96" t="str">
        <f>IF(IFERROR(VLOOKUP($E115,Preenchimento!$A$2:$BV$1048576,53,0),"")=0,"",IFERROR(VLOOKUP($E115,Preenchimento!$A$2:$BV$1048576,53,0),""))</f>
        <v/>
      </c>
      <c r="M115" s="96" t="str">
        <f>IFERROR(VLOOKUP($E115,Preenchimento!$A$2:$BV$1048576,74,0),"")</f>
        <v/>
      </c>
    </row>
    <row r="116" spans="1:13" x14ac:dyDescent="0.2">
      <c r="A116" s="96">
        <f>Sitio!$E$3</f>
        <v>0</v>
      </c>
      <c r="B116" s="96" t="str">
        <f>IFERROR(VLOOKUP($E116,Preenchimento!$A$2:$BV$1048576,2,0),"")</f>
        <v/>
      </c>
      <c r="C116" s="96" t="str">
        <f>IFERROR(VLOOKUP($E116,Preenchimento!$A$2:$BV$1048576,4,0),"")</f>
        <v/>
      </c>
      <c r="D116" s="96" t="str">
        <f>IFERROR(VLOOKUP($E116,Preenchimento!$A$2:$BV$1048576,3,0),"")</f>
        <v/>
      </c>
      <c r="E116" s="96">
        <v>114</v>
      </c>
      <c r="F116" s="96" t="str">
        <f>IFERROR(VLOOKUP($E116,Preenchimento!$A$2:$BV$1048576,7,0),"")</f>
        <v/>
      </c>
      <c r="G116" s="96" t="str">
        <f>IF(IFERROR(VLOOKUP($E116,Preenchimento!$A$2:$BV$1048576,8,0),"")=0,"",IFERROR(VLOOKUP($E116,Preenchimento!$A$2:$BV$1048576,8,0),""))</f>
        <v/>
      </c>
      <c r="H116" s="96" t="str">
        <f>IFERROR(VLOOKUP($E116,Preenchimento!$A$2:$BV$1048576,9,0),"")</f>
        <v/>
      </c>
      <c r="I116" s="96" t="str">
        <f>IFERROR(VLOOKUP($E116,Preenchimento!$A$2:$BV$1048576,10,0),"")</f>
        <v/>
      </c>
      <c r="J116" s="96" t="str">
        <f>IFERROR(VLOOKUP($E116,Preenchimento!$A$2:$BV$1048576,12,0),"")</f>
        <v/>
      </c>
      <c r="K116" s="96" t="str">
        <f>IFERROR(VLOOKUP($E116,Preenchimento!$A$2:$BV$1048576,6,0),"")</f>
        <v/>
      </c>
      <c r="L116" s="96" t="str">
        <f>IF(IFERROR(VLOOKUP($E116,Preenchimento!$A$2:$BV$1048576,53,0),"")=0,"",IFERROR(VLOOKUP($E116,Preenchimento!$A$2:$BV$1048576,53,0),""))</f>
        <v/>
      </c>
      <c r="M116" s="96" t="str">
        <f>IFERROR(VLOOKUP($E116,Preenchimento!$A$2:$BV$1048576,74,0),"")</f>
        <v/>
      </c>
    </row>
    <row r="117" spans="1:13" x14ac:dyDescent="0.2">
      <c r="A117" s="96">
        <f>Sitio!$E$3</f>
        <v>0</v>
      </c>
      <c r="B117" s="96" t="str">
        <f>IFERROR(VLOOKUP($E117,Preenchimento!$A$2:$BV$1048576,2,0),"")</f>
        <v/>
      </c>
      <c r="C117" s="96" t="str">
        <f>IFERROR(VLOOKUP($E117,Preenchimento!$A$2:$BV$1048576,4,0),"")</f>
        <v/>
      </c>
      <c r="D117" s="96" t="str">
        <f>IFERROR(VLOOKUP($E117,Preenchimento!$A$2:$BV$1048576,3,0),"")</f>
        <v/>
      </c>
      <c r="E117" s="96">
        <v>115</v>
      </c>
      <c r="F117" s="96" t="str">
        <f>IFERROR(VLOOKUP($E117,Preenchimento!$A$2:$BV$1048576,7,0),"")</f>
        <v/>
      </c>
      <c r="G117" s="96" t="str">
        <f>IF(IFERROR(VLOOKUP($E117,Preenchimento!$A$2:$BV$1048576,8,0),"")=0,"",IFERROR(VLOOKUP($E117,Preenchimento!$A$2:$BV$1048576,8,0),""))</f>
        <v/>
      </c>
      <c r="H117" s="96" t="str">
        <f>IFERROR(VLOOKUP($E117,Preenchimento!$A$2:$BV$1048576,9,0),"")</f>
        <v/>
      </c>
      <c r="I117" s="96" t="str">
        <f>IFERROR(VLOOKUP($E117,Preenchimento!$A$2:$BV$1048576,10,0),"")</f>
        <v/>
      </c>
      <c r="J117" s="96" t="str">
        <f>IFERROR(VLOOKUP($E117,Preenchimento!$A$2:$BV$1048576,12,0),"")</f>
        <v/>
      </c>
      <c r="K117" s="96" t="str">
        <f>IFERROR(VLOOKUP($E117,Preenchimento!$A$2:$BV$1048576,6,0),"")</f>
        <v/>
      </c>
      <c r="L117" s="96" t="str">
        <f>IF(IFERROR(VLOOKUP($E117,Preenchimento!$A$2:$BV$1048576,53,0),"")=0,"",IFERROR(VLOOKUP($E117,Preenchimento!$A$2:$BV$1048576,53,0),""))</f>
        <v/>
      </c>
      <c r="M117" s="96" t="str">
        <f>IFERROR(VLOOKUP($E117,Preenchimento!$A$2:$BV$1048576,74,0),"")</f>
        <v/>
      </c>
    </row>
    <row r="118" spans="1:13" x14ac:dyDescent="0.2">
      <c r="A118" s="96">
        <f>Sitio!$E$3</f>
        <v>0</v>
      </c>
      <c r="B118" s="96" t="str">
        <f>IFERROR(VLOOKUP($E118,Preenchimento!$A$2:$BV$1048576,2,0),"")</f>
        <v/>
      </c>
      <c r="C118" s="96" t="str">
        <f>IFERROR(VLOOKUP($E118,Preenchimento!$A$2:$BV$1048576,4,0),"")</f>
        <v/>
      </c>
      <c r="D118" s="96" t="str">
        <f>IFERROR(VLOOKUP($E118,Preenchimento!$A$2:$BV$1048576,3,0),"")</f>
        <v/>
      </c>
      <c r="E118" s="96">
        <v>116</v>
      </c>
      <c r="F118" s="96" t="str">
        <f>IFERROR(VLOOKUP($E118,Preenchimento!$A$2:$BV$1048576,7,0),"")</f>
        <v/>
      </c>
      <c r="G118" s="96" t="str">
        <f>IF(IFERROR(VLOOKUP($E118,Preenchimento!$A$2:$BV$1048576,8,0),"")=0,"",IFERROR(VLOOKUP($E118,Preenchimento!$A$2:$BV$1048576,8,0),""))</f>
        <v/>
      </c>
      <c r="H118" s="96" t="str">
        <f>IFERROR(VLOOKUP($E118,Preenchimento!$A$2:$BV$1048576,9,0),"")</f>
        <v/>
      </c>
      <c r="I118" s="96" t="str">
        <f>IFERROR(VLOOKUP($E118,Preenchimento!$A$2:$BV$1048576,10,0),"")</f>
        <v/>
      </c>
      <c r="J118" s="96" t="str">
        <f>IFERROR(VLOOKUP($E118,Preenchimento!$A$2:$BV$1048576,12,0),"")</f>
        <v/>
      </c>
      <c r="K118" s="96" t="str">
        <f>IFERROR(VLOOKUP($E118,Preenchimento!$A$2:$BV$1048576,6,0),"")</f>
        <v/>
      </c>
      <c r="L118" s="96" t="str">
        <f>IF(IFERROR(VLOOKUP($E118,Preenchimento!$A$2:$BV$1048576,53,0),"")=0,"",IFERROR(VLOOKUP($E118,Preenchimento!$A$2:$BV$1048576,53,0),""))</f>
        <v/>
      </c>
      <c r="M118" s="96" t="str">
        <f>IFERROR(VLOOKUP($E118,Preenchimento!$A$2:$BV$1048576,74,0),"")</f>
        <v/>
      </c>
    </row>
    <row r="119" spans="1:13" x14ac:dyDescent="0.2">
      <c r="A119" s="96">
        <f>Sitio!$E$3</f>
        <v>0</v>
      </c>
      <c r="B119" s="96" t="str">
        <f>IFERROR(VLOOKUP($E119,Preenchimento!$A$2:$BV$1048576,2,0),"")</f>
        <v/>
      </c>
      <c r="C119" s="96" t="str">
        <f>IFERROR(VLOOKUP($E119,Preenchimento!$A$2:$BV$1048576,4,0),"")</f>
        <v/>
      </c>
      <c r="D119" s="96" t="str">
        <f>IFERROR(VLOOKUP($E119,Preenchimento!$A$2:$BV$1048576,3,0),"")</f>
        <v/>
      </c>
      <c r="E119" s="96">
        <v>117</v>
      </c>
      <c r="F119" s="96" t="str">
        <f>IFERROR(VLOOKUP($E119,Preenchimento!$A$2:$BV$1048576,7,0),"")</f>
        <v/>
      </c>
      <c r="G119" s="96" t="str">
        <f>IF(IFERROR(VLOOKUP($E119,Preenchimento!$A$2:$BV$1048576,8,0),"")=0,"",IFERROR(VLOOKUP($E119,Preenchimento!$A$2:$BV$1048576,8,0),""))</f>
        <v/>
      </c>
      <c r="H119" s="96" t="str">
        <f>IFERROR(VLOOKUP($E119,Preenchimento!$A$2:$BV$1048576,9,0),"")</f>
        <v/>
      </c>
      <c r="I119" s="96" t="str">
        <f>IFERROR(VLOOKUP($E119,Preenchimento!$A$2:$BV$1048576,10,0),"")</f>
        <v/>
      </c>
      <c r="J119" s="96" t="str">
        <f>IFERROR(VLOOKUP($E119,Preenchimento!$A$2:$BV$1048576,12,0),"")</f>
        <v/>
      </c>
      <c r="K119" s="96" t="str">
        <f>IFERROR(VLOOKUP($E119,Preenchimento!$A$2:$BV$1048576,6,0),"")</f>
        <v/>
      </c>
      <c r="L119" s="96" t="str">
        <f>IF(IFERROR(VLOOKUP($E119,Preenchimento!$A$2:$BV$1048576,53,0),"")=0,"",IFERROR(VLOOKUP($E119,Preenchimento!$A$2:$BV$1048576,53,0),""))</f>
        <v/>
      </c>
      <c r="M119" s="96" t="str">
        <f>IFERROR(VLOOKUP($E119,Preenchimento!$A$2:$BV$1048576,74,0),"")</f>
        <v/>
      </c>
    </row>
    <row r="120" spans="1:13" x14ac:dyDescent="0.2">
      <c r="A120" s="96">
        <f>Sitio!$E$3</f>
        <v>0</v>
      </c>
      <c r="B120" s="96" t="str">
        <f>IFERROR(VLOOKUP($E120,Preenchimento!$A$2:$BV$1048576,2,0),"")</f>
        <v/>
      </c>
      <c r="C120" s="96" t="str">
        <f>IFERROR(VLOOKUP($E120,Preenchimento!$A$2:$BV$1048576,4,0),"")</f>
        <v/>
      </c>
      <c r="D120" s="96" t="str">
        <f>IFERROR(VLOOKUP($E120,Preenchimento!$A$2:$BV$1048576,3,0),"")</f>
        <v/>
      </c>
      <c r="E120" s="96">
        <v>118</v>
      </c>
      <c r="F120" s="96" t="str">
        <f>IFERROR(VLOOKUP($E120,Preenchimento!$A$2:$BV$1048576,7,0),"")</f>
        <v/>
      </c>
      <c r="G120" s="96" t="str">
        <f>IF(IFERROR(VLOOKUP($E120,Preenchimento!$A$2:$BV$1048576,8,0),"")=0,"",IFERROR(VLOOKUP($E120,Preenchimento!$A$2:$BV$1048576,8,0),""))</f>
        <v/>
      </c>
      <c r="H120" s="96" t="str">
        <f>IFERROR(VLOOKUP($E120,Preenchimento!$A$2:$BV$1048576,9,0),"")</f>
        <v/>
      </c>
      <c r="I120" s="96" t="str">
        <f>IFERROR(VLOOKUP($E120,Preenchimento!$A$2:$BV$1048576,10,0),"")</f>
        <v/>
      </c>
      <c r="J120" s="96" t="str">
        <f>IFERROR(VLOOKUP($E120,Preenchimento!$A$2:$BV$1048576,12,0),"")</f>
        <v/>
      </c>
      <c r="K120" s="96" t="str">
        <f>IFERROR(VLOOKUP($E120,Preenchimento!$A$2:$BV$1048576,6,0),"")</f>
        <v/>
      </c>
      <c r="L120" s="96" t="str">
        <f>IF(IFERROR(VLOOKUP($E120,Preenchimento!$A$2:$BV$1048576,53,0),"")=0,"",IFERROR(VLOOKUP($E120,Preenchimento!$A$2:$BV$1048576,53,0),""))</f>
        <v/>
      </c>
      <c r="M120" s="96" t="str">
        <f>IFERROR(VLOOKUP($E120,Preenchimento!$A$2:$BV$1048576,74,0),"")</f>
        <v/>
      </c>
    </row>
    <row r="121" spans="1:13" x14ac:dyDescent="0.2">
      <c r="A121" s="96">
        <f>Sitio!$E$3</f>
        <v>0</v>
      </c>
      <c r="B121" s="96" t="str">
        <f>IFERROR(VLOOKUP($E121,Preenchimento!$A$2:$BV$1048576,2,0),"")</f>
        <v/>
      </c>
      <c r="C121" s="96" t="str">
        <f>IFERROR(VLOOKUP($E121,Preenchimento!$A$2:$BV$1048576,4,0),"")</f>
        <v/>
      </c>
      <c r="D121" s="96" t="str">
        <f>IFERROR(VLOOKUP($E121,Preenchimento!$A$2:$BV$1048576,3,0),"")</f>
        <v/>
      </c>
      <c r="E121" s="96">
        <v>119</v>
      </c>
      <c r="F121" s="96" t="str">
        <f>IFERROR(VLOOKUP($E121,Preenchimento!$A$2:$BV$1048576,7,0),"")</f>
        <v/>
      </c>
      <c r="G121" s="96" t="str">
        <f>IF(IFERROR(VLOOKUP($E121,Preenchimento!$A$2:$BV$1048576,8,0),"")=0,"",IFERROR(VLOOKUP($E121,Preenchimento!$A$2:$BV$1048576,8,0),""))</f>
        <v/>
      </c>
      <c r="H121" s="96" t="str">
        <f>IFERROR(VLOOKUP($E121,Preenchimento!$A$2:$BV$1048576,9,0),"")</f>
        <v/>
      </c>
      <c r="I121" s="96" t="str">
        <f>IFERROR(VLOOKUP($E121,Preenchimento!$A$2:$BV$1048576,10,0),"")</f>
        <v/>
      </c>
      <c r="J121" s="96" t="str">
        <f>IFERROR(VLOOKUP($E121,Preenchimento!$A$2:$BV$1048576,12,0),"")</f>
        <v/>
      </c>
      <c r="K121" s="96" t="str">
        <f>IFERROR(VLOOKUP($E121,Preenchimento!$A$2:$BV$1048576,6,0),"")</f>
        <v/>
      </c>
      <c r="L121" s="96" t="str">
        <f>IF(IFERROR(VLOOKUP($E121,Preenchimento!$A$2:$BV$1048576,53,0),"")=0,"",IFERROR(VLOOKUP($E121,Preenchimento!$A$2:$BV$1048576,53,0),""))</f>
        <v/>
      </c>
      <c r="M121" s="96" t="str">
        <f>IFERROR(VLOOKUP($E121,Preenchimento!$A$2:$BV$1048576,74,0),"")</f>
        <v/>
      </c>
    </row>
    <row r="122" spans="1:13" x14ac:dyDescent="0.2">
      <c r="A122" s="96">
        <f>Sitio!$E$3</f>
        <v>0</v>
      </c>
      <c r="B122" s="96" t="str">
        <f>IFERROR(VLOOKUP($E122,Preenchimento!$A$2:$BV$1048576,2,0),"")</f>
        <v/>
      </c>
      <c r="C122" s="96" t="str">
        <f>IFERROR(VLOOKUP($E122,Preenchimento!$A$2:$BV$1048576,4,0),"")</f>
        <v/>
      </c>
      <c r="D122" s="96" t="str">
        <f>IFERROR(VLOOKUP($E122,Preenchimento!$A$2:$BV$1048576,3,0),"")</f>
        <v/>
      </c>
      <c r="E122" s="96">
        <v>120</v>
      </c>
      <c r="F122" s="96" t="str">
        <f>IFERROR(VLOOKUP($E122,Preenchimento!$A$2:$BV$1048576,7,0),"")</f>
        <v/>
      </c>
      <c r="G122" s="96" t="str">
        <f>IF(IFERROR(VLOOKUP($E122,Preenchimento!$A$2:$BV$1048576,8,0),"")=0,"",IFERROR(VLOOKUP($E122,Preenchimento!$A$2:$BV$1048576,8,0),""))</f>
        <v/>
      </c>
      <c r="H122" s="96" t="str">
        <f>IFERROR(VLOOKUP($E122,Preenchimento!$A$2:$BV$1048576,9,0),"")</f>
        <v/>
      </c>
      <c r="I122" s="96" t="str">
        <f>IFERROR(VLOOKUP($E122,Preenchimento!$A$2:$BV$1048576,10,0),"")</f>
        <v/>
      </c>
      <c r="J122" s="96" t="str">
        <f>IFERROR(VLOOKUP($E122,Preenchimento!$A$2:$BV$1048576,12,0),"")</f>
        <v/>
      </c>
      <c r="K122" s="96" t="str">
        <f>IFERROR(VLOOKUP($E122,Preenchimento!$A$2:$BV$1048576,6,0),"")</f>
        <v/>
      </c>
      <c r="L122" s="96" t="str">
        <f>IF(IFERROR(VLOOKUP($E122,Preenchimento!$A$2:$BV$1048576,53,0),"")=0,"",IFERROR(VLOOKUP($E122,Preenchimento!$A$2:$BV$1048576,53,0),""))</f>
        <v/>
      </c>
      <c r="M122" s="96" t="str">
        <f>IFERROR(VLOOKUP($E122,Preenchimento!$A$2:$BV$1048576,74,0),"")</f>
        <v/>
      </c>
    </row>
    <row r="123" spans="1:13" x14ac:dyDescent="0.2">
      <c r="A123" s="96">
        <f>Sitio!$E$3</f>
        <v>0</v>
      </c>
      <c r="B123" s="96" t="str">
        <f>IFERROR(VLOOKUP($E123,Preenchimento!$A$2:$BV$1048576,2,0),"")</f>
        <v/>
      </c>
      <c r="C123" s="96" t="str">
        <f>IFERROR(VLOOKUP($E123,Preenchimento!$A$2:$BV$1048576,4,0),"")</f>
        <v/>
      </c>
      <c r="D123" s="96" t="str">
        <f>IFERROR(VLOOKUP($E123,Preenchimento!$A$2:$BV$1048576,3,0),"")</f>
        <v/>
      </c>
      <c r="E123" s="96">
        <v>121</v>
      </c>
      <c r="F123" s="96" t="str">
        <f>IFERROR(VLOOKUP($E123,Preenchimento!$A$2:$BV$1048576,7,0),"")</f>
        <v/>
      </c>
      <c r="G123" s="96" t="str">
        <f>IF(IFERROR(VLOOKUP($E123,Preenchimento!$A$2:$BV$1048576,8,0),"")=0,"",IFERROR(VLOOKUP($E123,Preenchimento!$A$2:$BV$1048576,8,0),""))</f>
        <v/>
      </c>
      <c r="H123" s="96" t="str">
        <f>IFERROR(VLOOKUP($E123,Preenchimento!$A$2:$BV$1048576,9,0),"")</f>
        <v/>
      </c>
      <c r="I123" s="96" t="str">
        <f>IFERROR(VLOOKUP($E123,Preenchimento!$A$2:$BV$1048576,10,0),"")</f>
        <v/>
      </c>
      <c r="J123" s="96" t="str">
        <f>IFERROR(VLOOKUP($E123,Preenchimento!$A$2:$BV$1048576,12,0),"")</f>
        <v/>
      </c>
      <c r="K123" s="96" t="str">
        <f>IFERROR(VLOOKUP($E123,Preenchimento!$A$2:$BV$1048576,6,0),"")</f>
        <v/>
      </c>
      <c r="L123" s="96" t="str">
        <f>IF(IFERROR(VLOOKUP($E123,Preenchimento!$A$2:$BV$1048576,53,0),"")=0,"",IFERROR(VLOOKUP($E123,Preenchimento!$A$2:$BV$1048576,53,0),""))</f>
        <v/>
      </c>
      <c r="M123" s="96" t="str">
        <f>IFERROR(VLOOKUP($E123,Preenchimento!$A$2:$BV$1048576,74,0),"")</f>
        <v/>
      </c>
    </row>
    <row r="124" spans="1:13" x14ac:dyDescent="0.2">
      <c r="A124" s="96">
        <f>Sitio!$E$3</f>
        <v>0</v>
      </c>
      <c r="B124" s="96" t="str">
        <f>IFERROR(VLOOKUP($E124,Preenchimento!$A$2:$BV$1048576,2,0),"")</f>
        <v/>
      </c>
      <c r="C124" s="96" t="str">
        <f>IFERROR(VLOOKUP($E124,Preenchimento!$A$2:$BV$1048576,4,0),"")</f>
        <v/>
      </c>
      <c r="D124" s="96" t="str">
        <f>IFERROR(VLOOKUP($E124,Preenchimento!$A$2:$BV$1048576,3,0),"")</f>
        <v/>
      </c>
      <c r="E124" s="96">
        <v>122</v>
      </c>
      <c r="F124" s="96" t="str">
        <f>IFERROR(VLOOKUP($E124,Preenchimento!$A$2:$BV$1048576,7,0),"")</f>
        <v/>
      </c>
      <c r="G124" s="96" t="str">
        <f>IF(IFERROR(VLOOKUP($E124,Preenchimento!$A$2:$BV$1048576,8,0),"")=0,"",IFERROR(VLOOKUP($E124,Preenchimento!$A$2:$BV$1048576,8,0),""))</f>
        <v/>
      </c>
      <c r="H124" s="96" t="str">
        <f>IFERROR(VLOOKUP($E124,Preenchimento!$A$2:$BV$1048576,9,0),"")</f>
        <v/>
      </c>
      <c r="I124" s="96" t="str">
        <f>IFERROR(VLOOKUP($E124,Preenchimento!$A$2:$BV$1048576,10,0),"")</f>
        <v/>
      </c>
      <c r="J124" s="96" t="str">
        <f>IFERROR(VLOOKUP($E124,Preenchimento!$A$2:$BV$1048576,12,0),"")</f>
        <v/>
      </c>
      <c r="K124" s="96" t="str">
        <f>IFERROR(VLOOKUP($E124,Preenchimento!$A$2:$BV$1048576,6,0),"")</f>
        <v/>
      </c>
      <c r="L124" s="96" t="str">
        <f>IF(IFERROR(VLOOKUP($E124,Preenchimento!$A$2:$BV$1048576,53,0),"")=0,"",IFERROR(VLOOKUP($E124,Preenchimento!$A$2:$BV$1048576,53,0),""))</f>
        <v/>
      </c>
      <c r="M124" s="96" t="str">
        <f>IFERROR(VLOOKUP($E124,Preenchimento!$A$2:$BV$1048576,74,0),"")</f>
        <v/>
      </c>
    </row>
    <row r="125" spans="1:13" x14ac:dyDescent="0.2">
      <c r="A125" s="96">
        <f>Sitio!$E$3</f>
        <v>0</v>
      </c>
      <c r="B125" s="96" t="str">
        <f>IFERROR(VLOOKUP($E125,Preenchimento!$A$2:$BV$1048576,2,0),"")</f>
        <v/>
      </c>
      <c r="C125" s="96" t="str">
        <f>IFERROR(VLOOKUP($E125,Preenchimento!$A$2:$BV$1048576,4,0),"")</f>
        <v/>
      </c>
      <c r="D125" s="96" t="str">
        <f>IFERROR(VLOOKUP($E125,Preenchimento!$A$2:$BV$1048576,3,0),"")</f>
        <v/>
      </c>
      <c r="E125" s="96">
        <v>123</v>
      </c>
      <c r="F125" s="96" t="str">
        <f>IFERROR(VLOOKUP($E125,Preenchimento!$A$2:$BV$1048576,7,0),"")</f>
        <v/>
      </c>
      <c r="G125" s="96" t="str">
        <f>IF(IFERROR(VLOOKUP($E125,Preenchimento!$A$2:$BV$1048576,8,0),"")=0,"",IFERROR(VLOOKUP($E125,Preenchimento!$A$2:$BV$1048576,8,0),""))</f>
        <v/>
      </c>
      <c r="H125" s="96" t="str">
        <f>IFERROR(VLOOKUP($E125,Preenchimento!$A$2:$BV$1048576,9,0),"")</f>
        <v/>
      </c>
      <c r="I125" s="96" t="str">
        <f>IFERROR(VLOOKUP($E125,Preenchimento!$A$2:$BV$1048576,10,0),"")</f>
        <v/>
      </c>
      <c r="J125" s="96" t="str">
        <f>IFERROR(VLOOKUP($E125,Preenchimento!$A$2:$BV$1048576,12,0),"")</f>
        <v/>
      </c>
      <c r="K125" s="96" t="str">
        <f>IFERROR(VLOOKUP($E125,Preenchimento!$A$2:$BV$1048576,6,0),"")</f>
        <v/>
      </c>
      <c r="L125" s="96" t="str">
        <f>IF(IFERROR(VLOOKUP($E125,Preenchimento!$A$2:$BV$1048576,53,0),"")=0,"",IFERROR(VLOOKUP($E125,Preenchimento!$A$2:$BV$1048576,53,0),""))</f>
        <v/>
      </c>
      <c r="M125" s="96" t="str">
        <f>IFERROR(VLOOKUP($E125,Preenchimento!$A$2:$BV$1048576,74,0),"")</f>
        <v/>
      </c>
    </row>
    <row r="126" spans="1:13" x14ac:dyDescent="0.2">
      <c r="A126" s="96">
        <f>Sitio!$E$3</f>
        <v>0</v>
      </c>
      <c r="B126" s="96" t="str">
        <f>IFERROR(VLOOKUP($E126,Preenchimento!$A$2:$BV$1048576,2,0),"")</f>
        <v/>
      </c>
      <c r="C126" s="96" t="str">
        <f>IFERROR(VLOOKUP($E126,Preenchimento!$A$2:$BV$1048576,4,0),"")</f>
        <v/>
      </c>
      <c r="D126" s="96" t="str">
        <f>IFERROR(VLOOKUP($E126,Preenchimento!$A$2:$BV$1048576,3,0),"")</f>
        <v/>
      </c>
      <c r="E126" s="96">
        <v>124</v>
      </c>
      <c r="F126" s="96" t="str">
        <f>IFERROR(VLOOKUP($E126,Preenchimento!$A$2:$BV$1048576,7,0),"")</f>
        <v/>
      </c>
      <c r="G126" s="96" t="str">
        <f>IF(IFERROR(VLOOKUP($E126,Preenchimento!$A$2:$BV$1048576,8,0),"")=0,"",IFERROR(VLOOKUP($E126,Preenchimento!$A$2:$BV$1048576,8,0),""))</f>
        <v/>
      </c>
      <c r="H126" s="96" t="str">
        <f>IFERROR(VLOOKUP($E126,Preenchimento!$A$2:$BV$1048576,9,0),"")</f>
        <v/>
      </c>
      <c r="I126" s="96" t="str">
        <f>IFERROR(VLOOKUP($E126,Preenchimento!$A$2:$BV$1048576,10,0),"")</f>
        <v/>
      </c>
      <c r="J126" s="96" t="str">
        <f>IFERROR(VLOOKUP($E126,Preenchimento!$A$2:$BV$1048576,12,0),"")</f>
        <v/>
      </c>
      <c r="K126" s="96" t="str">
        <f>IFERROR(VLOOKUP($E126,Preenchimento!$A$2:$BV$1048576,6,0),"")</f>
        <v/>
      </c>
      <c r="L126" s="96" t="str">
        <f>IF(IFERROR(VLOOKUP($E126,Preenchimento!$A$2:$BV$1048576,53,0),"")=0,"",IFERROR(VLOOKUP($E126,Preenchimento!$A$2:$BV$1048576,53,0),""))</f>
        <v/>
      </c>
      <c r="M126" s="96" t="str">
        <f>IFERROR(VLOOKUP($E126,Preenchimento!$A$2:$BV$1048576,74,0),"")</f>
        <v/>
      </c>
    </row>
    <row r="127" spans="1:13" x14ac:dyDescent="0.2">
      <c r="A127" s="96">
        <f>Sitio!$E$3</f>
        <v>0</v>
      </c>
      <c r="B127" s="96" t="str">
        <f>IFERROR(VLOOKUP($E127,Preenchimento!$A$2:$BV$1048576,2,0),"")</f>
        <v/>
      </c>
      <c r="C127" s="96" t="str">
        <f>IFERROR(VLOOKUP($E127,Preenchimento!$A$2:$BV$1048576,4,0),"")</f>
        <v/>
      </c>
      <c r="D127" s="96" t="str">
        <f>IFERROR(VLOOKUP($E127,Preenchimento!$A$2:$BV$1048576,3,0),"")</f>
        <v/>
      </c>
      <c r="E127" s="96">
        <v>125</v>
      </c>
      <c r="F127" s="96" t="str">
        <f>IFERROR(VLOOKUP($E127,Preenchimento!$A$2:$BV$1048576,7,0),"")</f>
        <v/>
      </c>
      <c r="G127" s="96" t="str">
        <f>IF(IFERROR(VLOOKUP($E127,Preenchimento!$A$2:$BV$1048576,8,0),"")=0,"",IFERROR(VLOOKUP($E127,Preenchimento!$A$2:$BV$1048576,8,0),""))</f>
        <v/>
      </c>
      <c r="H127" s="96" t="str">
        <f>IFERROR(VLOOKUP($E127,Preenchimento!$A$2:$BV$1048576,9,0),"")</f>
        <v/>
      </c>
      <c r="I127" s="96" t="str">
        <f>IFERROR(VLOOKUP($E127,Preenchimento!$A$2:$BV$1048576,10,0),"")</f>
        <v/>
      </c>
      <c r="J127" s="96" t="str">
        <f>IFERROR(VLOOKUP($E127,Preenchimento!$A$2:$BV$1048576,12,0),"")</f>
        <v/>
      </c>
      <c r="K127" s="96" t="str">
        <f>IFERROR(VLOOKUP($E127,Preenchimento!$A$2:$BV$1048576,6,0),"")</f>
        <v/>
      </c>
      <c r="L127" s="96" t="str">
        <f>IF(IFERROR(VLOOKUP($E127,Preenchimento!$A$2:$BV$1048576,53,0),"")=0,"",IFERROR(VLOOKUP($E127,Preenchimento!$A$2:$BV$1048576,53,0),""))</f>
        <v/>
      </c>
      <c r="M127" s="96" t="str">
        <f>IFERROR(VLOOKUP($E127,Preenchimento!$A$2:$BV$1048576,74,0),"")</f>
        <v/>
      </c>
    </row>
    <row r="128" spans="1:13" x14ac:dyDescent="0.2">
      <c r="A128" s="96">
        <f>Sitio!$E$3</f>
        <v>0</v>
      </c>
      <c r="B128" s="96" t="str">
        <f>IFERROR(VLOOKUP($E128,Preenchimento!$A$2:$BV$1048576,2,0),"")</f>
        <v/>
      </c>
      <c r="C128" s="96" t="str">
        <f>IFERROR(VLOOKUP($E128,Preenchimento!$A$2:$BV$1048576,4,0),"")</f>
        <v/>
      </c>
      <c r="D128" s="96" t="str">
        <f>IFERROR(VLOOKUP($E128,Preenchimento!$A$2:$BV$1048576,3,0),"")</f>
        <v/>
      </c>
      <c r="E128" s="96">
        <v>126</v>
      </c>
      <c r="F128" s="96" t="str">
        <f>IFERROR(VLOOKUP($E128,Preenchimento!$A$2:$BV$1048576,7,0),"")</f>
        <v/>
      </c>
      <c r="G128" s="96" t="str">
        <f>IF(IFERROR(VLOOKUP($E128,Preenchimento!$A$2:$BV$1048576,8,0),"")=0,"",IFERROR(VLOOKUP($E128,Preenchimento!$A$2:$BV$1048576,8,0),""))</f>
        <v/>
      </c>
      <c r="H128" s="96" t="str">
        <f>IFERROR(VLOOKUP($E128,Preenchimento!$A$2:$BV$1048576,9,0),"")</f>
        <v/>
      </c>
      <c r="I128" s="96" t="str">
        <f>IFERROR(VLOOKUP($E128,Preenchimento!$A$2:$BV$1048576,10,0),"")</f>
        <v/>
      </c>
      <c r="J128" s="96" t="str">
        <f>IFERROR(VLOOKUP($E128,Preenchimento!$A$2:$BV$1048576,12,0),"")</f>
        <v/>
      </c>
      <c r="K128" s="96" t="str">
        <f>IFERROR(VLOOKUP($E128,Preenchimento!$A$2:$BV$1048576,6,0),"")</f>
        <v/>
      </c>
      <c r="L128" s="96" t="str">
        <f>IF(IFERROR(VLOOKUP($E128,Preenchimento!$A$2:$BV$1048576,53,0),"")=0,"",IFERROR(VLOOKUP($E128,Preenchimento!$A$2:$BV$1048576,53,0),""))</f>
        <v/>
      </c>
      <c r="M128" s="96" t="str">
        <f>IFERROR(VLOOKUP($E128,Preenchimento!$A$2:$BV$1048576,74,0),"")</f>
        <v/>
      </c>
    </row>
    <row r="129" spans="1:13" x14ac:dyDescent="0.2">
      <c r="A129" s="96">
        <f>Sitio!$E$3</f>
        <v>0</v>
      </c>
      <c r="B129" s="96" t="str">
        <f>IFERROR(VLOOKUP($E129,Preenchimento!$A$2:$BV$1048576,2,0),"")</f>
        <v/>
      </c>
      <c r="C129" s="96" t="str">
        <f>IFERROR(VLOOKUP($E129,Preenchimento!$A$2:$BV$1048576,4,0),"")</f>
        <v/>
      </c>
      <c r="D129" s="96" t="str">
        <f>IFERROR(VLOOKUP($E129,Preenchimento!$A$2:$BV$1048576,3,0),"")</f>
        <v/>
      </c>
      <c r="E129" s="96">
        <v>127</v>
      </c>
      <c r="F129" s="96" t="str">
        <f>IFERROR(VLOOKUP($E129,Preenchimento!$A$2:$BV$1048576,7,0),"")</f>
        <v/>
      </c>
      <c r="G129" s="96" t="str">
        <f>IF(IFERROR(VLOOKUP($E129,Preenchimento!$A$2:$BV$1048576,8,0),"")=0,"",IFERROR(VLOOKUP($E129,Preenchimento!$A$2:$BV$1048576,8,0),""))</f>
        <v/>
      </c>
      <c r="H129" s="96" t="str">
        <f>IFERROR(VLOOKUP($E129,Preenchimento!$A$2:$BV$1048576,9,0),"")</f>
        <v/>
      </c>
      <c r="I129" s="96" t="str">
        <f>IFERROR(VLOOKUP($E129,Preenchimento!$A$2:$BV$1048576,10,0),"")</f>
        <v/>
      </c>
      <c r="J129" s="96" t="str">
        <f>IFERROR(VLOOKUP($E129,Preenchimento!$A$2:$BV$1048576,12,0),"")</f>
        <v/>
      </c>
      <c r="K129" s="96" t="str">
        <f>IFERROR(VLOOKUP($E129,Preenchimento!$A$2:$BV$1048576,6,0),"")</f>
        <v/>
      </c>
      <c r="L129" s="96" t="str">
        <f>IF(IFERROR(VLOOKUP($E129,Preenchimento!$A$2:$BV$1048576,53,0),"")=0,"",IFERROR(VLOOKUP($E129,Preenchimento!$A$2:$BV$1048576,53,0),""))</f>
        <v/>
      </c>
      <c r="M129" s="96" t="str">
        <f>IFERROR(VLOOKUP($E129,Preenchimento!$A$2:$BV$1048576,74,0),"")</f>
        <v/>
      </c>
    </row>
    <row r="130" spans="1:13" x14ac:dyDescent="0.2">
      <c r="A130" s="96">
        <f>Sitio!$E$3</f>
        <v>0</v>
      </c>
      <c r="B130" s="96" t="str">
        <f>IFERROR(VLOOKUP($E130,Preenchimento!$A$2:$BV$1048576,2,0),"")</f>
        <v/>
      </c>
      <c r="C130" s="96" t="str">
        <f>IFERROR(VLOOKUP($E130,Preenchimento!$A$2:$BV$1048576,4,0),"")</f>
        <v/>
      </c>
      <c r="D130" s="96" t="str">
        <f>IFERROR(VLOOKUP($E130,Preenchimento!$A$2:$BV$1048576,3,0),"")</f>
        <v/>
      </c>
      <c r="E130" s="96">
        <v>128</v>
      </c>
      <c r="F130" s="96" t="str">
        <f>IFERROR(VLOOKUP($E130,Preenchimento!$A$2:$BV$1048576,7,0),"")</f>
        <v/>
      </c>
      <c r="G130" s="96" t="str">
        <f>IF(IFERROR(VLOOKUP($E130,Preenchimento!$A$2:$BV$1048576,8,0),"")=0,"",IFERROR(VLOOKUP($E130,Preenchimento!$A$2:$BV$1048576,8,0),""))</f>
        <v/>
      </c>
      <c r="H130" s="96" t="str">
        <f>IFERROR(VLOOKUP($E130,Preenchimento!$A$2:$BV$1048576,9,0),"")</f>
        <v/>
      </c>
      <c r="I130" s="96" t="str">
        <f>IFERROR(VLOOKUP($E130,Preenchimento!$A$2:$BV$1048576,10,0),"")</f>
        <v/>
      </c>
      <c r="J130" s="96" t="str">
        <f>IFERROR(VLOOKUP($E130,Preenchimento!$A$2:$BV$1048576,12,0),"")</f>
        <v/>
      </c>
      <c r="K130" s="96" t="str">
        <f>IFERROR(VLOOKUP($E130,Preenchimento!$A$2:$BV$1048576,6,0),"")</f>
        <v/>
      </c>
      <c r="L130" s="96" t="str">
        <f>IF(IFERROR(VLOOKUP($E130,Preenchimento!$A$2:$BV$1048576,53,0),"")=0,"",IFERROR(VLOOKUP($E130,Preenchimento!$A$2:$BV$1048576,53,0),""))</f>
        <v/>
      </c>
      <c r="M130" s="96" t="str">
        <f>IFERROR(VLOOKUP($E130,Preenchimento!$A$2:$BV$1048576,74,0),"")</f>
        <v/>
      </c>
    </row>
    <row r="131" spans="1:13" x14ac:dyDescent="0.2">
      <c r="A131" s="96">
        <f>Sitio!$E$3</f>
        <v>0</v>
      </c>
      <c r="B131" s="96" t="str">
        <f>IFERROR(VLOOKUP($E131,Preenchimento!$A$2:$BV$1048576,2,0),"")</f>
        <v/>
      </c>
      <c r="C131" s="96" t="str">
        <f>IFERROR(VLOOKUP($E131,Preenchimento!$A$2:$BV$1048576,4,0),"")</f>
        <v/>
      </c>
      <c r="D131" s="96" t="str">
        <f>IFERROR(VLOOKUP($E131,Preenchimento!$A$2:$BV$1048576,3,0),"")</f>
        <v/>
      </c>
      <c r="E131" s="96">
        <v>129</v>
      </c>
      <c r="F131" s="96" t="str">
        <f>IFERROR(VLOOKUP($E131,Preenchimento!$A$2:$BV$1048576,7,0),"")</f>
        <v/>
      </c>
      <c r="G131" s="96" t="str">
        <f>IF(IFERROR(VLOOKUP($E131,Preenchimento!$A$2:$BV$1048576,8,0),"")=0,"",IFERROR(VLOOKUP($E131,Preenchimento!$A$2:$BV$1048576,8,0),""))</f>
        <v/>
      </c>
      <c r="H131" s="96" t="str">
        <f>IFERROR(VLOOKUP($E131,Preenchimento!$A$2:$BV$1048576,9,0),"")</f>
        <v/>
      </c>
      <c r="I131" s="96" t="str">
        <f>IFERROR(VLOOKUP($E131,Preenchimento!$A$2:$BV$1048576,10,0),"")</f>
        <v/>
      </c>
      <c r="J131" s="96" t="str">
        <f>IFERROR(VLOOKUP($E131,Preenchimento!$A$2:$BV$1048576,12,0),"")</f>
        <v/>
      </c>
      <c r="K131" s="96" t="str">
        <f>IFERROR(VLOOKUP($E131,Preenchimento!$A$2:$BV$1048576,6,0),"")</f>
        <v/>
      </c>
      <c r="L131" s="96" t="str">
        <f>IF(IFERROR(VLOOKUP($E131,Preenchimento!$A$2:$BV$1048576,53,0),"")=0,"",IFERROR(VLOOKUP($E131,Preenchimento!$A$2:$BV$1048576,53,0),""))</f>
        <v/>
      </c>
      <c r="M131" s="96" t="str">
        <f>IFERROR(VLOOKUP($E131,Preenchimento!$A$2:$BV$1048576,74,0),"")</f>
        <v/>
      </c>
    </row>
    <row r="132" spans="1:13" x14ac:dyDescent="0.2">
      <c r="A132" s="96">
        <f>Sitio!$E$3</f>
        <v>0</v>
      </c>
      <c r="B132" s="96" t="str">
        <f>IFERROR(VLOOKUP($E132,Preenchimento!$A$2:$BV$1048576,2,0),"")</f>
        <v/>
      </c>
      <c r="C132" s="96" t="str">
        <f>IFERROR(VLOOKUP($E132,Preenchimento!$A$2:$BV$1048576,4,0),"")</f>
        <v/>
      </c>
      <c r="D132" s="96" t="str">
        <f>IFERROR(VLOOKUP($E132,Preenchimento!$A$2:$BV$1048576,3,0),"")</f>
        <v/>
      </c>
      <c r="E132" s="96">
        <v>130</v>
      </c>
      <c r="F132" s="96" t="str">
        <f>IFERROR(VLOOKUP($E132,Preenchimento!$A$2:$BV$1048576,7,0),"")</f>
        <v/>
      </c>
      <c r="G132" s="96" t="str">
        <f>IF(IFERROR(VLOOKUP($E132,Preenchimento!$A$2:$BV$1048576,8,0),"")=0,"",IFERROR(VLOOKUP($E132,Preenchimento!$A$2:$BV$1048576,8,0),""))</f>
        <v/>
      </c>
      <c r="H132" s="96" t="str">
        <f>IFERROR(VLOOKUP($E132,Preenchimento!$A$2:$BV$1048576,9,0),"")</f>
        <v/>
      </c>
      <c r="I132" s="96" t="str">
        <f>IFERROR(VLOOKUP($E132,Preenchimento!$A$2:$BV$1048576,10,0),"")</f>
        <v/>
      </c>
      <c r="J132" s="96" t="str">
        <f>IFERROR(VLOOKUP($E132,Preenchimento!$A$2:$BV$1048576,12,0),"")</f>
        <v/>
      </c>
      <c r="K132" s="96" t="str">
        <f>IFERROR(VLOOKUP($E132,Preenchimento!$A$2:$BV$1048576,6,0),"")</f>
        <v/>
      </c>
      <c r="L132" s="96" t="str">
        <f>IF(IFERROR(VLOOKUP($E132,Preenchimento!$A$2:$BV$1048576,53,0),"")=0,"",IFERROR(VLOOKUP($E132,Preenchimento!$A$2:$BV$1048576,53,0),""))</f>
        <v/>
      </c>
      <c r="M132" s="96" t="str">
        <f>IFERROR(VLOOKUP($E132,Preenchimento!$A$2:$BV$1048576,74,0),"")</f>
        <v/>
      </c>
    </row>
    <row r="133" spans="1:13" x14ac:dyDescent="0.2">
      <c r="A133" s="96">
        <f>Sitio!$E$3</f>
        <v>0</v>
      </c>
      <c r="B133" s="96" t="str">
        <f>IFERROR(VLOOKUP($E133,Preenchimento!$A$2:$BV$1048576,2,0),"")</f>
        <v/>
      </c>
      <c r="C133" s="96" t="str">
        <f>IFERROR(VLOOKUP($E133,Preenchimento!$A$2:$BV$1048576,4,0),"")</f>
        <v/>
      </c>
      <c r="D133" s="96" t="str">
        <f>IFERROR(VLOOKUP($E133,Preenchimento!$A$2:$BV$1048576,3,0),"")</f>
        <v/>
      </c>
      <c r="E133" s="96">
        <v>131</v>
      </c>
      <c r="F133" s="96" t="str">
        <f>IFERROR(VLOOKUP($E133,Preenchimento!$A$2:$BV$1048576,7,0),"")</f>
        <v/>
      </c>
      <c r="G133" s="96" t="str">
        <f>IF(IFERROR(VLOOKUP($E133,Preenchimento!$A$2:$BV$1048576,8,0),"")=0,"",IFERROR(VLOOKUP($E133,Preenchimento!$A$2:$BV$1048576,8,0),""))</f>
        <v/>
      </c>
      <c r="H133" s="96" t="str">
        <f>IFERROR(VLOOKUP($E133,Preenchimento!$A$2:$BV$1048576,9,0),"")</f>
        <v/>
      </c>
      <c r="I133" s="96" t="str">
        <f>IFERROR(VLOOKUP($E133,Preenchimento!$A$2:$BV$1048576,10,0),"")</f>
        <v/>
      </c>
      <c r="J133" s="96" t="str">
        <f>IFERROR(VLOOKUP($E133,Preenchimento!$A$2:$BV$1048576,12,0),"")</f>
        <v/>
      </c>
      <c r="K133" s="96" t="str">
        <f>IFERROR(VLOOKUP($E133,Preenchimento!$A$2:$BV$1048576,6,0),"")</f>
        <v/>
      </c>
      <c r="L133" s="96" t="str">
        <f>IF(IFERROR(VLOOKUP($E133,Preenchimento!$A$2:$BV$1048576,53,0),"")=0,"",IFERROR(VLOOKUP($E133,Preenchimento!$A$2:$BV$1048576,53,0),""))</f>
        <v/>
      </c>
      <c r="M133" s="96" t="str">
        <f>IFERROR(VLOOKUP($E133,Preenchimento!$A$2:$BV$1048576,74,0),"")</f>
        <v/>
      </c>
    </row>
    <row r="134" spans="1:13" x14ac:dyDescent="0.2">
      <c r="A134" s="96">
        <f>Sitio!$E$3</f>
        <v>0</v>
      </c>
      <c r="B134" s="96" t="str">
        <f>IFERROR(VLOOKUP($E134,Preenchimento!$A$2:$BV$1048576,2,0),"")</f>
        <v/>
      </c>
      <c r="C134" s="96" t="str">
        <f>IFERROR(VLOOKUP($E134,Preenchimento!$A$2:$BV$1048576,4,0),"")</f>
        <v/>
      </c>
      <c r="D134" s="96" t="str">
        <f>IFERROR(VLOOKUP($E134,Preenchimento!$A$2:$BV$1048576,3,0),"")</f>
        <v/>
      </c>
      <c r="E134" s="96">
        <v>132</v>
      </c>
      <c r="F134" s="96" t="str">
        <f>IFERROR(VLOOKUP($E134,Preenchimento!$A$2:$BV$1048576,7,0),"")</f>
        <v/>
      </c>
      <c r="G134" s="96" t="str">
        <f>IF(IFERROR(VLOOKUP($E134,Preenchimento!$A$2:$BV$1048576,8,0),"")=0,"",IFERROR(VLOOKUP($E134,Preenchimento!$A$2:$BV$1048576,8,0),""))</f>
        <v/>
      </c>
      <c r="H134" s="96" t="str">
        <f>IFERROR(VLOOKUP($E134,Preenchimento!$A$2:$BV$1048576,9,0),"")</f>
        <v/>
      </c>
      <c r="I134" s="96" t="str">
        <f>IFERROR(VLOOKUP($E134,Preenchimento!$A$2:$BV$1048576,10,0),"")</f>
        <v/>
      </c>
      <c r="J134" s="96" t="str">
        <f>IFERROR(VLOOKUP($E134,Preenchimento!$A$2:$BV$1048576,12,0),"")</f>
        <v/>
      </c>
      <c r="K134" s="96" t="str">
        <f>IFERROR(VLOOKUP($E134,Preenchimento!$A$2:$BV$1048576,6,0),"")</f>
        <v/>
      </c>
      <c r="L134" s="96" t="str">
        <f>IF(IFERROR(VLOOKUP($E134,Preenchimento!$A$2:$BV$1048576,53,0),"")=0,"",IFERROR(VLOOKUP($E134,Preenchimento!$A$2:$BV$1048576,53,0),""))</f>
        <v/>
      </c>
      <c r="M134" s="96" t="str">
        <f>IFERROR(VLOOKUP($E134,Preenchimento!$A$2:$BV$1048576,74,0),"")</f>
        <v/>
      </c>
    </row>
    <row r="135" spans="1:13" x14ac:dyDescent="0.2">
      <c r="A135" s="96">
        <f>Sitio!$E$3</f>
        <v>0</v>
      </c>
      <c r="B135" s="96" t="str">
        <f>IFERROR(VLOOKUP($E135,Preenchimento!$A$2:$BV$1048576,2,0),"")</f>
        <v/>
      </c>
      <c r="C135" s="96" t="str">
        <f>IFERROR(VLOOKUP($E135,Preenchimento!$A$2:$BV$1048576,4,0),"")</f>
        <v/>
      </c>
      <c r="D135" s="96" t="str">
        <f>IFERROR(VLOOKUP($E135,Preenchimento!$A$2:$BV$1048576,3,0),"")</f>
        <v/>
      </c>
      <c r="E135" s="96">
        <v>133</v>
      </c>
      <c r="F135" s="96" t="str">
        <f>IFERROR(VLOOKUP($E135,Preenchimento!$A$2:$BV$1048576,7,0),"")</f>
        <v/>
      </c>
      <c r="G135" s="96" t="str">
        <f>IF(IFERROR(VLOOKUP($E135,Preenchimento!$A$2:$BV$1048576,8,0),"")=0,"",IFERROR(VLOOKUP($E135,Preenchimento!$A$2:$BV$1048576,8,0),""))</f>
        <v/>
      </c>
      <c r="H135" s="96" t="str">
        <f>IFERROR(VLOOKUP($E135,Preenchimento!$A$2:$BV$1048576,9,0),"")</f>
        <v/>
      </c>
      <c r="I135" s="96" t="str">
        <f>IFERROR(VLOOKUP($E135,Preenchimento!$A$2:$BV$1048576,10,0),"")</f>
        <v/>
      </c>
      <c r="J135" s="96" t="str">
        <f>IFERROR(VLOOKUP($E135,Preenchimento!$A$2:$BV$1048576,12,0),"")</f>
        <v/>
      </c>
      <c r="K135" s="96" t="str">
        <f>IFERROR(VLOOKUP($E135,Preenchimento!$A$2:$BV$1048576,6,0),"")</f>
        <v/>
      </c>
      <c r="L135" s="96" t="str">
        <f>IF(IFERROR(VLOOKUP($E135,Preenchimento!$A$2:$BV$1048576,53,0),"")=0,"",IFERROR(VLOOKUP($E135,Preenchimento!$A$2:$BV$1048576,53,0),""))</f>
        <v/>
      </c>
      <c r="M135" s="96" t="str">
        <f>IFERROR(VLOOKUP($E135,Preenchimento!$A$2:$BV$1048576,74,0),"")</f>
        <v/>
      </c>
    </row>
    <row r="136" spans="1:13" x14ac:dyDescent="0.2">
      <c r="A136" s="96">
        <f>Sitio!$E$3</f>
        <v>0</v>
      </c>
      <c r="B136" s="96" t="str">
        <f>IFERROR(VLOOKUP($E136,Preenchimento!$A$2:$BV$1048576,2,0),"")</f>
        <v/>
      </c>
      <c r="C136" s="96" t="str">
        <f>IFERROR(VLOOKUP($E136,Preenchimento!$A$2:$BV$1048576,4,0),"")</f>
        <v/>
      </c>
      <c r="D136" s="96" t="str">
        <f>IFERROR(VLOOKUP($E136,Preenchimento!$A$2:$BV$1048576,3,0),"")</f>
        <v/>
      </c>
      <c r="E136" s="96">
        <v>134</v>
      </c>
      <c r="F136" s="96" t="str">
        <f>IFERROR(VLOOKUP($E136,Preenchimento!$A$2:$BV$1048576,7,0),"")</f>
        <v/>
      </c>
      <c r="G136" s="96" t="str">
        <f>IF(IFERROR(VLOOKUP($E136,Preenchimento!$A$2:$BV$1048576,8,0),"")=0,"",IFERROR(VLOOKUP($E136,Preenchimento!$A$2:$BV$1048576,8,0),""))</f>
        <v/>
      </c>
      <c r="H136" s="96" t="str">
        <f>IFERROR(VLOOKUP($E136,Preenchimento!$A$2:$BV$1048576,9,0),"")</f>
        <v/>
      </c>
      <c r="I136" s="96" t="str">
        <f>IFERROR(VLOOKUP($E136,Preenchimento!$A$2:$BV$1048576,10,0),"")</f>
        <v/>
      </c>
      <c r="J136" s="96" t="str">
        <f>IFERROR(VLOOKUP($E136,Preenchimento!$A$2:$BV$1048576,12,0),"")</f>
        <v/>
      </c>
      <c r="K136" s="96" t="str">
        <f>IFERROR(VLOOKUP($E136,Preenchimento!$A$2:$BV$1048576,6,0),"")</f>
        <v/>
      </c>
      <c r="L136" s="96" t="str">
        <f>IF(IFERROR(VLOOKUP($E136,Preenchimento!$A$2:$BV$1048576,53,0),"")=0,"",IFERROR(VLOOKUP($E136,Preenchimento!$A$2:$BV$1048576,53,0),""))</f>
        <v/>
      </c>
      <c r="M136" s="96" t="str">
        <f>IFERROR(VLOOKUP($E136,Preenchimento!$A$2:$BV$1048576,74,0),"")</f>
        <v/>
      </c>
    </row>
    <row r="137" spans="1:13" x14ac:dyDescent="0.2">
      <c r="A137" s="96">
        <f>Sitio!$E$3</f>
        <v>0</v>
      </c>
      <c r="B137" s="96" t="str">
        <f>IFERROR(VLOOKUP($E137,Preenchimento!$A$2:$BV$1048576,2,0),"")</f>
        <v/>
      </c>
      <c r="C137" s="96" t="str">
        <f>IFERROR(VLOOKUP($E137,Preenchimento!$A$2:$BV$1048576,4,0),"")</f>
        <v/>
      </c>
      <c r="D137" s="96" t="str">
        <f>IFERROR(VLOOKUP($E137,Preenchimento!$A$2:$BV$1048576,3,0),"")</f>
        <v/>
      </c>
      <c r="E137" s="96">
        <v>135</v>
      </c>
      <c r="F137" s="96" t="str">
        <f>IFERROR(VLOOKUP($E137,Preenchimento!$A$2:$BV$1048576,7,0),"")</f>
        <v/>
      </c>
      <c r="G137" s="96" t="str">
        <f>IF(IFERROR(VLOOKUP($E137,Preenchimento!$A$2:$BV$1048576,8,0),"")=0,"",IFERROR(VLOOKUP($E137,Preenchimento!$A$2:$BV$1048576,8,0),""))</f>
        <v/>
      </c>
      <c r="H137" s="96" t="str">
        <f>IFERROR(VLOOKUP($E137,Preenchimento!$A$2:$BV$1048576,9,0),"")</f>
        <v/>
      </c>
      <c r="I137" s="96" t="str">
        <f>IFERROR(VLOOKUP($E137,Preenchimento!$A$2:$BV$1048576,10,0),"")</f>
        <v/>
      </c>
      <c r="J137" s="96" t="str">
        <f>IFERROR(VLOOKUP($E137,Preenchimento!$A$2:$BV$1048576,12,0),"")</f>
        <v/>
      </c>
      <c r="K137" s="96" t="str">
        <f>IFERROR(VLOOKUP($E137,Preenchimento!$A$2:$BV$1048576,6,0),"")</f>
        <v/>
      </c>
      <c r="L137" s="96" t="str">
        <f>IF(IFERROR(VLOOKUP($E137,Preenchimento!$A$2:$BV$1048576,53,0),"")=0,"",IFERROR(VLOOKUP($E137,Preenchimento!$A$2:$BV$1048576,53,0),""))</f>
        <v/>
      </c>
      <c r="M137" s="96" t="str">
        <f>IFERROR(VLOOKUP($E137,Preenchimento!$A$2:$BV$1048576,74,0),"")</f>
        <v/>
      </c>
    </row>
    <row r="138" spans="1:13" x14ac:dyDescent="0.2">
      <c r="A138" s="96">
        <f>Sitio!$E$3</f>
        <v>0</v>
      </c>
      <c r="B138" s="96" t="str">
        <f>IFERROR(VLOOKUP($E138,Preenchimento!$A$2:$BV$1048576,2,0),"")</f>
        <v/>
      </c>
      <c r="C138" s="96" t="str">
        <f>IFERROR(VLOOKUP($E138,Preenchimento!$A$2:$BV$1048576,4,0),"")</f>
        <v/>
      </c>
      <c r="D138" s="96" t="str">
        <f>IFERROR(VLOOKUP($E138,Preenchimento!$A$2:$BV$1048576,3,0),"")</f>
        <v/>
      </c>
      <c r="E138" s="96">
        <v>136</v>
      </c>
      <c r="F138" s="96" t="str">
        <f>IFERROR(VLOOKUP($E138,Preenchimento!$A$2:$BV$1048576,7,0),"")</f>
        <v/>
      </c>
      <c r="G138" s="96" t="str">
        <f>IF(IFERROR(VLOOKUP($E138,Preenchimento!$A$2:$BV$1048576,8,0),"")=0,"",IFERROR(VLOOKUP($E138,Preenchimento!$A$2:$BV$1048576,8,0),""))</f>
        <v/>
      </c>
      <c r="H138" s="96" t="str">
        <f>IFERROR(VLOOKUP($E138,Preenchimento!$A$2:$BV$1048576,9,0),"")</f>
        <v/>
      </c>
      <c r="I138" s="96" t="str">
        <f>IFERROR(VLOOKUP($E138,Preenchimento!$A$2:$BV$1048576,10,0),"")</f>
        <v/>
      </c>
      <c r="J138" s="96" t="str">
        <f>IFERROR(VLOOKUP($E138,Preenchimento!$A$2:$BV$1048576,12,0),"")</f>
        <v/>
      </c>
      <c r="K138" s="96" t="str">
        <f>IFERROR(VLOOKUP($E138,Preenchimento!$A$2:$BV$1048576,6,0),"")</f>
        <v/>
      </c>
      <c r="L138" s="96" t="str">
        <f>IF(IFERROR(VLOOKUP($E138,Preenchimento!$A$2:$BV$1048576,53,0),"")=0,"",IFERROR(VLOOKUP($E138,Preenchimento!$A$2:$BV$1048576,53,0),""))</f>
        <v/>
      </c>
      <c r="M138" s="96" t="str">
        <f>IFERROR(VLOOKUP($E138,Preenchimento!$A$2:$BV$1048576,74,0),"")</f>
        <v/>
      </c>
    </row>
    <row r="139" spans="1:13" x14ac:dyDescent="0.2">
      <c r="A139" s="96">
        <f>Sitio!$E$3</f>
        <v>0</v>
      </c>
      <c r="B139" s="96" t="str">
        <f>IFERROR(VLOOKUP($E139,Preenchimento!$A$2:$BV$1048576,2,0),"")</f>
        <v/>
      </c>
      <c r="C139" s="96" t="str">
        <f>IFERROR(VLOOKUP($E139,Preenchimento!$A$2:$BV$1048576,4,0),"")</f>
        <v/>
      </c>
      <c r="D139" s="96" t="str">
        <f>IFERROR(VLOOKUP($E139,Preenchimento!$A$2:$BV$1048576,3,0),"")</f>
        <v/>
      </c>
      <c r="E139" s="96">
        <v>137</v>
      </c>
      <c r="F139" s="96" t="str">
        <f>IFERROR(VLOOKUP($E139,Preenchimento!$A$2:$BV$1048576,7,0),"")</f>
        <v/>
      </c>
      <c r="G139" s="96" t="str">
        <f>IF(IFERROR(VLOOKUP($E139,Preenchimento!$A$2:$BV$1048576,8,0),"")=0,"",IFERROR(VLOOKUP($E139,Preenchimento!$A$2:$BV$1048576,8,0),""))</f>
        <v/>
      </c>
      <c r="H139" s="96" t="str">
        <f>IFERROR(VLOOKUP($E139,Preenchimento!$A$2:$BV$1048576,9,0),"")</f>
        <v/>
      </c>
      <c r="I139" s="96" t="str">
        <f>IFERROR(VLOOKUP($E139,Preenchimento!$A$2:$BV$1048576,10,0),"")</f>
        <v/>
      </c>
      <c r="J139" s="96" t="str">
        <f>IFERROR(VLOOKUP($E139,Preenchimento!$A$2:$BV$1048576,12,0),"")</f>
        <v/>
      </c>
      <c r="K139" s="96" t="str">
        <f>IFERROR(VLOOKUP($E139,Preenchimento!$A$2:$BV$1048576,6,0),"")</f>
        <v/>
      </c>
      <c r="L139" s="96" t="str">
        <f>IF(IFERROR(VLOOKUP($E139,Preenchimento!$A$2:$BV$1048576,53,0),"")=0,"",IFERROR(VLOOKUP($E139,Preenchimento!$A$2:$BV$1048576,53,0),""))</f>
        <v/>
      </c>
      <c r="M139" s="96" t="str">
        <f>IFERROR(VLOOKUP($E139,Preenchimento!$A$2:$BV$1048576,74,0),"")</f>
        <v/>
      </c>
    </row>
    <row r="140" spans="1:13" x14ac:dyDescent="0.2">
      <c r="A140" s="96">
        <f>Sitio!$E$3</f>
        <v>0</v>
      </c>
      <c r="B140" s="96" t="str">
        <f>IFERROR(VLOOKUP($E140,Preenchimento!$A$2:$BV$1048576,2,0),"")</f>
        <v/>
      </c>
      <c r="C140" s="96" t="str">
        <f>IFERROR(VLOOKUP($E140,Preenchimento!$A$2:$BV$1048576,4,0),"")</f>
        <v/>
      </c>
      <c r="D140" s="96" t="str">
        <f>IFERROR(VLOOKUP($E140,Preenchimento!$A$2:$BV$1048576,3,0),"")</f>
        <v/>
      </c>
      <c r="E140" s="96">
        <v>138</v>
      </c>
      <c r="F140" s="96" t="str">
        <f>IFERROR(VLOOKUP($E140,Preenchimento!$A$2:$BV$1048576,7,0),"")</f>
        <v/>
      </c>
      <c r="G140" s="96" t="str">
        <f>IF(IFERROR(VLOOKUP($E140,Preenchimento!$A$2:$BV$1048576,8,0),"")=0,"",IFERROR(VLOOKUP($E140,Preenchimento!$A$2:$BV$1048576,8,0),""))</f>
        <v/>
      </c>
      <c r="H140" s="96" t="str">
        <f>IFERROR(VLOOKUP($E140,Preenchimento!$A$2:$BV$1048576,9,0),"")</f>
        <v/>
      </c>
      <c r="I140" s="96" t="str">
        <f>IFERROR(VLOOKUP($E140,Preenchimento!$A$2:$BV$1048576,10,0),"")</f>
        <v/>
      </c>
      <c r="J140" s="96" t="str">
        <f>IFERROR(VLOOKUP($E140,Preenchimento!$A$2:$BV$1048576,12,0),"")</f>
        <v/>
      </c>
      <c r="K140" s="96" t="str">
        <f>IFERROR(VLOOKUP($E140,Preenchimento!$A$2:$BV$1048576,6,0),"")</f>
        <v/>
      </c>
      <c r="L140" s="96" t="str">
        <f>IF(IFERROR(VLOOKUP($E140,Preenchimento!$A$2:$BV$1048576,53,0),"")=0,"",IFERROR(VLOOKUP($E140,Preenchimento!$A$2:$BV$1048576,53,0),""))</f>
        <v/>
      </c>
      <c r="M140" s="96" t="str">
        <f>IFERROR(VLOOKUP($E140,Preenchimento!$A$2:$BV$1048576,74,0),"")</f>
        <v/>
      </c>
    </row>
    <row r="141" spans="1:13" x14ac:dyDescent="0.2">
      <c r="A141" s="96">
        <f>Sitio!$E$3</f>
        <v>0</v>
      </c>
      <c r="B141" s="96" t="str">
        <f>IFERROR(VLOOKUP($E141,Preenchimento!$A$2:$BV$1048576,2,0),"")</f>
        <v/>
      </c>
      <c r="C141" s="96" t="str">
        <f>IFERROR(VLOOKUP($E141,Preenchimento!$A$2:$BV$1048576,4,0),"")</f>
        <v/>
      </c>
      <c r="D141" s="96" t="str">
        <f>IFERROR(VLOOKUP($E141,Preenchimento!$A$2:$BV$1048576,3,0),"")</f>
        <v/>
      </c>
      <c r="E141" s="96">
        <v>139</v>
      </c>
      <c r="F141" s="96" t="str">
        <f>IFERROR(VLOOKUP($E141,Preenchimento!$A$2:$BV$1048576,7,0),"")</f>
        <v/>
      </c>
      <c r="G141" s="96" t="str">
        <f>IF(IFERROR(VLOOKUP($E141,Preenchimento!$A$2:$BV$1048576,8,0),"")=0,"",IFERROR(VLOOKUP($E141,Preenchimento!$A$2:$BV$1048576,8,0),""))</f>
        <v/>
      </c>
      <c r="H141" s="96" t="str">
        <f>IFERROR(VLOOKUP($E141,Preenchimento!$A$2:$BV$1048576,9,0),"")</f>
        <v/>
      </c>
      <c r="I141" s="96" t="str">
        <f>IFERROR(VLOOKUP($E141,Preenchimento!$A$2:$BV$1048576,10,0),"")</f>
        <v/>
      </c>
      <c r="J141" s="96" t="str">
        <f>IFERROR(VLOOKUP($E141,Preenchimento!$A$2:$BV$1048576,12,0),"")</f>
        <v/>
      </c>
      <c r="K141" s="96" t="str">
        <f>IFERROR(VLOOKUP($E141,Preenchimento!$A$2:$BV$1048576,6,0),"")</f>
        <v/>
      </c>
      <c r="L141" s="96" t="str">
        <f>IF(IFERROR(VLOOKUP($E141,Preenchimento!$A$2:$BV$1048576,53,0),"")=0,"",IFERROR(VLOOKUP($E141,Preenchimento!$A$2:$BV$1048576,53,0),""))</f>
        <v/>
      </c>
      <c r="M141" s="96" t="str">
        <f>IFERROR(VLOOKUP($E141,Preenchimento!$A$2:$BV$1048576,74,0),"")</f>
        <v/>
      </c>
    </row>
    <row r="142" spans="1:13" x14ac:dyDescent="0.2">
      <c r="A142" s="96">
        <f>Sitio!$E$3</f>
        <v>0</v>
      </c>
      <c r="B142" s="96" t="str">
        <f>IFERROR(VLOOKUP($E142,Preenchimento!$A$2:$BV$1048576,2,0),"")</f>
        <v/>
      </c>
      <c r="C142" s="96" t="str">
        <f>IFERROR(VLOOKUP($E142,Preenchimento!$A$2:$BV$1048576,4,0),"")</f>
        <v/>
      </c>
      <c r="D142" s="96" t="str">
        <f>IFERROR(VLOOKUP($E142,Preenchimento!$A$2:$BV$1048576,3,0),"")</f>
        <v/>
      </c>
      <c r="E142" s="96">
        <v>140</v>
      </c>
      <c r="F142" s="96" t="str">
        <f>IFERROR(VLOOKUP($E142,Preenchimento!$A$2:$BV$1048576,7,0),"")</f>
        <v/>
      </c>
      <c r="G142" s="96" t="str">
        <f>IF(IFERROR(VLOOKUP($E142,Preenchimento!$A$2:$BV$1048576,8,0),"")=0,"",IFERROR(VLOOKUP($E142,Preenchimento!$A$2:$BV$1048576,8,0),""))</f>
        <v/>
      </c>
      <c r="H142" s="96" t="str">
        <f>IFERROR(VLOOKUP($E142,Preenchimento!$A$2:$BV$1048576,9,0),"")</f>
        <v/>
      </c>
      <c r="I142" s="96" t="str">
        <f>IFERROR(VLOOKUP($E142,Preenchimento!$A$2:$BV$1048576,10,0),"")</f>
        <v/>
      </c>
      <c r="J142" s="96" t="str">
        <f>IFERROR(VLOOKUP($E142,Preenchimento!$A$2:$BV$1048576,12,0),"")</f>
        <v/>
      </c>
      <c r="K142" s="96" t="str">
        <f>IFERROR(VLOOKUP($E142,Preenchimento!$A$2:$BV$1048576,6,0),"")</f>
        <v/>
      </c>
      <c r="L142" s="96" t="str">
        <f>IF(IFERROR(VLOOKUP($E142,Preenchimento!$A$2:$BV$1048576,53,0),"")=0,"",IFERROR(VLOOKUP($E142,Preenchimento!$A$2:$BV$1048576,53,0),""))</f>
        <v/>
      </c>
      <c r="M142" s="96" t="str">
        <f>IFERROR(VLOOKUP($E142,Preenchimento!$A$2:$BV$1048576,74,0),"")</f>
        <v/>
      </c>
    </row>
    <row r="143" spans="1:13" x14ac:dyDescent="0.2">
      <c r="A143" s="96">
        <f>Sitio!$E$3</f>
        <v>0</v>
      </c>
      <c r="B143" s="96" t="str">
        <f>IFERROR(VLOOKUP($E143,Preenchimento!$A$2:$BV$1048576,2,0),"")</f>
        <v/>
      </c>
      <c r="C143" s="96" t="str">
        <f>IFERROR(VLOOKUP($E143,Preenchimento!$A$2:$BV$1048576,4,0),"")</f>
        <v/>
      </c>
      <c r="D143" s="96" t="str">
        <f>IFERROR(VLOOKUP($E143,Preenchimento!$A$2:$BV$1048576,3,0),"")</f>
        <v/>
      </c>
      <c r="E143" s="96">
        <v>141</v>
      </c>
      <c r="F143" s="96" t="str">
        <f>IFERROR(VLOOKUP($E143,Preenchimento!$A$2:$BV$1048576,7,0),"")</f>
        <v/>
      </c>
      <c r="G143" s="96" t="str">
        <f>IF(IFERROR(VLOOKUP($E143,Preenchimento!$A$2:$BV$1048576,8,0),"")=0,"",IFERROR(VLOOKUP($E143,Preenchimento!$A$2:$BV$1048576,8,0),""))</f>
        <v/>
      </c>
      <c r="H143" s="96" t="str">
        <f>IFERROR(VLOOKUP($E143,Preenchimento!$A$2:$BV$1048576,9,0),"")</f>
        <v/>
      </c>
      <c r="I143" s="96" t="str">
        <f>IFERROR(VLOOKUP($E143,Preenchimento!$A$2:$BV$1048576,10,0),"")</f>
        <v/>
      </c>
      <c r="J143" s="96" t="str">
        <f>IFERROR(VLOOKUP($E143,Preenchimento!$A$2:$BV$1048576,12,0),"")</f>
        <v/>
      </c>
      <c r="K143" s="96" t="str">
        <f>IFERROR(VLOOKUP($E143,Preenchimento!$A$2:$BV$1048576,6,0),"")</f>
        <v/>
      </c>
      <c r="L143" s="96" t="str">
        <f>IF(IFERROR(VLOOKUP($E143,Preenchimento!$A$2:$BV$1048576,53,0),"")=0,"",IFERROR(VLOOKUP($E143,Preenchimento!$A$2:$BV$1048576,53,0),""))</f>
        <v/>
      </c>
      <c r="M143" s="96" t="str">
        <f>IFERROR(VLOOKUP($E143,Preenchimento!$A$2:$BV$1048576,74,0),"")</f>
        <v/>
      </c>
    </row>
    <row r="144" spans="1:13" x14ac:dyDescent="0.2">
      <c r="A144" s="96">
        <f>Sitio!$E$3</f>
        <v>0</v>
      </c>
      <c r="B144" s="96" t="str">
        <f>IFERROR(VLOOKUP($E144,Preenchimento!$A$2:$BV$1048576,2,0),"")</f>
        <v/>
      </c>
      <c r="C144" s="96" t="str">
        <f>IFERROR(VLOOKUP($E144,Preenchimento!$A$2:$BV$1048576,4,0),"")</f>
        <v/>
      </c>
      <c r="D144" s="96" t="str">
        <f>IFERROR(VLOOKUP($E144,Preenchimento!$A$2:$BV$1048576,3,0),"")</f>
        <v/>
      </c>
      <c r="E144" s="96">
        <v>142</v>
      </c>
      <c r="F144" s="96" t="str">
        <f>IFERROR(VLOOKUP($E144,Preenchimento!$A$2:$BV$1048576,7,0),"")</f>
        <v/>
      </c>
      <c r="G144" s="96" t="str">
        <f>IF(IFERROR(VLOOKUP($E144,Preenchimento!$A$2:$BV$1048576,8,0),"")=0,"",IFERROR(VLOOKUP($E144,Preenchimento!$A$2:$BV$1048576,8,0),""))</f>
        <v/>
      </c>
      <c r="H144" s="96" t="str">
        <f>IFERROR(VLOOKUP($E144,Preenchimento!$A$2:$BV$1048576,9,0),"")</f>
        <v/>
      </c>
      <c r="I144" s="96" t="str">
        <f>IFERROR(VLOOKUP($E144,Preenchimento!$A$2:$BV$1048576,10,0),"")</f>
        <v/>
      </c>
      <c r="J144" s="96" t="str">
        <f>IFERROR(VLOOKUP($E144,Preenchimento!$A$2:$BV$1048576,12,0),"")</f>
        <v/>
      </c>
      <c r="K144" s="96" t="str">
        <f>IFERROR(VLOOKUP($E144,Preenchimento!$A$2:$BV$1048576,6,0),"")</f>
        <v/>
      </c>
      <c r="L144" s="96" t="str">
        <f>IF(IFERROR(VLOOKUP($E144,Preenchimento!$A$2:$BV$1048576,53,0),"")=0,"",IFERROR(VLOOKUP($E144,Preenchimento!$A$2:$BV$1048576,53,0),""))</f>
        <v/>
      </c>
      <c r="M144" s="96" t="str">
        <f>IFERROR(VLOOKUP($E144,Preenchimento!$A$2:$BV$1048576,74,0),"")</f>
        <v/>
      </c>
    </row>
    <row r="145" spans="1:13" x14ac:dyDescent="0.2">
      <c r="A145" s="96">
        <f>Sitio!$E$3</f>
        <v>0</v>
      </c>
      <c r="B145" s="96" t="str">
        <f>IFERROR(VLOOKUP($E145,Preenchimento!$A$2:$BV$1048576,2,0),"")</f>
        <v/>
      </c>
      <c r="C145" s="96" t="str">
        <f>IFERROR(VLOOKUP($E145,Preenchimento!$A$2:$BV$1048576,4,0),"")</f>
        <v/>
      </c>
      <c r="D145" s="96" t="str">
        <f>IFERROR(VLOOKUP($E145,Preenchimento!$A$2:$BV$1048576,3,0),"")</f>
        <v/>
      </c>
      <c r="E145" s="96">
        <v>143</v>
      </c>
      <c r="F145" s="96" t="str">
        <f>IFERROR(VLOOKUP($E145,Preenchimento!$A$2:$BV$1048576,7,0),"")</f>
        <v/>
      </c>
      <c r="G145" s="96" t="str">
        <f>IF(IFERROR(VLOOKUP($E145,Preenchimento!$A$2:$BV$1048576,8,0),"")=0,"",IFERROR(VLOOKUP($E145,Preenchimento!$A$2:$BV$1048576,8,0),""))</f>
        <v/>
      </c>
      <c r="H145" s="96" t="str">
        <f>IFERROR(VLOOKUP($E145,Preenchimento!$A$2:$BV$1048576,9,0),"")</f>
        <v/>
      </c>
      <c r="I145" s="96" t="str">
        <f>IFERROR(VLOOKUP($E145,Preenchimento!$A$2:$BV$1048576,10,0),"")</f>
        <v/>
      </c>
      <c r="J145" s="96" t="str">
        <f>IFERROR(VLOOKUP($E145,Preenchimento!$A$2:$BV$1048576,12,0),"")</f>
        <v/>
      </c>
      <c r="K145" s="96" t="str">
        <f>IFERROR(VLOOKUP($E145,Preenchimento!$A$2:$BV$1048576,6,0),"")</f>
        <v/>
      </c>
      <c r="L145" s="96" t="str">
        <f>IF(IFERROR(VLOOKUP($E145,Preenchimento!$A$2:$BV$1048576,53,0),"")=0,"",IFERROR(VLOOKUP($E145,Preenchimento!$A$2:$BV$1048576,53,0),""))</f>
        <v/>
      </c>
      <c r="M145" s="96" t="str">
        <f>IFERROR(VLOOKUP($E145,Preenchimento!$A$2:$BV$1048576,74,0),"")</f>
        <v/>
      </c>
    </row>
    <row r="146" spans="1:13" x14ac:dyDescent="0.2">
      <c r="A146" s="96">
        <f>Sitio!$E$3</f>
        <v>0</v>
      </c>
      <c r="B146" s="96" t="str">
        <f>IFERROR(VLOOKUP($E146,Preenchimento!$A$2:$BV$1048576,2,0),"")</f>
        <v/>
      </c>
      <c r="C146" s="96" t="str">
        <f>IFERROR(VLOOKUP($E146,Preenchimento!$A$2:$BV$1048576,4,0),"")</f>
        <v/>
      </c>
      <c r="D146" s="96" t="str">
        <f>IFERROR(VLOOKUP($E146,Preenchimento!$A$2:$BV$1048576,3,0),"")</f>
        <v/>
      </c>
      <c r="E146" s="96">
        <v>144</v>
      </c>
      <c r="F146" s="96" t="str">
        <f>IFERROR(VLOOKUP($E146,Preenchimento!$A$2:$BV$1048576,7,0),"")</f>
        <v/>
      </c>
      <c r="G146" s="96" t="str">
        <f>IF(IFERROR(VLOOKUP($E146,Preenchimento!$A$2:$BV$1048576,8,0),"")=0,"",IFERROR(VLOOKUP($E146,Preenchimento!$A$2:$BV$1048576,8,0),""))</f>
        <v/>
      </c>
      <c r="H146" s="96" t="str">
        <f>IFERROR(VLOOKUP($E146,Preenchimento!$A$2:$BV$1048576,9,0),"")</f>
        <v/>
      </c>
      <c r="I146" s="96" t="str">
        <f>IFERROR(VLOOKUP($E146,Preenchimento!$A$2:$BV$1048576,10,0),"")</f>
        <v/>
      </c>
      <c r="J146" s="96" t="str">
        <f>IFERROR(VLOOKUP($E146,Preenchimento!$A$2:$BV$1048576,12,0),"")</f>
        <v/>
      </c>
      <c r="K146" s="96" t="str">
        <f>IFERROR(VLOOKUP($E146,Preenchimento!$A$2:$BV$1048576,6,0),"")</f>
        <v/>
      </c>
      <c r="L146" s="96" t="str">
        <f>IF(IFERROR(VLOOKUP($E146,Preenchimento!$A$2:$BV$1048576,53,0),"")=0,"",IFERROR(VLOOKUP($E146,Preenchimento!$A$2:$BV$1048576,53,0),""))</f>
        <v/>
      </c>
      <c r="M146" s="96" t="str">
        <f>IFERROR(VLOOKUP($E146,Preenchimento!$A$2:$BV$1048576,74,0),"")</f>
        <v/>
      </c>
    </row>
    <row r="147" spans="1:13" x14ac:dyDescent="0.2">
      <c r="A147" s="96">
        <f>Sitio!$E$3</f>
        <v>0</v>
      </c>
      <c r="B147" s="96" t="str">
        <f>IFERROR(VLOOKUP($E147,Preenchimento!$A$2:$BV$1048576,2,0),"")</f>
        <v/>
      </c>
      <c r="C147" s="96" t="str">
        <f>IFERROR(VLOOKUP($E147,Preenchimento!$A$2:$BV$1048576,4,0),"")</f>
        <v/>
      </c>
      <c r="D147" s="96" t="str">
        <f>IFERROR(VLOOKUP($E147,Preenchimento!$A$2:$BV$1048576,3,0),"")</f>
        <v/>
      </c>
      <c r="E147" s="96">
        <v>145</v>
      </c>
      <c r="F147" s="96" t="str">
        <f>IFERROR(VLOOKUP($E147,Preenchimento!$A$2:$BV$1048576,7,0),"")</f>
        <v/>
      </c>
      <c r="G147" s="96" t="str">
        <f>IF(IFERROR(VLOOKUP($E147,Preenchimento!$A$2:$BV$1048576,8,0),"")=0,"",IFERROR(VLOOKUP($E147,Preenchimento!$A$2:$BV$1048576,8,0),""))</f>
        <v/>
      </c>
      <c r="H147" s="96" t="str">
        <f>IFERROR(VLOOKUP($E147,Preenchimento!$A$2:$BV$1048576,9,0),"")</f>
        <v/>
      </c>
      <c r="I147" s="96" t="str">
        <f>IFERROR(VLOOKUP($E147,Preenchimento!$A$2:$BV$1048576,10,0),"")</f>
        <v/>
      </c>
      <c r="J147" s="96" t="str">
        <f>IFERROR(VLOOKUP($E147,Preenchimento!$A$2:$BV$1048576,12,0),"")</f>
        <v/>
      </c>
      <c r="K147" s="96" t="str">
        <f>IFERROR(VLOOKUP($E147,Preenchimento!$A$2:$BV$1048576,6,0),"")</f>
        <v/>
      </c>
      <c r="L147" s="96" t="str">
        <f>IF(IFERROR(VLOOKUP($E147,Preenchimento!$A$2:$BV$1048576,53,0),"")=0,"",IFERROR(VLOOKUP($E147,Preenchimento!$A$2:$BV$1048576,53,0),""))</f>
        <v/>
      </c>
      <c r="M147" s="96" t="str">
        <f>IFERROR(VLOOKUP($E147,Preenchimento!$A$2:$BV$1048576,74,0),"")</f>
        <v/>
      </c>
    </row>
    <row r="148" spans="1:13" x14ac:dyDescent="0.2">
      <c r="A148" s="96">
        <f>Sitio!$E$3</f>
        <v>0</v>
      </c>
      <c r="B148" s="96" t="str">
        <f>IFERROR(VLOOKUP($E148,Preenchimento!$A$2:$BV$1048576,2,0),"")</f>
        <v/>
      </c>
      <c r="C148" s="96" t="str">
        <f>IFERROR(VLOOKUP($E148,Preenchimento!$A$2:$BV$1048576,4,0),"")</f>
        <v/>
      </c>
      <c r="D148" s="96" t="str">
        <f>IFERROR(VLOOKUP($E148,Preenchimento!$A$2:$BV$1048576,3,0),"")</f>
        <v/>
      </c>
      <c r="E148" s="96">
        <v>146</v>
      </c>
      <c r="F148" s="96" t="str">
        <f>IFERROR(VLOOKUP($E148,Preenchimento!$A$2:$BV$1048576,7,0),"")</f>
        <v/>
      </c>
      <c r="G148" s="96" t="str">
        <f>IF(IFERROR(VLOOKUP($E148,Preenchimento!$A$2:$BV$1048576,8,0),"")=0,"",IFERROR(VLOOKUP($E148,Preenchimento!$A$2:$BV$1048576,8,0),""))</f>
        <v/>
      </c>
      <c r="H148" s="96" t="str">
        <f>IFERROR(VLOOKUP($E148,Preenchimento!$A$2:$BV$1048576,9,0),"")</f>
        <v/>
      </c>
      <c r="I148" s="96" t="str">
        <f>IFERROR(VLOOKUP($E148,Preenchimento!$A$2:$BV$1048576,10,0),"")</f>
        <v/>
      </c>
      <c r="J148" s="96" t="str">
        <f>IFERROR(VLOOKUP($E148,Preenchimento!$A$2:$BV$1048576,12,0),"")</f>
        <v/>
      </c>
      <c r="K148" s="96" t="str">
        <f>IFERROR(VLOOKUP($E148,Preenchimento!$A$2:$BV$1048576,6,0),"")</f>
        <v/>
      </c>
      <c r="L148" s="96" t="str">
        <f>IF(IFERROR(VLOOKUP($E148,Preenchimento!$A$2:$BV$1048576,53,0),"")=0,"",IFERROR(VLOOKUP($E148,Preenchimento!$A$2:$BV$1048576,53,0),""))</f>
        <v/>
      </c>
      <c r="M148" s="96" t="str">
        <f>IFERROR(VLOOKUP($E148,Preenchimento!$A$2:$BV$1048576,74,0),"")</f>
        <v/>
      </c>
    </row>
    <row r="149" spans="1:13" x14ac:dyDescent="0.2">
      <c r="A149" s="96">
        <f>Sitio!$E$3</f>
        <v>0</v>
      </c>
      <c r="B149" s="96" t="str">
        <f>IFERROR(VLOOKUP($E149,Preenchimento!$A$2:$BV$1048576,2,0),"")</f>
        <v/>
      </c>
      <c r="C149" s="96" t="str">
        <f>IFERROR(VLOOKUP($E149,Preenchimento!$A$2:$BV$1048576,4,0),"")</f>
        <v/>
      </c>
      <c r="D149" s="96" t="str">
        <f>IFERROR(VLOOKUP($E149,Preenchimento!$A$2:$BV$1048576,3,0),"")</f>
        <v/>
      </c>
      <c r="E149" s="96">
        <v>147</v>
      </c>
      <c r="F149" s="96" t="str">
        <f>IFERROR(VLOOKUP($E149,Preenchimento!$A$2:$BV$1048576,7,0),"")</f>
        <v/>
      </c>
      <c r="G149" s="96" t="str">
        <f>IF(IFERROR(VLOOKUP($E149,Preenchimento!$A$2:$BV$1048576,8,0),"")=0,"",IFERROR(VLOOKUP($E149,Preenchimento!$A$2:$BV$1048576,8,0),""))</f>
        <v/>
      </c>
      <c r="H149" s="96" t="str">
        <f>IFERROR(VLOOKUP($E149,Preenchimento!$A$2:$BV$1048576,9,0),"")</f>
        <v/>
      </c>
      <c r="I149" s="96" t="str">
        <f>IFERROR(VLOOKUP($E149,Preenchimento!$A$2:$BV$1048576,10,0),"")</f>
        <v/>
      </c>
      <c r="J149" s="96" t="str">
        <f>IFERROR(VLOOKUP($E149,Preenchimento!$A$2:$BV$1048576,12,0),"")</f>
        <v/>
      </c>
      <c r="K149" s="96" t="str">
        <f>IFERROR(VLOOKUP($E149,Preenchimento!$A$2:$BV$1048576,6,0),"")</f>
        <v/>
      </c>
      <c r="L149" s="96" t="str">
        <f>IF(IFERROR(VLOOKUP($E149,Preenchimento!$A$2:$BV$1048576,53,0),"")=0,"",IFERROR(VLOOKUP($E149,Preenchimento!$A$2:$BV$1048576,53,0),""))</f>
        <v/>
      </c>
      <c r="M149" s="96" t="str">
        <f>IFERROR(VLOOKUP($E149,Preenchimento!$A$2:$BV$1048576,74,0),"")</f>
        <v/>
      </c>
    </row>
    <row r="150" spans="1:13" x14ac:dyDescent="0.2">
      <c r="A150" s="96">
        <f>Sitio!$E$3</f>
        <v>0</v>
      </c>
      <c r="B150" s="96" t="str">
        <f>IFERROR(VLOOKUP($E150,Preenchimento!$A$2:$BV$1048576,2,0),"")</f>
        <v/>
      </c>
      <c r="C150" s="96" t="str">
        <f>IFERROR(VLOOKUP($E150,Preenchimento!$A$2:$BV$1048576,4,0),"")</f>
        <v/>
      </c>
      <c r="D150" s="96" t="str">
        <f>IFERROR(VLOOKUP($E150,Preenchimento!$A$2:$BV$1048576,3,0),"")</f>
        <v/>
      </c>
      <c r="E150" s="96">
        <v>148</v>
      </c>
      <c r="F150" s="96" t="str">
        <f>IFERROR(VLOOKUP($E150,Preenchimento!$A$2:$BV$1048576,7,0),"")</f>
        <v/>
      </c>
      <c r="G150" s="96" t="str">
        <f>IF(IFERROR(VLOOKUP($E150,Preenchimento!$A$2:$BV$1048576,8,0),"")=0,"",IFERROR(VLOOKUP($E150,Preenchimento!$A$2:$BV$1048576,8,0),""))</f>
        <v/>
      </c>
      <c r="H150" s="96" t="str">
        <f>IFERROR(VLOOKUP($E150,Preenchimento!$A$2:$BV$1048576,9,0),"")</f>
        <v/>
      </c>
      <c r="I150" s="96" t="str">
        <f>IFERROR(VLOOKUP($E150,Preenchimento!$A$2:$BV$1048576,10,0),"")</f>
        <v/>
      </c>
      <c r="J150" s="96" t="str">
        <f>IFERROR(VLOOKUP($E150,Preenchimento!$A$2:$BV$1048576,12,0),"")</f>
        <v/>
      </c>
      <c r="K150" s="96" t="str">
        <f>IFERROR(VLOOKUP($E150,Preenchimento!$A$2:$BV$1048576,6,0),"")</f>
        <v/>
      </c>
      <c r="L150" s="96" t="str">
        <f>IF(IFERROR(VLOOKUP($E150,Preenchimento!$A$2:$BV$1048576,53,0),"")=0,"",IFERROR(VLOOKUP($E150,Preenchimento!$A$2:$BV$1048576,53,0),""))</f>
        <v/>
      </c>
      <c r="M150" s="96" t="str">
        <f>IFERROR(VLOOKUP($E150,Preenchimento!$A$2:$BV$1048576,74,0),"")</f>
        <v/>
      </c>
    </row>
    <row r="151" spans="1:13" x14ac:dyDescent="0.2">
      <c r="A151" s="96">
        <f>Sitio!$E$3</f>
        <v>0</v>
      </c>
      <c r="B151" s="96" t="str">
        <f>IFERROR(VLOOKUP($E151,Preenchimento!$A$2:$BV$1048576,2,0),"")</f>
        <v/>
      </c>
      <c r="C151" s="96" t="str">
        <f>IFERROR(VLOOKUP($E151,Preenchimento!$A$2:$BV$1048576,4,0),"")</f>
        <v/>
      </c>
      <c r="D151" s="96" t="str">
        <f>IFERROR(VLOOKUP($E151,Preenchimento!$A$2:$BV$1048576,3,0),"")</f>
        <v/>
      </c>
      <c r="E151" s="96">
        <v>149</v>
      </c>
      <c r="F151" s="96" t="str">
        <f>IFERROR(VLOOKUP($E151,Preenchimento!$A$2:$BV$1048576,7,0),"")</f>
        <v/>
      </c>
      <c r="G151" s="96" t="str">
        <f>IF(IFERROR(VLOOKUP($E151,Preenchimento!$A$2:$BV$1048576,8,0),"")=0,"",IFERROR(VLOOKUP($E151,Preenchimento!$A$2:$BV$1048576,8,0),""))</f>
        <v/>
      </c>
      <c r="H151" s="96" t="str">
        <f>IFERROR(VLOOKUP($E151,Preenchimento!$A$2:$BV$1048576,9,0),"")</f>
        <v/>
      </c>
      <c r="I151" s="96" t="str">
        <f>IFERROR(VLOOKUP($E151,Preenchimento!$A$2:$BV$1048576,10,0),"")</f>
        <v/>
      </c>
      <c r="J151" s="96" t="str">
        <f>IFERROR(VLOOKUP($E151,Preenchimento!$A$2:$BV$1048576,12,0),"")</f>
        <v/>
      </c>
      <c r="K151" s="96" t="str">
        <f>IFERROR(VLOOKUP($E151,Preenchimento!$A$2:$BV$1048576,6,0),"")</f>
        <v/>
      </c>
      <c r="L151" s="96" t="str">
        <f>IF(IFERROR(VLOOKUP($E151,Preenchimento!$A$2:$BV$1048576,53,0),"")=0,"",IFERROR(VLOOKUP($E151,Preenchimento!$A$2:$BV$1048576,53,0),""))</f>
        <v/>
      </c>
      <c r="M151" s="96" t="str">
        <f>IFERROR(VLOOKUP($E151,Preenchimento!$A$2:$BV$1048576,74,0),"")</f>
        <v/>
      </c>
    </row>
    <row r="152" spans="1:13" x14ac:dyDescent="0.2">
      <c r="A152" s="96">
        <f>Sitio!$E$3</f>
        <v>0</v>
      </c>
      <c r="B152" s="96" t="str">
        <f>IFERROR(VLOOKUP($E152,Preenchimento!$A$2:$BV$1048576,2,0),"")</f>
        <v/>
      </c>
      <c r="C152" s="96" t="str">
        <f>IFERROR(VLOOKUP($E152,Preenchimento!$A$2:$BV$1048576,4,0),"")</f>
        <v/>
      </c>
      <c r="D152" s="96" t="str">
        <f>IFERROR(VLOOKUP($E152,Preenchimento!$A$2:$BV$1048576,3,0),"")</f>
        <v/>
      </c>
      <c r="E152" s="96">
        <v>150</v>
      </c>
      <c r="F152" s="96" t="str">
        <f>IFERROR(VLOOKUP($E152,Preenchimento!$A$2:$BV$1048576,7,0),"")</f>
        <v/>
      </c>
      <c r="G152" s="96" t="str">
        <f>IF(IFERROR(VLOOKUP($E152,Preenchimento!$A$2:$BV$1048576,8,0),"")=0,"",IFERROR(VLOOKUP($E152,Preenchimento!$A$2:$BV$1048576,8,0),""))</f>
        <v/>
      </c>
      <c r="H152" s="96" t="str">
        <f>IFERROR(VLOOKUP($E152,Preenchimento!$A$2:$BV$1048576,9,0),"")</f>
        <v/>
      </c>
      <c r="I152" s="96" t="str">
        <f>IFERROR(VLOOKUP($E152,Preenchimento!$A$2:$BV$1048576,10,0),"")</f>
        <v/>
      </c>
      <c r="J152" s="96" t="str">
        <f>IFERROR(VLOOKUP($E152,Preenchimento!$A$2:$BV$1048576,12,0),"")</f>
        <v/>
      </c>
      <c r="K152" s="96" t="str">
        <f>IFERROR(VLOOKUP($E152,Preenchimento!$A$2:$BV$1048576,6,0),"")</f>
        <v/>
      </c>
      <c r="L152" s="96" t="str">
        <f>IF(IFERROR(VLOOKUP($E152,Preenchimento!$A$2:$BV$1048576,53,0),"")=0,"",IFERROR(VLOOKUP($E152,Preenchimento!$A$2:$BV$1048576,53,0),""))</f>
        <v/>
      </c>
      <c r="M152" s="96" t="str">
        <f>IFERROR(VLOOKUP($E152,Preenchimento!$A$2:$BV$1048576,74,0),"")</f>
        <v/>
      </c>
    </row>
    <row r="153" spans="1:13" x14ac:dyDescent="0.2">
      <c r="A153" s="96">
        <f>Sitio!$E$3</f>
        <v>0</v>
      </c>
      <c r="B153" s="96" t="str">
        <f>IFERROR(VLOOKUP($E153,Preenchimento!$A$2:$BV$1048576,2,0),"")</f>
        <v/>
      </c>
      <c r="C153" s="96" t="str">
        <f>IFERROR(VLOOKUP($E153,Preenchimento!$A$2:$BV$1048576,4,0),"")</f>
        <v/>
      </c>
      <c r="D153" s="96" t="str">
        <f>IFERROR(VLOOKUP($E153,Preenchimento!$A$2:$BV$1048576,3,0),"")</f>
        <v/>
      </c>
      <c r="E153" s="96">
        <v>151</v>
      </c>
      <c r="F153" s="96" t="str">
        <f>IFERROR(VLOOKUP($E153,Preenchimento!$A$2:$BV$1048576,7,0),"")</f>
        <v/>
      </c>
      <c r="G153" s="96" t="str">
        <f>IF(IFERROR(VLOOKUP($E153,Preenchimento!$A$2:$BV$1048576,8,0),"")=0,"",IFERROR(VLOOKUP($E153,Preenchimento!$A$2:$BV$1048576,8,0),""))</f>
        <v/>
      </c>
      <c r="H153" s="96" t="str">
        <f>IFERROR(VLOOKUP($E153,Preenchimento!$A$2:$BV$1048576,9,0),"")</f>
        <v/>
      </c>
      <c r="I153" s="96" t="str">
        <f>IFERROR(VLOOKUP($E153,Preenchimento!$A$2:$BV$1048576,10,0),"")</f>
        <v/>
      </c>
      <c r="J153" s="96" t="str">
        <f>IFERROR(VLOOKUP($E153,Preenchimento!$A$2:$BV$1048576,12,0),"")</f>
        <v/>
      </c>
      <c r="K153" s="96" t="str">
        <f>IFERROR(VLOOKUP($E153,Preenchimento!$A$2:$BV$1048576,6,0),"")</f>
        <v/>
      </c>
      <c r="L153" s="96" t="str">
        <f>IF(IFERROR(VLOOKUP($E153,Preenchimento!$A$2:$BV$1048576,53,0),"")=0,"",IFERROR(VLOOKUP($E153,Preenchimento!$A$2:$BV$1048576,53,0),""))</f>
        <v/>
      </c>
      <c r="M153" s="96" t="str">
        <f>IFERROR(VLOOKUP($E153,Preenchimento!$A$2:$BV$1048576,74,0),"")</f>
        <v/>
      </c>
    </row>
    <row r="154" spans="1:13" x14ac:dyDescent="0.2">
      <c r="A154" s="96">
        <f>Sitio!$E$3</f>
        <v>0</v>
      </c>
      <c r="B154" s="96" t="str">
        <f>IFERROR(VLOOKUP($E154,Preenchimento!$A$2:$BV$1048576,2,0),"")</f>
        <v/>
      </c>
      <c r="C154" s="96" t="str">
        <f>IFERROR(VLOOKUP($E154,Preenchimento!$A$2:$BV$1048576,4,0),"")</f>
        <v/>
      </c>
      <c r="D154" s="96" t="str">
        <f>IFERROR(VLOOKUP($E154,Preenchimento!$A$2:$BV$1048576,3,0),"")</f>
        <v/>
      </c>
      <c r="E154" s="96">
        <v>152</v>
      </c>
      <c r="F154" s="96" t="str">
        <f>IFERROR(VLOOKUP($E154,Preenchimento!$A$2:$BV$1048576,7,0),"")</f>
        <v/>
      </c>
      <c r="G154" s="96" t="str">
        <f>IF(IFERROR(VLOOKUP($E154,Preenchimento!$A$2:$BV$1048576,8,0),"")=0,"",IFERROR(VLOOKUP($E154,Preenchimento!$A$2:$BV$1048576,8,0),""))</f>
        <v/>
      </c>
      <c r="H154" s="96" t="str">
        <f>IFERROR(VLOOKUP($E154,Preenchimento!$A$2:$BV$1048576,9,0),"")</f>
        <v/>
      </c>
      <c r="I154" s="96" t="str">
        <f>IFERROR(VLOOKUP($E154,Preenchimento!$A$2:$BV$1048576,10,0),"")</f>
        <v/>
      </c>
      <c r="J154" s="96" t="str">
        <f>IFERROR(VLOOKUP($E154,Preenchimento!$A$2:$BV$1048576,12,0),"")</f>
        <v/>
      </c>
      <c r="K154" s="96" t="str">
        <f>IFERROR(VLOOKUP($E154,Preenchimento!$A$2:$BV$1048576,6,0),"")</f>
        <v/>
      </c>
      <c r="L154" s="96" t="str">
        <f>IF(IFERROR(VLOOKUP($E154,Preenchimento!$A$2:$BV$1048576,53,0),"")=0,"",IFERROR(VLOOKUP($E154,Preenchimento!$A$2:$BV$1048576,53,0),""))</f>
        <v/>
      </c>
      <c r="M154" s="96" t="str">
        <f>IFERROR(VLOOKUP($E154,Preenchimento!$A$2:$BV$1048576,74,0),"")</f>
        <v/>
      </c>
    </row>
    <row r="155" spans="1:13" x14ac:dyDescent="0.2">
      <c r="A155" s="96">
        <f>Sitio!$E$3</f>
        <v>0</v>
      </c>
      <c r="B155" s="96" t="str">
        <f>IFERROR(VLOOKUP($E155,Preenchimento!$A$2:$BV$1048576,2,0),"")</f>
        <v/>
      </c>
      <c r="C155" s="96" t="str">
        <f>IFERROR(VLOOKUP($E155,Preenchimento!$A$2:$BV$1048576,4,0),"")</f>
        <v/>
      </c>
      <c r="D155" s="96" t="str">
        <f>IFERROR(VLOOKUP($E155,Preenchimento!$A$2:$BV$1048576,3,0),"")</f>
        <v/>
      </c>
      <c r="E155" s="96">
        <v>153</v>
      </c>
      <c r="F155" s="96" t="str">
        <f>IFERROR(VLOOKUP($E155,Preenchimento!$A$2:$BV$1048576,7,0),"")</f>
        <v/>
      </c>
      <c r="G155" s="96" t="str">
        <f>IF(IFERROR(VLOOKUP($E155,Preenchimento!$A$2:$BV$1048576,8,0),"")=0,"",IFERROR(VLOOKUP($E155,Preenchimento!$A$2:$BV$1048576,8,0),""))</f>
        <v/>
      </c>
      <c r="H155" s="96" t="str">
        <f>IFERROR(VLOOKUP($E155,Preenchimento!$A$2:$BV$1048576,9,0),"")</f>
        <v/>
      </c>
      <c r="I155" s="96" t="str">
        <f>IFERROR(VLOOKUP($E155,Preenchimento!$A$2:$BV$1048576,10,0),"")</f>
        <v/>
      </c>
      <c r="J155" s="96" t="str">
        <f>IFERROR(VLOOKUP($E155,Preenchimento!$A$2:$BV$1048576,12,0),"")</f>
        <v/>
      </c>
      <c r="K155" s="96" t="str">
        <f>IFERROR(VLOOKUP($E155,Preenchimento!$A$2:$BV$1048576,6,0),"")</f>
        <v/>
      </c>
      <c r="L155" s="96" t="str">
        <f>IF(IFERROR(VLOOKUP($E155,Preenchimento!$A$2:$BV$1048576,53,0),"")=0,"",IFERROR(VLOOKUP($E155,Preenchimento!$A$2:$BV$1048576,53,0),""))</f>
        <v/>
      </c>
      <c r="M155" s="96" t="str">
        <f>IFERROR(VLOOKUP($E155,Preenchimento!$A$2:$BV$1048576,74,0),"")</f>
        <v/>
      </c>
    </row>
    <row r="156" spans="1:13" x14ac:dyDescent="0.2">
      <c r="A156" s="96">
        <f>Sitio!$E$3</f>
        <v>0</v>
      </c>
      <c r="B156" s="96" t="str">
        <f>IFERROR(VLOOKUP($E156,Preenchimento!$A$2:$BV$1048576,2,0),"")</f>
        <v/>
      </c>
      <c r="C156" s="96" t="str">
        <f>IFERROR(VLOOKUP($E156,Preenchimento!$A$2:$BV$1048576,4,0),"")</f>
        <v/>
      </c>
      <c r="D156" s="96" t="str">
        <f>IFERROR(VLOOKUP($E156,Preenchimento!$A$2:$BV$1048576,3,0),"")</f>
        <v/>
      </c>
      <c r="E156" s="96">
        <v>154</v>
      </c>
      <c r="F156" s="96" t="str">
        <f>IFERROR(VLOOKUP($E156,Preenchimento!$A$2:$BV$1048576,7,0),"")</f>
        <v/>
      </c>
      <c r="G156" s="96" t="str">
        <f>IF(IFERROR(VLOOKUP($E156,Preenchimento!$A$2:$BV$1048576,8,0),"")=0,"",IFERROR(VLOOKUP($E156,Preenchimento!$A$2:$BV$1048576,8,0),""))</f>
        <v/>
      </c>
      <c r="H156" s="96" t="str">
        <f>IFERROR(VLOOKUP($E156,Preenchimento!$A$2:$BV$1048576,9,0),"")</f>
        <v/>
      </c>
      <c r="I156" s="96" t="str">
        <f>IFERROR(VLOOKUP($E156,Preenchimento!$A$2:$BV$1048576,10,0),"")</f>
        <v/>
      </c>
      <c r="J156" s="96" t="str">
        <f>IFERROR(VLOOKUP($E156,Preenchimento!$A$2:$BV$1048576,12,0),"")</f>
        <v/>
      </c>
      <c r="K156" s="96" t="str">
        <f>IFERROR(VLOOKUP($E156,Preenchimento!$A$2:$BV$1048576,6,0),"")</f>
        <v/>
      </c>
      <c r="L156" s="96" t="str">
        <f>IF(IFERROR(VLOOKUP($E156,Preenchimento!$A$2:$BV$1048576,53,0),"")=0,"",IFERROR(VLOOKUP($E156,Preenchimento!$A$2:$BV$1048576,53,0),""))</f>
        <v/>
      </c>
      <c r="M156" s="96" t="str">
        <f>IFERROR(VLOOKUP($E156,Preenchimento!$A$2:$BV$1048576,74,0),"")</f>
        <v/>
      </c>
    </row>
    <row r="157" spans="1:13" x14ac:dyDescent="0.2">
      <c r="A157" s="96">
        <f>Sitio!$E$3</f>
        <v>0</v>
      </c>
      <c r="B157" s="96" t="str">
        <f>IFERROR(VLOOKUP($E157,Preenchimento!$A$2:$BV$1048576,2,0),"")</f>
        <v/>
      </c>
      <c r="C157" s="96" t="str">
        <f>IFERROR(VLOOKUP($E157,Preenchimento!$A$2:$BV$1048576,4,0),"")</f>
        <v/>
      </c>
      <c r="D157" s="96" t="str">
        <f>IFERROR(VLOOKUP($E157,Preenchimento!$A$2:$BV$1048576,3,0),"")</f>
        <v/>
      </c>
      <c r="E157" s="96">
        <v>155</v>
      </c>
      <c r="F157" s="96" t="str">
        <f>IFERROR(VLOOKUP($E157,Preenchimento!$A$2:$BV$1048576,7,0),"")</f>
        <v/>
      </c>
      <c r="G157" s="96" t="str">
        <f>IF(IFERROR(VLOOKUP($E157,Preenchimento!$A$2:$BV$1048576,8,0),"")=0,"",IFERROR(VLOOKUP($E157,Preenchimento!$A$2:$BV$1048576,8,0),""))</f>
        <v/>
      </c>
      <c r="H157" s="96" t="str">
        <f>IFERROR(VLOOKUP($E157,Preenchimento!$A$2:$BV$1048576,9,0),"")</f>
        <v/>
      </c>
      <c r="I157" s="96" t="str">
        <f>IFERROR(VLOOKUP($E157,Preenchimento!$A$2:$BV$1048576,10,0),"")</f>
        <v/>
      </c>
      <c r="J157" s="96" t="str">
        <f>IFERROR(VLOOKUP($E157,Preenchimento!$A$2:$BV$1048576,12,0),"")</f>
        <v/>
      </c>
      <c r="K157" s="96" t="str">
        <f>IFERROR(VLOOKUP($E157,Preenchimento!$A$2:$BV$1048576,6,0),"")</f>
        <v/>
      </c>
      <c r="L157" s="96" t="str">
        <f>IF(IFERROR(VLOOKUP($E157,Preenchimento!$A$2:$BV$1048576,53,0),"")=0,"",IFERROR(VLOOKUP($E157,Preenchimento!$A$2:$BV$1048576,53,0),""))</f>
        <v/>
      </c>
      <c r="M157" s="96" t="str">
        <f>IFERROR(VLOOKUP($E157,Preenchimento!$A$2:$BV$1048576,74,0),"")</f>
        <v/>
      </c>
    </row>
    <row r="158" spans="1:13" x14ac:dyDescent="0.2">
      <c r="A158" s="96">
        <f>Sitio!$E$3</f>
        <v>0</v>
      </c>
      <c r="B158" s="96" t="str">
        <f>IFERROR(VLOOKUP($E158,Preenchimento!$A$2:$BV$1048576,2,0),"")</f>
        <v/>
      </c>
      <c r="C158" s="96" t="str">
        <f>IFERROR(VLOOKUP($E158,Preenchimento!$A$2:$BV$1048576,4,0),"")</f>
        <v/>
      </c>
      <c r="D158" s="96" t="str">
        <f>IFERROR(VLOOKUP($E158,Preenchimento!$A$2:$BV$1048576,3,0),"")</f>
        <v/>
      </c>
      <c r="E158" s="96">
        <v>156</v>
      </c>
      <c r="F158" s="96" t="str">
        <f>IFERROR(VLOOKUP($E158,Preenchimento!$A$2:$BV$1048576,7,0),"")</f>
        <v/>
      </c>
      <c r="G158" s="96" t="str">
        <f>IF(IFERROR(VLOOKUP($E158,Preenchimento!$A$2:$BV$1048576,8,0),"")=0,"",IFERROR(VLOOKUP($E158,Preenchimento!$A$2:$BV$1048576,8,0),""))</f>
        <v/>
      </c>
      <c r="H158" s="96" t="str">
        <f>IFERROR(VLOOKUP($E158,Preenchimento!$A$2:$BV$1048576,9,0),"")</f>
        <v/>
      </c>
      <c r="I158" s="96" t="str">
        <f>IFERROR(VLOOKUP($E158,Preenchimento!$A$2:$BV$1048576,10,0),"")</f>
        <v/>
      </c>
      <c r="J158" s="96" t="str">
        <f>IFERROR(VLOOKUP($E158,Preenchimento!$A$2:$BV$1048576,12,0),"")</f>
        <v/>
      </c>
      <c r="K158" s="96" t="str">
        <f>IFERROR(VLOOKUP($E158,Preenchimento!$A$2:$BV$1048576,6,0),"")</f>
        <v/>
      </c>
      <c r="L158" s="96" t="str">
        <f>IF(IFERROR(VLOOKUP($E158,Preenchimento!$A$2:$BV$1048576,53,0),"")=0,"",IFERROR(VLOOKUP($E158,Preenchimento!$A$2:$BV$1048576,53,0),""))</f>
        <v/>
      </c>
      <c r="M158" s="96" t="str">
        <f>IFERROR(VLOOKUP($E158,Preenchimento!$A$2:$BV$1048576,74,0),"")</f>
        <v/>
      </c>
    </row>
    <row r="159" spans="1:13" x14ac:dyDescent="0.2">
      <c r="A159" s="96">
        <f>Sitio!$E$3</f>
        <v>0</v>
      </c>
      <c r="B159" s="96" t="str">
        <f>IFERROR(VLOOKUP($E159,Preenchimento!$A$2:$BV$1048576,2,0),"")</f>
        <v/>
      </c>
      <c r="C159" s="96" t="str">
        <f>IFERROR(VLOOKUP($E159,Preenchimento!$A$2:$BV$1048576,4,0),"")</f>
        <v/>
      </c>
      <c r="D159" s="96" t="str">
        <f>IFERROR(VLOOKUP($E159,Preenchimento!$A$2:$BV$1048576,3,0),"")</f>
        <v/>
      </c>
      <c r="E159" s="96">
        <v>157</v>
      </c>
      <c r="F159" s="96" t="str">
        <f>IFERROR(VLOOKUP($E159,Preenchimento!$A$2:$BV$1048576,7,0),"")</f>
        <v/>
      </c>
      <c r="G159" s="96" t="str">
        <f>IF(IFERROR(VLOOKUP($E159,Preenchimento!$A$2:$BV$1048576,8,0),"")=0,"",IFERROR(VLOOKUP($E159,Preenchimento!$A$2:$BV$1048576,8,0),""))</f>
        <v/>
      </c>
      <c r="H159" s="96" t="str">
        <f>IFERROR(VLOOKUP($E159,Preenchimento!$A$2:$BV$1048576,9,0),"")</f>
        <v/>
      </c>
      <c r="I159" s="96" t="str">
        <f>IFERROR(VLOOKUP($E159,Preenchimento!$A$2:$BV$1048576,10,0),"")</f>
        <v/>
      </c>
      <c r="J159" s="96" t="str">
        <f>IFERROR(VLOOKUP($E159,Preenchimento!$A$2:$BV$1048576,12,0),"")</f>
        <v/>
      </c>
      <c r="K159" s="96" t="str">
        <f>IFERROR(VLOOKUP($E159,Preenchimento!$A$2:$BV$1048576,6,0),"")</f>
        <v/>
      </c>
      <c r="L159" s="96" t="str">
        <f>IF(IFERROR(VLOOKUP($E159,Preenchimento!$A$2:$BV$1048576,53,0),"")=0,"",IFERROR(VLOOKUP($E159,Preenchimento!$A$2:$BV$1048576,53,0),""))</f>
        <v/>
      </c>
      <c r="M159" s="96" t="str">
        <f>IFERROR(VLOOKUP($E159,Preenchimento!$A$2:$BV$1048576,74,0),"")</f>
        <v/>
      </c>
    </row>
    <row r="160" spans="1:13" x14ac:dyDescent="0.2">
      <c r="A160" s="96">
        <f>Sitio!$E$3</f>
        <v>0</v>
      </c>
      <c r="B160" s="96" t="str">
        <f>IFERROR(VLOOKUP($E160,Preenchimento!$A$2:$BV$1048576,2,0),"")</f>
        <v/>
      </c>
      <c r="C160" s="96" t="str">
        <f>IFERROR(VLOOKUP($E160,Preenchimento!$A$2:$BV$1048576,4,0),"")</f>
        <v/>
      </c>
      <c r="D160" s="96" t="str">
        <f>IFERROR(VLOOKUP($E160,Preenchimento!$A$2:$BV$1048576,3,0),"")</f>
        <v/>
      </c>
      <c r="E160" s="96">
        <v>158</v>
      </c>
      <c r="F160" s="96" t="str">
        <f>IFERROR(VLOOKUP($E160,Preenchimento!$A$2:$BV$1048576,7,0),"")</f>
        <v/>
      </c>
      <c r="G160" s="96" t="str">
        <f>IF(IFERROR(VLOOKUP($E160,Preenchimento!$A$2:$BV$1048576,8,0),"")=0,"",IFERROR(VLOOKUP($E160,Preenchimento!$A$2:$BV$1048576,8,0),""))</f>
        <v/>
      </c>
      <c r="H160" s="96" t="str">
        <f>IFERROR(VLOOKUP($E160,Preenchimento!$A$2:$BV$1048576,9,0),"")</f>
        <v/>
      </c>
      <c r="I160" s="96" t="str">
        <f>IFERROR(VLOOKUP($E160,Preenchimento!$A$2:$BV$1048576,10,0),"")</f>
        <v/>
      </c>
      <c r="J160" s="96" t="str">
        <f>IFERROR(VLOOKUP($E160,Preenchimento!$A$2:$BV$1048576,12,0),"")</f>
        <v/>
      </c>
      <c r="K160" s="96" t="str">
        <f>IFERROR(VLOOKUP($E160,Preenchimento!$A$2:$BV$1048576,6,0),"")</f>
        <v/>
      </c>
      <c r="L160" s="96" t="str">
        <f>IF(IFERROR(VLOOKUP($E160,Preenchimento!$A$2:$BV$1048576,53,0),"")=0,"",IFERROR(VLOOKUP($E160,Preenchimento!$A$2:$BV$1048576,53,0),""))</f>
        <v/>
      </c>
      <c r="M160" s="96" t="str">
        <f>IFERROR(VLOOKUP($E160,Preenchimento!$A$2:$BV$1048576,74,0),"")</f>
        <v/>
      </c>
    </row>
    <row r="161" spans="1:13" x14ac:dyDescent="0.2">
      <c r="A161" s="96">
        <f>Sitio!$E$3</f>
        <v>0</v>
      </c>
      <c r="B161" s="96" t="str">
        <f>IFERROR(VLOOKUP($E161,Preenchimento!$A$2:$BV$1048576,2,0),"")</f>
        <v/>
      </c>
      <c r="C161" s="96" t="str">
        <f>IFERROR(VLOOKUP($E161,Preenchimento!$A$2:$BV$1048576,4,0),"")</f>
        <v/>
      </c>
      <c r="D161" s="96" t="str">
        <f>IFERROR(VLOOKUP($E161,Preenchimento!$A$2:$BV$1048576,3,0),"")</f>
        <v/>
      </c>
      <c r="E161" s="96">
        <v>159</v>
      </c>
      <c r="F161" s="96" t="str">
        <f>IFERROR(VLOOKUP($E161,Preenchimento!$A$2:$BV$1048576,7,0),"")</f>
        <v/>
      </c>
      <c r="G161" s="96" t="str">
        <f>IF(IFERROR(VLOOKUP($E161,Preenchimento!$A$2:$BV$1048576,8,0),"")=0,"",IFERROR(VLOOKUP($E161,Preenchimento!$A$2:$BV$1048576,8,0),""))</f>
        <v/>
      </c>
      <c r="H161" s="96" t="str">
        <f>IFERROR(VLOOKUP($E161,Preenchimento!$A$2:$BV$1048576,9,0),"")</f>
        <v/>
      </c>
      <c r="I161" s="96" t="str">
        <f>IFERROR(VLOOKUP($E161,Preenchimento!$A$2:$BV$1048576,10,0),"")</f>
        <v/>
      </c>
      <c r="J161" s="96" t="str">
        <f>IFERROR(VLOOKUP($E161,Preenchimento!$A$2:$BV$1048576,12,0),"")</f>
        <v/>
      </c>
      <c r="K161" s="96" t="str">
        <f>IFERROR(VLOOKUP($E161,Preenchimento!$A$2:$BV$1048576,6,0),"")</f>
        <v/>
      </c>
      <c r="L161" s="96" t="str">
        <f>IF(IFERROR(VLOOKUP($E161,Preenchimento!$A$2:$BV$1048576,53,0),"")=0,"",IFERROR(VLOOKUP($E161,Preenchimento!$A$2:$BV$1048576,53,0),""))</f>
        <v/>
      </c>
      <c r="M161" s="96" t="str">
        <f>IFERROR(VLOOKUP($E161,Preenchimento!$A$2:$BV$1048576,74,0),"")</f>
        <v/>
      </c>
    </row>
    <row r="162" spans="1:13" x14ac:dyDescent="0.2">
      <c r="A162" s="96">
        <f>Sitio!$E$3</f>
        <v>0</v>
      </c>
      <c r="B162" s="96" t="str">
        <f>IFERROR(VLOOKUP($E162,Preenchimento!$A$2:$BV$1048576,2,0),"")</f>
        <v/>
      </c>
      <c r="C162" s="96" t="str">
        <f>IFERROR(VLOOKUP($E162,Preenchimento!$A$2:$BV$1048576,4,0),"")</f>
        <v/>
      </c>
      <c r="D162" s="96" t="str">
        <f>IFERROR(VLOOKUP($E162,Preenchimento!$A$2:$BV$1048576,3,0),"")</f>
        <v/>
      </c>
      <c r="E162" s="96">
        <v>160</v>
      </c>
      <c r="F162" s="96" t="str">
        <f>IFERROR(VLOOKUP($E162,Preenchimento!$A$2:$BV$1048576,7,0),"")</f>
        <v/>
      </c>
      <c r="G162" s="96" t="str">
        <f>IF(IFERROR(VLOOKUP($E162,Preenchimento!$A$2:$BV$1048576,8,0),"")=0,"",IFERROR(VLOOKUP($E162,Preenchimento!$A$2:$BV$1048576,8,0),""))</f>
        <v/>
      </c>
      <c r="H162" s="96" t="str">
        <f>IFERROR(VLOOKUP($E162,Preenchimento!$A$2:$BV$1048576,9,0),"")</f>
        <v/>
      </c>
      <c r="I162" s="96" t="str">
        <f>IFERROR(VLOOKUP($E162,Preenchimento!$A$2:$BV$1048576,10,0),"")</f>
        <v/>
      </c>
      <c r="J162" s="96" t="str">
        <f>IFERROR(VLOOKUP($E162,Preenchimento!$A$2:$BV$1048576,12,0),"")</f>
        <v/>
      </c>
      <c r="K162" s="96" t="str">
        <f>IFERROR(VLOOKUP($E162,Preenchimento!$A$2:$BV$1048576,6,0),"")</f>
        <v/>
      </c>
      <c r="L162" s="96" t="str">
        <f>IF(IFERROR(VLOOKUP($E162,Preenchimento!$A$2:$BV$1048576,53,0),"")=0,"",IFERROR(VLOOKUP($E162,Preenchimento!$A$2:$BV$1048576,53,0),""))</f>
        <v/>
      </c>
      <c r="M162" s="96" t="str">
        <f>IFERROR(VLOOKUP($E162,Preenchimento!$A$2:$BV$1048576,74,0),"")</f>
        <v/>
      </c>
    </row>
    <row r="163" spans="1:13" x14ac:dyDescent="0.2">
      <c r="A163" s="96">
        <f>Sitio!$E$3</f>
        <v>0</v>
      </c>
      <c r="B163" s="96" t="str">
        <f>IFERROR(VLOOKUP($E163,Preenchimento!$A$2:$BV$1048576,2,0),"")</f>
        <v/>
      </c>
      <c r="C163" s="96" t="str">
        <f>IFERROR(VLOOKUP($E163,Preenchimento!$A$2:$BV$1048576,4,0),"")</f>
        <v/>
      </c>
      <c r="D163" s="96" t="str">
        <f>IFERROR(VLOOKUP($E163,Preenchimento!$A$2:$BV$1048576,3,0),"")</f>
        <v/>
      </c>
      <c r="E163" s="96">
        <v>161</v>
      </c>
      <c r="F163" s="96" t="str">
        <f>IFERROR(VLOOKUP($E163,Preenchimento!$A$2:$BV$1048576,7,0),"")</f>
        <v/>
      </c>
      <c r="G163" s="96" t="str">
        <f>IF(IFERROR(VLOOKUP($E163,Preenchimento!$A$2:$BV$1048576,8,0),"")=0,"",IFERROR(VLOOKUP($E163,Preenchimento!$A$2:$BV$1048576,8,0),""))</f>
        <v/>
      </c>
      <c r="H163" s="96" t="str">
        <f>IFERROR(VLOOKUP($E163,Preenchimento!$A$2:$BV$1048576,9,0),"")</f>
        <v/>
      </c>
      <c r="I163" s="96" t="str">
        <f>IFERROR(VLOOKUP($E163,Preenchimento!$A$2:$BV$1048576,10,0),"")</f>
        <v/>
      </c>
      <c r="J163" s="96" t="str">
        <f>IFERROR(VLOOKUP($E163,Preenchimento!$A$2:$BV$1048576,12,0),"")</f>
        <v/>
      </c>
      <c r="K163" s="96" t="str">
        <f>IFERROR(VLOOKUP($E163,Preenchimento!$A$2:$BV$1048576,6,0),"")</f>
        <v/>
      </c>
      <c r="L163" s="96" t="str">
        <f>IF(IFERROR(VLOOKUP($E163,Preenchimento!$A$2:$BV$1048576,53,0),"")=0,"",IFERROR(VLOOKUP($E163,Preenchimento!$A$2:$BV$1048576,53,0),""))</f>
        <v/>
      </c>
      <c r="M163" s="96" t="str">
        <f>IFERROR(VLOOKUP($E163,Preenchimento!$A$2:$BV$1048576,74,0),"")</f>
        <v/>
      </c>
    </row>
    <row r="164" spans="1:13" x14ac:dyDescent="0.2">
      <c r="A164" s="96">
        <f>Sitio!$E$3</f>
        <v>0</v>
      </c>
      <c r="B164" s="96" t="str">
        <f>IFERROR(VLOOKUP($E164,Preenchimento!$A$2:$BV$1048576,2,0),"")</f>
        <v/>
      </c>
      <c r="C164" s="96" t="str">
        <f>IFERROR(VLOOKUP($E164,Preenchimento!$A$2:$BV$1048576,4,0),"")</f>
        <v/>
      </c>
      <c r="D164" s="96" t="str">
        <f>IFERROR(VLOOKUP($E164,Preenchimento!$A$2:$BV$1048576,3,0),"")</f>
        <v/>
      </c>
      <c r="E164" s="96">
        <v>162</v>
      </c>
      <c r="F164" s="96" t="str">
        <f>IFERROR(VLOOKUP($E164,Preenchimento!$A$2:$BV$1048576,7,0),"")</f>
        <v/>
      </c>
      <c r="G164" s="96" t="str">
        <f>IF(IFERROR(VLOOKUP($E164,Preenchimento!$A$2:$BV$1048576,8,0),"")=0,"",IFERROR(VLOOKUP($E164,Preenchimento!$A$2:$BV$1048576,8,0),""))</f>
        <v/>
      </c>
      <c r="H164" s="96" t="str">
        <f>IFERROR(VLOOKUP($E164,Preenchimento!$A$2:$BV$1048576,9,0),"")</f>
        <v/>
      </c>
      <c r="I164" s="96" t="str">
        <f>IFERROR(VLOOKUP($E164,Preenchimento!$A$2:$BV$1048576,10,0),"")</f>
        <v/>
      </c>
      <c r="J164" s="96" t="str">
        <f>IFERROR(VLOOKUP($E164,Preenchimento!$A$2:$BV$1048576,12,0),"")</f>
        <v/>
      </c>
      <c r="K164" s="96" t="str">
        <f>IFERROR(VLOOKUP($E164,Preenchimento!$A$2:$BV$1048576,6,0),"")</f>
        <v/>
      </c>
      <c r="L164" s="96" t="str">
        <f>IF(IFERROR(VLOOKUP($E164,Preenchimento!$A$2:$BV$1048576,53,0),"")=0,"",IFERROR(VLOOKUP($E164,Preenchimento!$A$2:$BV$1048576,53,0),""))</f>
        <v/>
      </c>
      <c r="M164" s="96" t="str">
        <f>IFERROR(VLOOKUP($E164,Preenchimento!$A$2:$BV$1048576,74,0),"")</f>
        <v/>
      </c>
    </row>
    <row r="165" spans="1:13" x14ac:dyDescent="0.2">
      <c r="A165" s="96">
        <f>Sitio!$E$3</f>
        <v>0</v>
      </c>
      <c r="B165" s="96" t="str">
        <f>IFERROR(VLOOKUP($E165,Preenchimento!$A$2:$BV$1048576,2,0),"")</f>
        <v/>
      </c>
      <c r="C165" s="96" t="str">
        <f>IFERROR(VLOOKUP($E165,Preenchimento!$A$2:$BV$1048576,4,0),"")</f>
        <v/>
      </c>
      <c r="D165" s="96" t="str">
        <f>IFERROR(VLOOKUP($E165,Preenchimento!$A$2:$BV$1048576,3,0),"")</f>
        <v/>
      </c>
      <c r="E165" s="96">
        <v>163</v>
      </c>
      <c r="F165" s="96" t="str">
        <f>IFERROR(VLOOKUP($E165,Preenchimento!$A$2:$BV$1048576,7,0),"")</f>
        <v/>
      </c>
      <c r="G165" s="96" t="str">
        <f>IF(IFERROR(VLOOKUP($E165,Preenchimento!$A$2:$BV$1048576,8,0),"")=0,"",IFERROR(VLOOKUP($E165,Preenchimento!$A$2:$BV$1048576,8,0),""))</f>
        <v/>
      </c>
      <c r="H165" s="96" t="str">
        <f>IFERROR(VLOOKUP($E165,Preenchimento!$A$2:$BV$1048576,9,0),"")</f>
        <v/>
      </c>
      <c r="I165" s="96" t="str">
        <f>IFERROR(VLOOKUP($E165,Preenchimento!$A$2:$BV$1048576,10,0),"")</f>
        <v/>
      </c>
      <c r="J165" s="96" t="str">
        <f>IFERROR(VLOOKUP($E165,Preenchimento!$A$2:$BV$1048576,12,0),"")</f>
        <v/>
      </c>
      <c r="K165" s="96" t="str">
        <f>IFERROR(VLOOKUP($E165,Preenchimento!$A$2:$BV$1048576,6,0),"")</f>
        <v/>
      </c>
      <c r="L165" s="96" t="str">
        <f>IF(IFERROR(VLOOKUP($E165,Preenchimento!$A$2:$BV$1048576,53,0),"")=0,"",IFERROR(VLOOKUP($E165,Preenchimento!$A$2:$BV$1048576,53,0),""))</f>
        <v/>
      </c>
      <c r="M165" s="96" t="str">
        <f>IFERROR(VLOOKUP($E165,Preenchimento!$A$2:$BV$1048576,74,0),"")</f>
        <v/>
      </c>
    </row>
    <row r="166" spans="1:13" x14ac:dyDescent="0.2">
      <c r="A166" s="96">
        <f>Sitio!$E$3</f>
        <v>0</v>
      </c>
      <c r="B166" s="96" t="str">
        <f>IFERROR(VLOOKUP($E166,Preenchimento!$A$2:$BV$1048576,2,0),"")</f>
        <v/>
      </c>
      <c r="C166" s="96" t="str">
        <f>IFERROR(VLOOKUP($E166,Preenchimento!$A$2:$BV$1048576,4,0),"")</f>
        <v/>
      </c>
      <c r="D166" s="96" t="str">
        <f>IFERROR(VLOOKUP($E166,Preenchimento!$A$2:$BV$1048576,3,0),"")</f>
        <v/>
      </c>
      <c r="E166" s="96">
        <v>164</v>
      </c>
      <c r="F166" s="96" t="str">
        <f>IFERROR(VLOOKUP($E166,Preenchimento!$A$2:$BV$1048576,7,0),"")</f>
        <v/>
      </c>
      <c r="G166" s="96" t="str">
        <f>IF(IFERROR(VLOOKUP($E166,Preenchimento!$A$2:$BV$1048576,8,0),"")=0,"",IFERROR(VLOOKUP($E166,Preenchimento!$A$2:$BV$1048576,8,0),""))</f>
        <v/>
      </c>
      <c r="H166" s="96" t="str">
        <f>IFERROR(VLOOKUP($E166,Preenchimento!$A$2:$BV$1048576,9,0),"")</f>
        <v/>
      </c>
      <c r="I166" s="96" t="str">
        <f>IFERROR(VLOOKUP($E166,Preenchimento!$A$2:$BV$1048576,10,0),"")</f>
        <v/>
      </c>
      <c r="J166" s="96" t="str">
        <f>IFERROR(VLOOKUP($E166,Preenchimento!$A$2:$BV$1048576,12,0),"")</f>
        <v/>
      </c>
      <c r="K166" s="96" t="str">
        <f>IFERROR(VLOOKUP($E166,Preenchimento!$A$2:$BV$1048576,6,0),"")</f>
        <v/>
      </c>
      <c r="L166" s="96" t="str">
        <f>IF(IFERROR(VLOOKUP($E166,Preenchimento!$A$2:$BV$1048576,53,0),"")=0,"",IFERROR(VLOOKUP($E166,Preenchimento!$A$2:$BV$1048576,53,0),""))</f>
        <v/>
      </c>
      <c r="M166" s="96" t="str">
        <f>IFERROR(VLOOKUP($E166,Preenchimento!$A$2:$BV$1048576,74,0),"")</f>
        <v/>
      </c>
    </row>
    <row r="167" spans="1:13" x14ac:dyDescent="0.2">
      <c r="A167" s="96">
        <f>Sitio!$E$3</f>
        <v>0</v>
      </c>
      <c r="B167" s="96" t="str">
        <f>IFERROR(VLOOKUP($E167,Preenchimento!$A$2:$BV$1048576,2,0),"")</f>
        <v/>
      </c>
      <c r="C167" s="96" t="str">
        <f>IFERROR(VLOOKUP($E167,Preenchimento!$A$2:$BV$1048576,4,0),"")</f>
        <v/>
      </c>
      <c r="D167" s="96" t="str">
        <f>IFERROR(VLOOKUP($E167,Preenchimento!$A$2:$BV$1048576,3,0),"")</f>
        <v/>
      </c>
      <c r="E167" s="96">
        <v>165</v>
      </c>
      <c r="F167" s="96" t="str">
        <f>IFERROR(VLOOKUP($E167,Preenchimento!$A$2:$BV$1048576,7,0),"")</f>
        <v/>
      </c>
      <c r="G167" s="96" t="str">
        <f>IF(IFERROR(VLOOKUP($E167,Preenchimento!$A$2:$BV$1048576,8,0),"")=0,"",IFERROR(VLOOKUP($E167,Preenchimento!$A$2:$BV$1048576,8,0),""))</f>
        <v/>
      </c>
      <c r="H167" s="96" t="str">
        <f>IFERROR(VLOOKUP($E167,Preenchimento!$A$2:$BV$1048576,9,0),"")</f>
        <v/>
      </c>
      <c r="I167" s="96" t="str">
        <f>IFERROR(VLOOKUP($E167,Preenchimento!$A$2:$BV$1048576,10,0),"")</f>
        <v/>
      </c>
      <c r="J167" s="96" t="str">
        <f>IFERROR(VLOOKUP($E167,Preenchimento!$A$2:$BV$1048576,12,0),"")</f>
        <v/>
      </c>
      <c r="K167" s="96" t="str">
        <f>IFERROR(VLOOKUP($E167,Preenchimento!$A$2:$BV$1048576,6,0),"")</f>
        <v/>
      </c>
      <c r="L167" s="96" t="str">
        <f>IF(IFERROR(VLOOKUP($E167,Preenchimento!$A$2:$BV$1048576,53,0),"")=0,"",IFERROR(VLOOKUP($E167,Preenchimento!$A$2:$BV$1048576,53,0),""))</f>
        <v/>
      </c>
      <c r="M167" s="96" t="str">
        <f>IFERROR(VLOOKUP($E167,Preenchimento!$A$2:$BV$1048576,74,0),"")</f>
        <v/>
      </c>
    </row>
    <row r="168" spans="1:13" x14ac:dyDescent="0.2">
      <c r="A168" s="96">
        <f>Sitio!$E$3</f>
        <v>0</v>
      </c>
      <c r="B168" s="96" t="str">
        <f>IFERROR(VLOOKUP($E168,Preenchimento!$A$2:$BV$1048576,2,0),"")</f>
        <v/>
      </c>
      <c r="C168" s="96" t="str">
        <f>IFERROR(VLOOKUP($E168,Preenchimento!$A$2:$BV$1048576,4,0),"")</f>
        <v/>
      </c>
      <c r="D168" s="96" t="str">
        <f>IFERROR(VLOOKUP($E168,Preenchimento!$A$2:$BV$1048576,3,0),"")</f>
        <v/>
      </c>
      <c r="E168" s="96">
        <v>166</v>
      </c>
      <c r="F168" s="96" t="str">
        <f>IFERROR(VLOOKUP($E168,Preenchimento!$A$2:$BV$1048576,7,0),"")</f>
        <v/>
      </c>
      <c r="G168" s="96" t="str">
        <f>IF(IFERROR(VLOOKUP($E168,Preenchimento!$A$2:$BV$1048576,8,0),"")=0,"",IFERROR(VLOOKUP($E168,Preenchimento!$A$2:$BV$1048576,8,0),""))</f>
        <v/>
      </c>
      <c r="H168" s="96" t="str">
        <f>IFERROR(VLOOKUP($E168,Preenchimento!$A$2:$BV$1048576,9,0),"")</f>
        <v/>
      </c>
      <c r="I168" s="96" t="str">
        <f>IFERROR(VLOOKUP($E168,Preenchimento!$A$2:$BV$1048576,10,0),"")</f>
        <v/>
      </c>
      <c r="J168" s="96" t="str">
        <f>IFERROR(VLOOKUP($E168,Preenchimento!$A$2:$BV$1048576,12,0),"")</f>
        <v/>
      </c>
      <c r="K168" s="96" t="str">
        <f>IFERROR(VLOOKUP($E168,Preenchimento!$A$2:$BV$1048576,6,0),"")</f>
        <v/>
      </c>
      <c r="L168" s="96" t="str">
        <f>IF(IFERROR(VLOOKUP($E168,Preenchimento!$A$2:$BV$1048576,53,0),"")=0,"",IFERROR(VLOOKUP($E168,Preenchimento!$A$2:$BV$1048576,53,0),""))</f>
        <v/>
      </c>
      <c r="M168" s="96" t="str">
        <f>IFERROR(VLOOKUP($E168,Preenchimento!$A$2:$BV$1048576,74,0),"")</f>
        <v/>
      </c>
    </row>
    <row r="169" spans="1:13" x14ac:dyDescent="0.2">
      <c r="A169" s="96">
        <f>Sitio!$E$3</f>
        <v>0</v>
      </c>
      <c r="B169" s="96" t="str">
        <f>IFERROR(VLOOKUP($E169,Preenchimento!$A$2:$BV$1048576,2,0),"")</f>
        <v/>
      </c>
      <c r="C169" s="96" t="str">
        <f>IFERROR(VLOOKUP($E169,Preenchimento!$A$2:$BV$1048576,4,0),"")</f>
        <v/>
      </c>
      <c r="D169" s="96" t="str">
        <f>IFERROR(VLOOKUP($E169,Preenchimento!$A$2:$BV$1048576,3,0),"")</f>
        <v/>
      </c>
      <c r="E169" s="96">
        <v>167</v>
      </c>
      <c r="F169" s="96" t="str">
        <f>IFERROR(VLOOKUP($E169,Preenchimento!$A$2:$BV$1048576,7,0),"")</f>
        <v/>
      </c>
      <c r="G169" s="96" t="str">
        <f>IF(IFERROR(VLOOKUP($E169,Preenchimento!$A$2:$BV$1048576,8,0),"")=0,"",IFERROR(VLOOKUP($E169,Preenchimento!$A$2:$BV$1048576,8,0),""))</f>
        <v/>
      </c>
      <c r="H169" s="96" t="str">
        <f>IFERROR(VLOOKUP($E169,Preenchimento!$A$2:$BV$1048576,9,0),"")</f>
        <v/>
      </c>
      <c r="I169" s="96" t="str">
        <f>IFERROR(VLOOKUP($E169,Preenchimento!$A$2:$BV$1048576,10,0),"")</f>
        <v/>
      </c>
      <c r="J169" s="96" t="str">
        <f>IFERROR(VLOOKUP($E169,Preenchimento!$A$2:$BV$1048576,12,0),"")</f>
        <v/>
      </c>
      <c r="K169" s="96" t="str">
        <f>IFERROR(VLOOKUP($E169,Preenchimento!$A$2:$BV$1048576,6,0),"")</f>
        <v/>
      </c>
      <c r="L169" s="96" t="str">
        <f>IF(IFERROR(VLOOKUP($E169,Preenchimento!$A$2:$BV$1048576,53,0),"")=0,"",IFERROR(VLOOKUP($E169,Preenchimento!$A$2:$BV$1048576,53,0),""))</f>
        <v/>
      </c>
      <c r="M169" s="96" t="str">
        <f>IFERROR(VLOOKUP($E169,Preenchimento!$A$2:$BV$1048576,74,0),"")</f>
        <v/>
      </c>
    </row>
    <row r="170" spans="1:13" x14ac:dyDescent="0.2">
      <c r="A170" s="96">
        <f>Sitio!$E$3</f>
        <v>0</v>
      </c>
      <c r="B170" s="96" t="str">
        <f>IFERROR(VLOOKUP($E170,Preenchimento!$A$2:$BV$1048576,2,0),"")</f>
        <v/>
      </c>
      <c r="C170" s="96" t="str">
        <f>IFERROR(VLOOKUP($E170,Preenchimento!$A$2:$BV$1048576,4,0),"")</f>
        <v/>
      </c>
      <c r="D170" s="96" t="str">
        <f>IFERROR(VLOOKUP($E170,Preenchimento!$A$2:$BV$1048576,3,0),"")</f>
        <v/>
      </c>
      <c r="E170" s="96">
        <v>168</v>
      </c>
      <c r="F170" s="96" t="str">
        <f>IFERROR(VLOOKUP($E170,Preenchimento!$A$2:$BV$1048576,7,0),"")</f>
        <v/>
      </c>
      <c r="G170" s="96" t="str">
        <f>IF(IFERROR(VLOOKUP($E170,Preenchimento!$A$2:$BV$1048576,8,0),"")=0,"",IFERROR(VLOOKUP($E170,Preenchimento!$A$2:$BV$1048576,8,0),""))</f>
        <v/>
      </c>
      <c r="H170" s="96" t="str">
        <f>IFERROR(VLOOKUP($E170,Preenchimento!$A$2:$BV$1048576,9,0),"")</f>
        <v/>
      </c>
      <c r="I170" s="96" t="str">
        <f>IFERROR(VLOOKUP($E170,Preenchimento!$A$2:$BV$1048576,10,0),"")</f>
        <v/>
      </c>
      <c r="J170" s="96" t="str">
        <f>IFERROR(VLOOKUP($E170,Preenchimento!$A$2:$BV$1048576,12,0),"")</f>
        <v/>
      </c>
      <c r="K170" s="96" t="str">
        <f>IFERROR(VLOOKUP($E170,Preenchimento!$A$2:$BV$1048576,6,0),"")</f>
        <v/>
      </c>
      <c r="L170" s="96" t="str">
        <f>IF(IFERROR(VLOOKUP($E170,Preenchimento!$A$2:$BV$1048576,53,0),"")=0,"",IFERROR(VLOOKUP($E170,Preenchimento!$A$2:$BV$1048576,53,0),""))</f>
        <v/>
      </c>
      <c r="M170" s="96" t="str">
        <f>IFERROR(VLOOKUP($E170,Preenchimento!$A$2:$BV$1048576,74,0),"")</f>
        <v/>
      </c>
    </row>
    <row r="171" spans="1:13" x14ac:dyDescent="0.2">
      <c r="A171" s="96">
        <f>Sitio!$E$3</f>
        <v>0</v>
      </c>
      <c r="B171" s="96" t="str">
        <f>IFERROR(VLOOKUP($E171,Preenchimento!$A$2:$BV$1048576,2,0),"")</f>
        <v/>
      </c>
      <c r="C171" s="96" t="str">
        <f>IFERROR(VLOOKUP($E171,Preenchimento!$A$2:$BV$1048576,4,0),"")</f>
        <v/>
      </c>
      <c r="D171" s="96" t="str">
        <f>IFERROR(VLOOKUP($E171,Preenchimento!$A$2:$BV$1048576,3,0),"")</f>
        <v/>
      </c>
      <c r="E171" s="96">
        <v>169</v>
      </c>
      <c r="F171" s="96" t="str">
        <f>IFERROR(VLOOKUP($E171,Preenchimento!$A$2:$BV$1048576,7,0),"")</f>
        <v/>
      </c>
      <c r="G171" s="96" t="str">
        <f>IF(IFERROR(VLOOKUP($E171,Preenchimento!$A$2:$BV$1048576,8,0),"")=0,"",IFERROR(VLOOKUP($E171,Preenchimento!$A$2:$BV$1048576,8,0),""))</f>
        <v/>
      </c>
      <c r="H171" s="96" t="str">
        <f>IFERROR(VLOOKUP($E171,Preenchimento!$A$2:$BV$1048576,9,0),"")</f>
        <v/>
      </c>
      <c r="I171" s="96" t="str">
        <f>IFERROR(VLOOKUP($E171,Preenchimento!$A$2:$BV$1048576,10,0),"")</f>
        <v/>
      </c>
      <c r="J171" s="96" t="str">
        <f>IFERROR(VLOOKUP($E171,Preenchimento!$A$2:$BV$1048576,12,0),"")</f>
        <v/>
      </c>
      <c r="K171" s="96" t="str">
        <f>IFERROR(VLOOKUP($E171,Preenchimento!$A$2:$BV$1048576,6,0),"")</f>
        <v/>
      </c>
      <c r="L171" s="96" t="str">
        <f>IF(IFERROR(VLOOKUP($E171,Preenchimento!$A$2:$BV$1048576,53,0),"")=0,"",IFERROR(VLOOKUP($E171,Preenchimento!$A$2:$BV$1048576,53,0),""))</f>
        <v/>
      </c>
      <c r="M171" s="96" t="str">
        <f>IFERROR(VLOOKUP($E171,Preenchimento!$A$2:$BV$1048576,74,0),"")</f>
        <v/>
      </c>
    </row>
    <row r="172" spans="1:13" x14ac:dyDescent="0.2">
      <c r="A172" s="96">
        <f>Sitio!$E$3</f>
        <v>0</v>
      </c>
      <c r="B172" s="96" t="str">
        <f>IFERROR(VLOOKUP($E172,Preenchimento!$A$2:$BV$1048576,2,0),"")</f>
        <v/>
      </c>
      <c r="C172" s="96" t="str">
        <f>IFERROR(VLOOKUP($E172,Preenchimento!$A$2:$BV$1048576,4,0),"")</f>
        <v/>
      </c>
      <c r="D172" s="96" t="str">
        <f>IFERROR(VLOOKUP($E172,Preenchimento!$A$2:$BV$1048576,3,0),"")</f>
        <v/>
      </c>
      <c r="E172" s="96">
        <v>170</v>
      </c>
      <c r="F172" s="96" t="str">
        <f>IFERROR(VLOOKUP($E172,Preenchimento!$A$2:$BV$1048576,7,0),"")</f>
        <v/>
      </c>
      <c r="G172" s="96" t="str">
        <f>IF(IFERROR(VLOOKUP($E172,Preenchimento!$A$2:$BV$1048576,8,0),"")=0,"",IFERROR(VLOOKUP($E172,Preenchimento!$A$2:$BV$1048576,8,0),""))</f>
        <v/>
      </c>
      <c r="H172" s="96" t="str">
        <f>IFERROR(VLOOKUP($E172,Preenchimento!$A$2:$BV$1048576,9,0),"")</f>
        <v/>
      </c>
      <c r="I172" s="96" t="str">
        <f>IFERROR(VLOOKUP($E172,Preenchimento!$A$2:$BV$1048576,10,0),"")</f>
        <v/>
      </c>
      <c r="J172" s="96" t="str">
        <f>IFERROR(VLOOKUP($E172,Preenchimento!$A$2:$BV$1048576,12,0),"")</f>
        <v/>
      </c>
      <c r="K172" s="96" t="str">
        <f>IFERROR(VLOOKUP($E172,Preenchimento!$A$2:$BV$1048576,6,0),"")</f>
        <v/>
      </c>
      <c r="L172" s="96" t="str">
        <f>IF(IFERROR(VLOOKUP($E172,Preenchimento!$A$2:$BV$1048576,53,0),"")=0,"",IFERROR(VLOOKUP($E172,Preenchimento!$A$2:$BV$1048576,53,0),""))</f>
        <v/>
      </c>
      <c r="M172" s="96" t="str">
        <f>IFERROR(VLOOKUP($E172,Preenchimento!$A$2:$BV$1048576,74,0),"")</f>
        <v/>
      </c>
    </row>
    <row r="173" spans="1:13" x14ac:dyDescent="0.2">
      <c r="A173" s="96">
        <f>Sitio!$E$3</f>
        <v>0</v>
      </c>
      <c r="B173" s="96" t="str">
        <f>IFERROR(VLOOKUP($E173,Preenchimento!$A$2:$BV$1048576,2,0),"")</f>
        <v/>
      </c>
      <c r="C173" s="96" t="str">
        <f>IFERROR(VLOOKUP($E173,Preenchimento!$A$2:$BV$1048576,4,0),"")</f>
        <v/>
      </c>
      <c r="D173" s="96" t="str">
        <f>IFERROR(VLOOKUP($E173,Preenchimento!$A$2:$BV$1048576,3,0),"")</f>
        <v/>
      </c>
      <c r="E173" s="96">
        <v>171</v>
      </c>
      <c r="F173" s="96" t="str">
        <f>IFERROR(VLOOKUP($E173,Preenchimento!$A$2:$BV$1048576,7,0),"")</f>
        <v/>
      </c>
      <c r="G173" s="96" t="str">
        <f>IF(IFERROR(VLOOKUP($E173,Preenchimento!$A$2:$BV$1048576,8,0),"")=0,"",IFERROR(VLOOKUP($E173,Preenchimento!$A$2:$BV$1048576,8,0),""))</f>
        <v/>
      </c>
      <c r="H173" s="96" t="str">
        <f>IFERROR(VLOOKUP($E173,Preenchimento!$A$2:$BV$1048576,9,0),"")</f>
        <v/>
      </c>
      <c r="I173" s="96" t="str">
        <f>IFERROR(VLOOKUP($E173,Preenchimento!$A$2:$BV$1048576,10,0),"")</f>
        <v/>
      </c>
      <c r="J173" s="96" t="str">
        <f>IFERROR(VLOOKUP($E173,Preenchimento!$A$2:$BV$1048576,12,0),"")</f>
        <v/>
      </c>
      <c r="K173" s="96" t="str">
        <f>IFERROR(VLOOKUP($E173,Preenchimento!$A$2:$BV$1048576,6,0),"")</f>
        <v/>
      </c>
      <c r="L173" s="96" t="str">
        <f>IF(IFERROR(VLOOKUP($E173,Preenchimento!$A$2:$BV$1048576,53,0),"")=0,"",IFERROR(VLOOKUP($E173,Preenchimento!$A$2:$BV$1048576,53,0),""))</f>
        <v/>
      </c>
      <c r="M173" s="96" t="str">
        <f>IFERROR(VLOOKUP($E173,Preenchimento!$A$2:$BV$1048576,74,0),"")</f>
        <v/>
      </c>
    </row>
    <row r="174" spans="1:13" x14ac:dyDescent="0.2">
      <c r="A174" s="96">
        <f>Sitio!$E$3</f>
        <v>0</v>
      </c>
      <c r="B174" s="96" t="str">
        <f>IFERROR(VLOOKUP($E174,Preenchimento!$A$2:$BV$1048576,2,0),"")</f>
        <v/>
      </c>
      <c r="C174" s="96" t="str">
        <f>IFERROR(VLOOKUP($E174,Preenchimento!$A$2:$BV$1048576,4,0),"")</f>
        <v/>
      </c>
      <c r="D174" s="96" t="str">
        <f>IFERROR(VLOOKUP($E174,Preenchimento!$A$2:$BV$1048576,3,0),"")</f>
        <v/>
      </c>
      <c r="E174" s="96">
        <v>172</v>
      </c>
      <c r="F174" s="96" t="str">
        <f>IFERROR(VLOOKUP($E174,Preenchimento!$A$2:$BV$1048576,7,0),"")</f>
        <v/>
      </c>
      <c r="G174" s="96" t="str">
        <f>IF(IFERROR(VLOOKUP($E174,Preenchimento!$A$2:$BV$1048576,8,0),"")=0,"",IFERROR(VLOOKUP($E174,Preenchimento!$A$2:$BV$1048576,8,0),""))</f>
        <v/>
      </c>
      <c r="H174" s="96" t="str">
        <f>IFERROR(VLOOKUP($E174,Preenchimento!$A$2:$BV$1048576,9,0),"")</f>
        <v/>
      </c>
      <c r="I174" s="96" t="str">
        <f>IFERROR(VLOOKUP($E174,Preenchimento!$A$2:$BV$1048576,10,0),"")</f>
        <v/>
      </c>
      <c r="J174" s="96" t="str">
        <f>IFERROR(VLOOKUP($E174,Preenchimento!$A$2:$BV$1048576,12,0),"")</f>
        <v/>
      </c>
      <c r="K174" s="96" t="str">
        <f>IFERROR(VLOOKUP($E174,Preenchimento!$A$2:$BV$1048576,6,0),"")</f>
        <v/>
      </c>
      <c r="L174" s="96" t="str">
        <f>IF(IFERROR(VLOOKUP($E174,Preenchimento!$A$2:$BV$1048576,53,0),"")=0,"",IFERROR(VLOOKUP($E174,Preenchimento!$A$2:$BV$1048576,53,0),""))</f>
        <v/>
      </c>
      <c r="M174" s="96" t="str">
        <f>IFERROR(VLOOKUP($E174,Preenchimento!$A$2:$BV$1048576,74,0),"")</f>
        <v/>
      </c>
    </row>
    <row r="175" spans="1:13" x14ac:dyDescent="0.2">
      <c r="A175" s="96">
        <f>Sitio!$E$3</f>
        <v>0</v>
      </c>
      <c r="B175" s="96" t="str">
        <f>IFERROR(VLOOKUP($E175,Preenchimento!$A$2:$BV$1048576,2,0),"")</f>
        <v/>
      </c>
      <c r="C175" s="96" t="str">
        <f>IFERROR(VLOOKUP($E175,Preenchimento!$A$2:$BV$1048576,4,0),"")</f>
        <v/>
      </c>
      <c r="D175" s="96" t="str">
        <f>IFERROR(VLOOKUP($E175,Preenchimento!$A$2:$BV$1048576,3,0),"")</f>
        <v/>
      </c>
      <c r="E175" s="96">
        <v>173</v>
      </c>
      <c r="F175" s="96" t="str">
        <f>IFERROR(VLOOKUP($E175,Preenchimento!$A$2:$BV$1048576,7,0),"")</f>
        <v/>
      </c>
      <c r="G175" s="96" t="str">
        <f>IF(IFERROR(VLOOKUP($E175,Preenchimento!$A$2:$BV$1048576,8,0),"")=0,"",IFERROR(VLOOKUP($E175,Preenchimento!$A$2:$BV$1048576,8,0),""))</f>
        <v/>
      </c>
      <c r="H175" s="96" t="str">
        <f>IFERROR(VLOOKUP($E175,Preenchimento!$A$2:$BV$1048576,9,0),"")</f>
        <v/>
      </c>
      <c r="I175" s="96" t="str">
        <f>IFERROR(VLOOKUP($E175,Preenchimento!$A$2:$BV$1048576,10,0),"")</f>
        <v/>
      </c>
      <c r="J175" s="96" t="str">
        <f>IFERROR(VLOOKUP($E175,Preenchimento!$A$2:$BV$1048576,12,0),"")</f>
        <v/>
      </c>
      <c r="K175" s="96" t="str">
        <f>IFERROR(VLOOKUP($E175,Preenchimento!$A$2:$BV$1048576,6,0),"")</f>
        <v/>
      </c>
      <c r="L175" s="96" t="str">
        <f>IF(IFERROR(VLOOKUP($E175,Preenchimento!$A$2:$BV$1048576,53,0),"")=0,"",IFERROR(VLOOKUP($E175,Preenchimento!$A$2:$BV$1048576,53,0),""))</f>
        <v/>
      </c>
      <c r="M175" s="96" t="str">
        <f>IFERROR(VLOOKUP($E175,Preenchimento!$A$2:$BV$1048576,74,0),"")</f>
        <v/>
      </c>
    </row>
    <row r="176" spans="1:13" x14ac:dyDescent="0.2">
      <c r="A176" s="96">
        <f>Sitio!$E$3</f>
        <v>0</v>
      </c>
      <c r="B176" s="96" t="str">
        <f>IFERROR(VLOOKUP($E176,Preenchimento!$A$2:$BV$1048576,2,0),"")</f>
        <v/>
      </c>
      <c r="C176" s="96" t="str">
        <f>IFERROR(VLOOKUP($E176,Preenchimento!$A$2:$BV$1048576,4,0),"")</f>
        <v/>
      </c>
      <c r="D176" s="96" t="str">
        <f>IFERROR(VLOOKUP($E176,Preenchimento!$A$2:$BV$1048576,3,0),"")</f>
        <v/>
      </c>
      <c r="E176" s="96">
        <v>174</v>
      </c>
      <c r="F176" s="96" t="str">
        <f>IFERROR(VLOOKUP($E176,Preenchimento!$A$2:$BV$1048576,7,0),"")</f>
        <v/>
      </c>
      <c r="G176" s="96" t="str">
        <f>IF(IFERROR(VLOOKUP($E176,Preenchimento!$A$2:$BV$1048576,8,0),"")=0,"",IFERROR(VLOOKUP($E176,Preenchimento!$A$2:$BV$1048576,8,0),""))</f>
        <v/>
      </c>
      <c r="H176" s="96" t="str">
        <f>IFERROR(VLOOKUP($E176,Preenchimento!$A$2:$BV$1048576,9,0),"")</f>
        <v/>
      </c>
      <c r="I176" s="96" t="str">
        <f>IFERROR(VLOOKUP($E176,Preenchimento!$A$2:$BV$1048576,10,0),"")</f>
        <v/>
      </c>
      <c r="J176" s="96" t="str">
        <f>IFERROR(VLOOKUP($E176,Preenchimento!$A$2:$BV$1048576,12,0),"")</f>
        <v/>
      </c>
      <c r="K176" s="96" t="str">
        <f>IFERROR(VLOOKUP($E176,Preenchimento!$A$2:$BV$1048576,6,0),"")</f>
        <v/>
      </c>
      <c r="L176" s="96" t="str">
        <f>IF(IFERROR(VLOOKUP($E176,Preenchimento!$A$2:$BV$1048576,53,0),"")=0,"",IFERROR(VLOOKUP($E176,Preenchimento!$A$2:$BV$1048576,53,0),""))</f>
        <v/>
      </c>
      <c r="M176" s="96" t="str">
        <f>IFERROR(VLOOKUP($E176,Preenchimento!$A$2:$BV$1048576,74,0),"")</f>
        <v/>
      </c>
    </row>
    <row r="177" spans="1:13" x14ac:dyDescent="0.2">
      <c r="A177" s="96">
        <f>Sitio!$E$3</f>
        <v>0</v>
      </c>
      <c r="B177" s="96" t="str">
        <f>IFERROR(VLOOKUP($E177,Preenchimento!$A$2:$BV$1048576,2,0),"")</f>
        <v/>
      </c>
      <c r="C177" s="96" t="str">
        <f>IFERROR(VLOOKUP($E177,Preenchimento!$A$2:$BV$1048576,4,0),"")</f>
        <v/>
      </c>
      <c r="D177" s="96" t="str">
        <f>IFERROR(VLOOKUP($E177,Preenchimento!$A$2:$BV$1048576,3,0),"")</f>
        <v/>
      </c>
      <c r="E177" s="96">
        <v>175</v>
      </c>
      <c r="F177" s="96" t="str">
        <f>IFERROR(VLOOKUP($E177,Preenchimento!$A$2:$BV$1048576,7,0),"")</f>
        <v/>
      </c>
      <c r="G177" s="96" t="str">
        <f>IF(IFERROR(VLOOKUP($E177,Preenchimento!$A$2:$BV$1048576,8,0),"")=0,"",IFERROR(VLOOKUP($E177,Preenchimento!$A$2:$BV$1048576,8,0),""))</f>
        <v/>
      </c>
      <c r="H177" s="96" t="str">
        <f>IFERROR(VLOOKUP($E177,Preenchimento!$A$2:$BV$1048576,9,0),"")</f>
        <v/>
      </c>
      <c r="I177" s="96" t="str">
        <f>IFERROR(VLOOKUP($E177,Preenchimento!$A$2:$BV$1048576,10,0),"")</f>
        <v/>
      </c>
      <c r="J177" s="96" t="str">
        <f>IFERROR(VLOOKUP($E177,Preenchimento!$A$2:$BV$1048576,12,0),"")</f>
        <v/>
      </c>
      <c r="K177" s="96" t="str">
        <f>IFERROR(VLOOKUP($E177,Preenchimento!$A$2:$BV$1048576,6,0),"")</f>
        <v/>
      </c>
      <c r="L177" s="96" t="str">
        <f>IF(IFERROR(VLOOKUP($E177,Preenchimento!$A$2:$BV$1048576,53,0),"")=0,"",IFERROR(VLOOKUP($E177,Preenchimento!$A$2:$BV$1048576,53,0),""))</f>
        <v/>
      </c>
      <c r="M177" s="96" t="str">
        <f>IFERROR(VLOOKUP($E177,Preenchimento!$A$2:$BV$1048576,74,0),"")</f>
        <v/>
      </c>
    </row>
    <row r="178" spans="1:13" x14ac:dyDescent="0.2">
      <c r="A178" s="96">
        <f>Sitio!$E$3</f>
        <v>0</v>
      </c>
      <c r="B178" s="96" t="str">
        <f>IFERROR(VLOOKUP($E178,Preenchimento!$A$2:$BV$1048576,2,0),"")</f>
        <v/>
      </c>
      <c r="C178" s="96" t="str">
        <f>IFERROR(VLOOKUP($E178,Preenchimento!$A$2:$BV$1048576,4,0),"")</f>
        <v/>
      </c>
      <c r="D178" s="96" t="str">
        <f>IFERROR(VLOOKUP($E178,Preenchimento!$A$2:$BV$1048576,3,0),"")</f>
        <v/>
      </c>
      <c r="E178" s="96">
        <v>176</v>
      </c>
      <c r="F178" s="96" t="str">
        <f>IFERROR(VLOOKUP($E178,Preenchimento!$A$2:$BV$1048576,7,0),"")</f>
        <v/>
      </c>
      <c r="G178" s="96" t="str">
        <f>IF(IFERROR(VLOOKUP($E178,Preenchimento!$A$2:$BV$1048576,8,0),"")=0,"",IFERROR(VLOOKUP($E178,Preenchimento!$A$2:$BV$1048576,8,0),""))</f>
        <v/>
      </c>
      <c r="H178" s="96" t="str">
        <f>IFERROR(VLOOKUP($E178,Preenchimento!$A$2:$BV$1048576,9,0),"")</f>
        <v/>
      </c>
      <c r="I178" s="96" t="str">
        <f>IFERROR(VLOOKUP($E178,Preenchimento!$A$2:$BV$1048576,10,0),"")</f>
        <v/>
      </c>
      <c r="J178" s="96" t="str">
        <f>IFERROR(VLOOKUP($E178,Preenchimento!$A$2:$BV$1048576,12,0),"")</f>
        <v/>
      </c>
      <c r="K178" s="96" t="str">
        <f>IFERROR(VLOOKUP($E178,Preenchimento!$A$2:$BV$1048576,6,0),"")</f>
        <v/>
      </c>
      <c r="L178" s="96" t="str">
        <f>IF(IFERROR(VLOOKUP($E178,Preenchimento!$A$2:$BV$1048576,53,0),"")=0,"",IFERROR(VLOOKUP($E178,Preenchimento!$A$2:$BV$1048576,53,0),""))</f>
        <v/>
      </c>
      <c r="M178" s="96" t="str">
        <f>IFERROR(VLOOKUP($E178,Preenchimento!$A$2:$BV$1048576,74,0),"")</f>
        <v/>
      </c>
    </row>
    <row r="179" spans="1:13" x14ac:dyDescent="0.2">
      <c r="A179" s="96">
        <f>Sitio!$E$3</f>
        <v>0</v>
      </c>
      <c r="B179" s="96" t="str">
        <f>IFERROR(VLOOKUP($E179,Preenchimento!$A$2:$BV$1048576,2,0),"")</f>
        <v/>
      </c>
      <c r="C179" s="96" t="str">
        <f>IFERROR(VLOOKUP($E179,Preenchimento!$A$2:$BV$1048576,4,0),"")</f>
        <v/>
      </c>
      <c r="D179" s="96" t="str">
        <f>IFERROR(VLOOKUP($E179,Preenchimento!$A$2:$BV$1048576,3,0),"")</f>
        <v/>
      </c>
      <c r="E179" s="96">
        <v>177</v>
      </c>
      <c r="F179" s="96" t="str">
        <f>IFERROR(VLOOKUP($E179,Preenchimento!$A$2:$BV$1048576,7,0),"")</f>
        <v/>
      </c>
      <c r="G179" s="96" t="str">
        <f>IF(IFERROR(VLOOKUP($E179,Preenchimento!$A$2:$BV$1048576,8,0),"")=0,"",IFERROR(VLOOKUP($E179,Preenchimento!$A$2:$BV$1048576,8,0),""))</f>
        <v/>
      </c>
      <c r="H179" s="96" t="str">
        <f>IFERROR(VLOOKUP($E179,Preenchimento!$A$2:$BV$1048576,9,0),"")</f>
        <v/>
      </c>
      <c r="I179" s="96" t="str">
        <f>IFERROR(VLOOKUP($E179,Preenchimento!$A$2:$BV$1048576,10,0),"")</f>
        <v/>
      </c>
      <c r="J179" s="96" t="str">
        <f>IFERROR(VLOOKUP($E179,Preenchimento!$A$2:$BV$1048576,12,0),"")</f>
        <v/>
      </c>
      <c r="K179" s="96" t="str">
        <f>IFERROR(VLOOKUP($E179,Preenchimento!$A$2:$BV$1048576,6,0),"")</f>
        <v/>
      </c>
      <c r="L179" s="96" t="str">
        <f>IF(IFERROR(VLOOKUP($E179,Preenchimento!$A$2:$BV$1048576,53,0),"")=0,"",IFERROR(VLOOKUP($E179,Preenchimento!$A$2:$BV$1048576,53,0),""))</f>
        <v/>
      </c>
      <c r="M179" s="96" t="str">
        <f>IFERROR(VLOOKUP($E179,Preenchimento!$A$2:$BV$1048576,74,0),"")</f>
        <v/>
      </c>
    </row>
    <row r="180" spans="1:13" x14ac:dyDescent="0.2">
      <c r="A180" s="96">
        <f>Sitio!$E$3</f>
        <v>0</v>
      </c>
      <c r="B180" s="96" t="str">
        <f>IFERROR(VLOOKUP($E180,Preenchimento!$A$2:$BV$1048576,2,0),"")</f>
        <v/>
      </c>
      <c r="C180" s="96" t="str">
        <f>IFERROR(VLOOKUP($E180,Preenchimento!$A$2:$BV$1048576,4,0),"")</f>
        <v/>
      </c>
      <c r="D180" s="96" t="str">
        <f>IFERROR(VLOOKUP($E180,Preenchimento!$A$2:$BV$1048576,3,0),"")</f>
        <v/>
      </c>
      <c r="E180" s="96">
        <v>178</v>
      </c>
      <c r="F180" s="96" t="str">
        <f>IFERROR(VLOOKUP($E180,Preenchimento!$A$2:$BV$1048576,7,0),"")</f>
        <v/>
      </c>
      <c r="G180" s="96" t="str">
        <f>IF(IFERROR(VLOOKUP($E180,Preenchimento!$A$2:$BV$1048576,8,0),"")=0,"",IFERROR(VLOOKUP($E180,Preenchimento!$A$2:$BV$1048576,8,0),""))</f>
        <v/>
      </c>
      <c r="H180" s="96" t="str">
        <f>IFERROR(VLOOKUP($E180,Preenchimento!$A$2:$BV$1048576,9,0),"")</f>
        <v/>
      </c>
      <c r="I180" s="96" t="str">
        <f>IFERROR(VLOOKUP($E180,Preenchimento!$A$2:$BV$1048576,10,0),"")</f>
        <v/>
      </c>
      <c r="J180" s="96" t="str">
        <f>IFERROR(VLOOKUP($E180,Preenchimento!$A$2:$BV$1048576,12,0),"")</f>
        <v/>
      </c>
      <c r="K180" s="96" t="str">
        <f>IFERROR(VLOOKUP($E180,Preenchimento!$A$2:$BV$1048576,6,0),"")</f>
        <v/>
      </c>
      <c r="L180" s="96" t="str">
        <f>IF(IFERROR(VLOOKUP($E180,Preenchimento!$A$2:$BV$1048576,53,0),"")=0,"",IFERROR(VLOOKUP($E180,Preenchimento!$A$2:$BV$1048576,53,0),""))</f>
        <v/>
      </c>
      <c r="M180" s="96" t="str">
        <f>IFERROR(VLOOKUP($E180,Preenchimento!$A$2:$BV$1048576,74,0),"")</f>
        <v/>
      </c>
    </row>
    <row r="181" spans="1:13" x14ac:dyDescent="0.2">
      <c r="A181" s="96">
        <f>Sitio!$E$3</f>
        <v>0</v>
      </c>
      <c r="B181" s="96" t="str">
        <f>IFERROR(VLOOKUP($E181,Preenchimento!$A$2:$BV$1048576,2,0),"")</f>
        <v/>
      </c>
      <c r="C181" s="96" t="str">
        <f>IFERROR(VLOOKUP($E181,Preenchimento!$A$2:$BV$1048576,4,0),"")</f>
        <v/>
      </c>
      <c r="D181" s="96" t="str">
        <f>IFERROR(VLOOKUP($E181,Preenchimento!$A$2:$BV$1048576,3,0),"")</f>
        <v/>
      </c>
      <c r="E181" s="96">
        <v>179</v>
      </c>
      <c r="F181" s="96" t="str">
        <f>IFERROR(VLOOKUP($E181,Preenchimento!$A$2:$BV$1048576,7,0),"")</f>
        <v/>
      </c>
      <c r="G181" s="96" t="str">
        <f>IF(IFERROR(VLOOKUP($E181,Preenchimento!$A$2:$BV$1048576,8,0),"")=0,"",IFERROR(VLOOKUP($E181,Preenchimento!$A$2:$BV$1048576,8,0),""))</f>
        <v/>
      </c>
      <c r="H181" s="96" t="str">
        <f>IFERROR(VLOOKUP($E181,Preenchimento!$A$2:$BV$1048576,9,0),"")</f>
        <v/>
      </c>
      <c r="I181" s="96" t="str">
        <f>IFERROR(VLOOKUP($E181,Preenchimento!$A$2:$BV$1048576,10,0),"")</f>
        <v/>
      </c>
      <c r="J181" s="96" t="str">
        <f>IFERROR(VLOOKUP($E181,Preenchimento!$A$2:$BV$1048576,12,0),"")</f>
        <v/>
      </c>
      <c r="K181" s="96" t="str">
        <f>IFERROR(VLOOKUP($E181,Preenchimento!$A$2:$BV$1048576,6,0),"")</f>
        <v/>
      </c>
      <c r="L181" s="96" t="str">
        <f>IF(IFERROR(VLOOKUP($E181,Preenchimento!$A$2:$BV$1048576,53,0),"")=0,"",IFERROR(VLOOKUP($E181,Preenchimento!$A$2:$BV$1048576,53,0),""))</f>
        <v/>
      </c>
      <c r="M181" s="96" t="str">
        <f>IFERROR(VLOOKUP($E181,Preenchimento!$A$2:$BV$1048576,74,0),"")</f>
        <v/>
      </c>
    </row>
    <row r="182" spans="1:13" x14ac:dyDescent="0.2">
      <c r="A182" s="96">
        <f>Sitio!$E$3</f>
        <v>0</v>
      </c>
      <c r="B182" s="96" t="str">
        <f>IFERROR(VLOOKUP($E182,Preenchimento!$A$2:$BV$1048576,2,0),"")</f>
        <v/>
      </c>
      <c r="C182" s="96" t="str">
        <f>IFERROR(VLOOKUP($E182,Preenchimento!$A$2:$BV$1048576,4,0),"")</f>
        <v/>
      </c>
      <c r="D182" s="96" t="str">
        <f>IFERROR(VLOOKUP($E182,Preenchimento!$A$2:$BV$1048576,3,0),"")</f>
        <v/>
      </c>
      <c r="E182" s="96">
        <v>180</v>
      </c>
      <c r="F182" s="96" t="str">
        <f>IFERROR(VLOOKUP($E182,Preenchimento!$A$2:$BV$1048576,7,0),"")</f>
        <v/>
      </c>
      <c r="G182" s="96" t="str">
        <f>IF(IFERROR(VLOOKUP($E182,Preenchimento!$A$2:$BV$1048576,8,0),"")=0,"",IFERROR(VLOOKUP($E182,Preenchimento!$A$2:$BV$1048576,8,0),""))</f>
        <v/>
      </c>
      <c r="H182" s="96" t="str">
        <f>IFERROR(VLOOKUP($E182,Preenchimento!$A$2:$BV$1048576,9,0),"")</f>
        <v/>
      </c>
      <c r="I182" s="96" t="str">
        <f>IFERROR(VLOOKUP($E182,Preenchimento!$A$2:$BV$1048576,10,0),"")</f>
        <v/>
      </c>
      <c r="J182" s="96" t="str">
        <f>IFERROR(VLOOKUP($E182,Preenchimento!$A$2:$BV$1048576,12,0),"")</f>
        <v/>
      </c>
      <c r="K182" s="96" t="str">
        <f>IFERROR(VLOOKUP($E182,Preenchimento!$A$2:$BV$1048576,6,0),"")</f>
        <v/>
      </c>
      <c r="L182" s="96" t="str">
        <f>IF(IFERROR(VLOOKUP($E182,Preenchimento!$A$2:$BV$1048576,53,0),"")=0,"",IFERROR(VLOOKUP($E182,Preenchimento!$A$2:$BV$1048576,53,0),""))</f>
        <v/>
      </c>
      <c r="M182" s="96" t="str">
        <f>IFERROR(VLOOKUP($E182,Preenchimento!$A$2:$BV$1048576,74,0),"")</f>
        <v/>
      </c>
    </row>
    <row r="183" spans="1:13" x14ac:dyDescent="0.2">
      <c r="A183" s="96">
        <f>Sitio!$E$3</f>
        <v>0</v>
      </c>
      <c r="B183" s="96" t="str">
        <f>IFERROR(VLOOKUP($E183,Preenchimento!$A$2:$BV$1048576,2,0),"")</f>
        <v/>
      </c>
      <c r="C183" s="96" t="str">
        <f>IFERROR(VLOOKUP($E183,Preenchimento!$A$2:$BV$1048576,4,0),"")</f>
        <v/>
      </c>
      <c r="D183" s="96" t="str">
        <f>IFERROR(VLOOKUP($E183,Preenchimento!$A$2:$BV$1048576,3,0),"")</f>
        <v/>
      </c>
      <c r="E183" s="96">
        <v>181</v>
      </c>
      <c r="F183" s="96" t="str">
        <f>IFERROR(VLOOKUP($E183,Preenchimento!$A$2:$BV$1048576,7,0),"")</f>
        <v/>
      </c>
      <c r="G183" s="96" t="str">
        <f>IF(IFERROR(VLOOKUP($E183,Preenchimento!$A$2:$BV$1048576,8,0),"")=0,"",IFERROR(VLOOKUP($E183,Preenchimento!$A$2:$BV$1048576,8,0),""))</f>
        <v/>
      </c>
      <c r="H183" s="96" t="str">
        <f>IFERROR(VLOOKUP($E183,Preenchimento!$A$2:$BV$1048576,9,0),"")</f>
        <v/>
      </c>
      <c r="I183" s="96" t="str">
        <f>IFERROR(VLOOKUP($E183,Preenchimento!$A$2:$BV$1048576,10,0),"")</f>
        <v/>
      </c>
      <c r="J183" s="96" t="str">
        <f>IFERROR(VLOOKUP($E183,Preenchimento!$A$2:$BV$1048576,12,0),"")</f>
        <v/>
      </c>
      <c r="K183" s="96" t="str">
        <f>IFERROR(VLOOKUP($E183,Preenchimento!$A$2:$BV$1048576,6,0),"")</f>
        <v/>
      </c>
      <c r="L183" s="96" t="str">
        <f>IF(IFERROR(VLOOKUP($E183,Preenchimento!$A$2:$BV$1048576,53,0),"")=0,"",IFERROR(VLOOKUP($E183,Preenchimento!$A$2:$BV$1048576,53,0),""))</f>
        <v/>
      </c>
      <c r="M183" s="96" t="str">
        <f>IFERROR(VLOOKUP($E183,Preenchimento!$A$2:$BV$1048576,74,0),"")</f>
        <v/>
      </c>
    </row>
    <row r="184" spans="1:13" x14ac:dyDescent="0.2">
      <c r="A184" s="96">
        <f>Sitio!$E$3</f>
        <v>0</v>
      </c>
      <c r="B184" s="96" t="str">
        <f>IFERROR(VLOOKUP($E184,Preenchimento!$A$2:$BV$1048576,2,0),"")</f>
        <v/>
      </c>
      <c r="C184" s="96" t="str">
        <f>IFERROR(VLOOKUP($E184,Preenchimento!$A$2:$BV$1048576,4,0),"")</f>
        <v/>
      </c>
      <c r="D184" s="96" t="str">
        <f>IFERROR(VLOOKUP($E184,Preenchimento!$A$2:$BV$1048576,3,0),"")</f>
        <v/>
      </c>
      <c r="E184" s="96">
        <v>182</v>
      </c>
      <c r="F184" s="96" t="str">
        <f>IFERROR(VLOOKUP($E184,Preenchimento!$A$2:$BV$1048576,7,0),"")</f>
        <v/>
      </c>
      <c r="G184" s="96" t="str">
        <f>IF(IFERROR(VLOOKUP($E184,Preenchimento!$A$2:$BV$1048576,8,0),"")=0,"",IFERROR(VLOOKUP($E184,Preenchimento!$A$2:$BV$1048576,8,0),""))</f>
        <v/>
      </c>
      <c r="H184" s="96" t="str">
        <f>IFERROR(VLOOKUP($E184,Preenchimento!$A$2:$BV$1048576,9,0),"")</f>
        <v/>
      </c>
      <c r="I184" s="96" t="str">
        <f>IFERROR(VLOOKUP($E184,Preenchimento!$A$2:$BV$1048576,10,0),"")</f>
        <v/>
      </c>
      <c r="J184" s="96" t="str">
        <f>IFERROR(VLOOKUP($E184,Preenchimento!$A$2:$BV$1048576,12,0),"")</f>
        <v/>
      </c>
      <c r="K184" s="96" t="str">
        <f>IFERROR(VLOOKUP($E184,Preenchimento!$A$2:$BV$1048576,6,0),"")</f>
        <v/>
      </c>
      <c r="L184" s="96" t="str">
        <f>IF(IFERROR(VLOOKUP($E184,Preenchimento!$A$2:$BV$1048576,53,0),"")=0,"",IFERROR(VLOOKUP($E184,Preenchimento!$A$2:$BV$1048576,53,0),""))</f>
        <v/>
      </c>
      <c r="M184" s="96" t="str">
        <f>IFERROR(VLOOKUP($E184,Preenchimento!$A$2:$BV$1048576,74,0),"")</f>
        <v/>
      </c>
    </row>
    <row r="185" spans="1:13" x14ac:dyDescent="0.2">
      <c r="A185" s="96">
        <f>Sitio!$E$3</f>
        <v>0</v>
      </c>
      <c r="B185" s="96" t="str">
        <f>IFERROR(VLOOKUP($E185,Preenchimento!$A$2:$BV$1048576,2,0),"")</f>
        <v/>
      </c>
      <c r="C185" s="96" t="str">
        <f>IFERROR(VLOOKUP($E185,Preenchimento!$A$2:$BV$1048576,4,0),"")</f>
        <v/>
      </c>
      <c r="D185" s="96" t="str">
        <f>IFERROR(VLOOKUP($E185,Preenchimento!$A$2:$BV$1048576,3,0),"")</f>
        <v/>
      </c>
      <c r="E185" s="96">
        <v>183</v>
      </c>
      <c r="F185" s="96" t="str">
        <f>IFERROR(VLOOKUP($E185,Preenchimento!$A$2:$BV$1048576,7,0),"")</f>
        <v/>
      </c>
      <c r="G185" s="96" t="str">
        <f>IF(IFERROR(VLOOKUP($E185,Preenchimento!$A$2:$BV$1048576,8,0),"")=0,"",IFERROR(VLOOKUP($E185,Preenchimento!$A$2:$BV$1048576,8,0),""))</f>
        <v/>
      </c>
      <c r="H185" s="96" t="str">
        <f>IFERROR(VLOOKUP($E185,Preenchimento!$A$2:$BV$1048576,9,0),"")</f>
        <v/>
      </c>
      <c r="I185" s="96" t="str">
        <f>IFERROR(VLOOKUP($E185,Preenchimento!$A$2:$BV$1048576,10,0),"")</f>
        <v/>
      </c>
      <c r="J185" s="96" t="str">
        <f>IFERROR(VLOOKUP($E185,Preenchimento!$A$2:$BV$1048576,12,0),"")</f>
        <v/>
      </c>
      <c r="K185" s="96" t="str">
        <f>IFERROR(VLOOKUP($E185,Preenchimento!$A$2:$BV$1048576,6,0),"")</f>
        <v/>
      </c>
      <c r="L185" s="96" t="str">
        <f>IF(IFERROR(VLOOKUP($E185,Preenchimento!$A$2:$BV$1048576,53,0),"")=0,"",IFERROR(VLOOKUP($E185,Preenchimento!$A$2:$BV$1048576,53,0),""))</f>
        <v/>
      </c>
      <c r="M185" s="96" t="str">
        <f>IFERROR(VLOOKUP($E185,Preenchimento!$A$2:$BV$1048576,74,0),"")</f>
        <v/>
      </c>
    </row>
    <row r="186" spans="1:13" x14ac:dyDescent="0.2">
      <c r="A186" s="96">
        <f>Sitio!$E$3</f>
        <v>0</v>
      </c>
      <c r="B186" s="96" t="str">
        <f>IFERROR(VLOOKUP($E186,Preenchimento!$A$2:$BV$1048576,2,0),"")</f>
        <v/>
      </c>
      <c r="C186" s="96" t="str">
        <f>IFERROR(VLOOKUP($E186,Preenchimento!$A$2:$BV$1048576,4,0),"")</f>
        <v/>
      </c>
      <c r="D186" s="96" t="str">
        <f>IFERROR(VLOOKUP($E186,Preenchimento!$A$2:$BV$1048576,3,0),"")</f>
        <v/>
      </c>
      <c r="E186" s="96">
        <v>184</v>
      </c>
      <c r="F186" s="96" t="str">
        <f>IFERROR(VLOOKUP($E186,Preenchimento!$A$2:$BV$1048576,7,0),"")</f>
        <v/>
      </c>
      <c r="G186" s="96" t="str">
        <f>IF(IFERROR(VLOOKUP($E186,Preenchimento!$A$2:$BV$1048576,8,0),"")=0,"",IFERROR(VLOOKUP($E186,Preenchimento!$A$2:$BV$1048576,8,0),""))</f>
        <v/>
      </c>
      <c r="H186" s="96" t="str">
        <f>IFERROR(VLOOKUP($E186,Preenchimento!$A$2:$BV$1048576,9,0),"")</f>
        <v/>
      </c>
      <c r="I186" s="96" t="str">
        <f>IFERROR(VLOOKUP($E186,Preenchimento!$A$2:$BV$1048576,10,0),"")</f>
        <v/>
      </c>
      <c r="J186" s="96" t="str">
        <f>IFERROR(VLOOKUP($E186,Preenchimento!$A$2:$BV$1048576,12,0),"")</f>
        <v/>
      </c>
      <c r="K186" s="96" t="str">
        <f>IFERROR(VLOOKUP($E186,Preenchimento!$A$2:$BV$1048576,6,0),"")</f>
        <v/>
      </c>
      <c r="L186" s="96" t="str">
        <f>IF(IFERROR(VLOOKUP($E186,Preenchimento!$A$2:$BV$1048576,53,0),"")=0,"",IFERROR(VLOOKUP($E186,Preenchimento!$A$2:$BV$1048576,53,0),""))</f>
        <v/>
      </c>
      <c r="M186" s="96" t="str">
        <f>IFERROR(VLOOKUP($E186,Preenchimento!$A$2:$BV$1048576,74,0),"")</f>
        <v/>
      </c>
    </row>
    <row r="187" spans="1:13" x14ac:dyDescent="0.2">
      <c r="A187" s="96">
        <f>Sitio!$E$3</f>
        <v>0</v>
      </c>
      <c r="B187" s="96" t="str">
        <f>IFERROR(VLOOKUP($E187,Preenchimento!$A$2:$BV$1048576,2,0),"")</f>
        <v/>
      </c>
      <c r="C187" s="96" t="str">
        <f>IFERROR(VLOOKUP($E187,Preenchimento!$A$2:$BV$1048576,4,0),"")</f>
        <v/>
      </c>
      <c r="D187" s="96" t="str">
        <f>IFERROR(VLOOKUP($E187,Preenchimento!$A$2:$BV$1048576,3,0),"")</f>
        <v/>
      </c>
      <c r="E187" s="96">
        <v>185</v>
      </c>
      <c r="F187" s="96" t="str">
        <f>IFERROR(VLOOKUP($E187,Preenchimento!$A$2:$BV$1048576,7,0),"")</f>
        <v/>
      </c>
      <c r="G187" s="96" t="str">
        <f>IF(IFERROR(VLOOKUP($E187,Preenchimento!$A$2:$BV$1048576,8,0),"")=0,"",IFERROR(VLOOKUP($E187,Preenchimento!$A$2:$BV$1048576,8,0),""))</f>
        <v/>
      </c>
      <c r="H187" s="96" t="str">
        <f>IFERROR(VLOOKUP($E187,Preenchimento!$A$2:$BV$1048576,9,0),"")</f>
        <v/>
      </c>
      <c r="I187" s="96" t="str">
        <f>IFERROR(VLOOKUP($E187,Preenchimento!$A$2:$BV$1048576,10,0),"")</f>
        <v/>
      </c>
      <c r="J187" s="96" t="str">
        <f>IFERROR(VLOOKUP($E187,Preenchimento!$A$2:$BV$1048576,12,0),"")</f>
        <v/>
      </c>
      <c r="K187" s="96" t="str">
        <f>IFERROR(VLOOKUP($E187,Preenchimento!$A$2:$BV$1048576,6,0),"")</f>
        <v/>
      </c>
      <c r="L187" s="96" t="str">
        <f>IF(IFERROR(VLOOKUP($E187,Preenchimento!$A$2:$BV$1048576,53,0),"")=0,"",IFERROR(VLOOKUP($E187,Preenchimento!$A$2:$BV$1048576,53,0),""))</f>
        <v/>
      </c>
      <c r="M187" s="96" t="str">
        <f>IFERROR(VLOOKUP($E187,Preenchimento!$A$2:$BV$1048576,74,0),"")</f>
        <v/>
      </c>
    </row>
    <row r="188" spans="1:13" x14ac:dyDescent="0.2">
      <c r="A188" s="96">
        <f>Sitio!$E$3</f>
        <v>0</v>
      </c>
      <c r="B188" s="96" t="str">
        <f>IFERROR(VLOOKUP($E188,Preenchimento!$A$2:$BV$1048576,2,0),"")</f>
        <v/>
      </c>
      <c r="C188" s="96" t="str">
        <f>IFERROR(VLOOKUP($E188,Preenchimento!$A$2:$BV$1048576,4,0),"")</f>
        <v/>
      </c>
      <c r="D188" s="96" t="str">
        <f>IFERROR(VLOOKUP($E188,Preenchimento!$A$2:$BV$1048576,3,0),"")</f>
        <v/>
      </c>
      <c r="E188" s="96">
        <v>186</v>
      </c>
      <c r="F188" s="96" t="str">
        <f>IFERROR(VLOOKUP($E188,Preenchimento!$A$2:$BV$1048576,7,0),"")</f>
        <v/>
      </c>
      <c r="G188" s="96" t="str">
        <f>IF(IFERROR(VLOOKUP($E188,Preenchimento!$A$2:$BV$1048576,8,0),"")=0,"",IFERROR(VLOOKUP($E188,Preenchimento!$A$2:$BV$1048576,8,0),""))</f>
        <v/>
      </c>
      <c r="H188" s="96" t="str">
        <f>IFERROR(VLOOKUP($E188,Preenchimento!$A$2:$BV$1048576,9,0),"")</f>
        <v/>
      </c>
      <c r="I188" s="96" t="str">
        <f>IFERROR(VLOOKUP($E188,Preenchimento!$A$2:$BV$1048576,10,0),"")</f>
        <v/>
      </c>
      <c r="J188" s="96" t="str">
        <f>IFERROR(VLOOKUP($E188,Preenchimento!$A$2:$BV$1048576,12,0),"")</f>
        <v/>
      </c>
      <c r="K188" s="96" t="str">
        <f>IFERROR(VLOOKUP($E188,Preenchimento!$A$2:$BV$1048576,6,0),"")</f>
        <v/>
      </c>
      <c r="L188" s="96" t="str">
        <f>IF(IFERROR(VLOOKUP($E188,Preenchimento!$A$2:$BV$1048576,53,0),"")=0,"",IFERROR(VLOOKUP($E188,Preenchimento!$A$2:$BV$1048576,53,0),""))</f>
        <v/>
      </c>
      <c r="M188" s="96" t="str">
        <f>IFERROR(VLOOKUP($E188,Preenchimento!$A$2:$BV$1048576,74,0),"")</f>
        <v/>
      </c>
    </row>
    <row r="189" spans="1:13" x14ac:dyDescent="0.2">
      <c r="A189" s="96">
        <f>Sitio!$E$3</f>
        <v>0</v>
      </c>
      <c r="B189" s="96" t="str">
        <f>IFERROR(VLOOKUP($E189,Preenchimento!$A$2:$BV$1048576,2,0),"")</f>
        <v/>
      </c>
      <c r="C189" s="96" t="str">
        <f>IFERROR(VLOOKUP($E189,Preenchimento!$A$2:$BV$1048576,4,0),"")</f>
        <v/>
      </c>
      <c r="D189" s="96" t="str">
        <f>IFERROR(VLOOKUP($E189,Preenchimento!$A$2:$BV$1048576,3,0),"")</f>
        <v/>
      </c>
      <c r="E189" s="96">
        <v>187</v>
      </c>
      <c r="F189" s="96" t="str">
        <f>IFERROR(VLOOKUP($E189,Preenchimento!$A$2:$BV$1048576,7,0),"")</f>
        <v/>
      </c>
      <c r="G189" s="96" t="str">
        <f>IF(IFERROR(VLOOKUP($E189,Preenchimento!$A$2:$BV$1048576,8,0),"")=0,"",IFERROR(VLOOKUP($E189,Preenchimento!$A$2:$BV$1048576,8,0),""))</f>
        <v/>
      </c>
      <c r="H189" s="96" t="str">
        <f>IFERROR(VLOOKUP($E189,Preenchimento!$A$2:$BV$1048576,9,0),"")</f>
        <v/>
      </c>
      <c r="I189" s="96" t="str">
        <f>IFERROR(VLOOKUP($E189,Preenchimento!$A$2:$BV$1048576,10,0),"")</f>
        <v/>
      </c>
      <c r="J189" s="96" t="str">
        <f>IFERROR(VLOOKUP($E189,Preenchimento!$A$2:$BV$1048576,12,0),"")</f>
        <v/>
      </c>
      <c r="K189" s="96" t="str">
        <f>IFERROR(VLOOKUP($E189,Preenchimento!$A$2:$BV$1048576,6,0),"")</f>
        <v/>
      </c>
      <c r="L189" s="96" t="str">
        <f>IF(IFERROR(VLOOKUP($E189,Preenchimento!$A$2:$BV$1048576,53,0),"")=0,"",IFERROR(VLOOKUP($E189,Preenchimento!$A$2:$BV$1048576,53,0),""))</f>
        <v/>
      </c>
      <c r="M189" s="96" t="str">
        <f>IFERROR(VLOOKUP($E189,Preenchimento!$A$2:$BV$1048576,74,0),"")</f>
        <v/>
      </c>
    </row>
    <row r="190" spans="1:13" x14ac:dyDescent="0.2">
      <c r="A190" s="96">
        <f>Sitio!$E$3</f>
        <v>0</v>
      </c>
      <c r="B190" s="96" t="str">
        <f>IFERROR(VLOOKUP($E190,Preenchimento!$A$2:$BV$1048576,2,0),"")</f>
        <v/>
      </c>
      <c r="C190" s="96" t="str">
        <f>IFERROR(VLOOKUP($E190,Preenchimento!$A$2:$BV$1048576,4,0),"")</f>
        <v/>
      </c>
      <c r="D190" s="96" t="str">
        <f>IFERROR(VLOOKUP($E190,Preenchimento!$A$2:$BV$1048576,3,0),"")</f>
        <v/>
      </c>
      <c r="E190" s="96">
        <v>188</v>
      </c>
      <c r="F190" s="96" t="str">
        <f>IFERROR(VLOOKUP($E190,Preenchimento!$A$2:$BV$1048576,7,0),"")</f>
        <v/>
      </c>
      <c r="G190" s="96" t="str">
        <f>IF(IFERROR(VLOOKUP($E190,Preenchimento!$A$2:$BV$1048576,8,0),"")=0,"",IFERROR(VLOOKUP($E190,Preenchimento!$A$2:$BV$1048576,8,0),""))</f>
        <v/>
      </c>
      <c r="H190" s="96" t="str">
        <f>IFERROR(VLOOKUP($E190,Preenchimento!$A$2:$BV$1048576,9,0),"")</f>
        <v/>
      </c>
      <c r="I190" s="96" t="str">
        <f>IFERROR(VLOOKUP($E190,Preenchimento!$A$2:$BV$1048576,10,0),"")</f>
        <v/>
      </c>
      <c r="J190" s="96" t="str">
        <f>IFERROR(VLOOKUP($E190,Preenchimento!$A$2:$BV$1048576,12,0),"")</f>
        <v/>
      </c>
      <c r="K190" s="96" t="str">
        <f>IFERROR(VLOOKUP($E190,Preenchimento!$A$2:$BV$1048576,6,0),"")</f>
        <v/>
      </c>
      <c r="L190" s="96" t="str">
        <f>IF(IFERROR(VLOOKUP($E190,Preenchimento!$A$2:$BV$1048576,53,0),"")=0,"",IFERROR(VLOOKUP($E190,Preenchimento!$A$2:$BV$1048576,53,0),""))</f>
        <v/>
      </c>
      <c r="M190" s="96" t="str">
        <f>IFERROR(VLOOKUP($E190,Preenchimento!$A$2:$BV$1048576,74,0),"")</f>
        <v/>
      </c>
    </row>
    <row r="191" spans="1:13" x14ac:dyDescent="0.2">
      <c r="A191" s="96">
        <f>Sitio!$E$3</f>
        <v>0</v>
      </c>
      <c r="B191" s="96" t="str">
        <f>IFERROR(VLOOKUP($E191,Preenchimento!$A$2:$BV$1048576,2,0),"")</f>
        <v/>
      </c>
      <c r="C191" s="96" t="str">
        <f>IFERROR(VLOOKUP($E191,Preenchimento!$A$2:$BV$1048576,4,0),"")</f>
        <v/>
      </c>
      <c r="D191" s="96" t="str">
        <f>IFERROR(VLOOKUP($E191,Preenchimento!$A$2:$BV$1048576,3,0),"")</f>
        <v/>
      </c>
      <c r="E191" s="96">
        <v>189</v>
      </c>
      <c r="F191" s="96" t="str">
        <f>IFERROR(VLOOKUP($E191,Preenchimento!$A$2:$BV$1048576,7,0),"")</f>
        <v/>
      </c>
      <c r="G191" s="96" t="str">
        <f>IF(IFERROR(VLOOKUP($E191,Preenchimento!$A$2:$BV$1048576,8,0),"")=0,"",IFERROR(VLOOKUP($E191,Preenchimento!$A$2:$BV$1048576,8,0),""))</f>
        <v/>
      </c>
      <c r="H191" s="96" t="str">
        <f>IFERROR(VLOOKUP($E191,Preenchimento!$A$2:$BV$1048576,9,0),"")</f>
        <v/>
      </c>
      <c r="I191" s="96" t="str">
        <f>IFERROR(VLOOKUP($E191,Preenchimento!$A$2:$BV$1048576,10,0),"")</f>
        <v/>
      </c>
      <c r="J191" s="96" t="str">
        <f>IFERROR(VLOOKUP($E191,Preenchimento!$A$2:$BV$1048576,12,0),"")</f>
        <v/>
      </c>
      <c r="K191" s="96" t="str">
        <f>IFERROR(VLOOKUP($E191,Preenchimento!$A$2:$BV$1048576,6,0),"")</f>
        <v/>
      </c>
      <c r="L191" s="96" t="str">
        <f>IF(IFERROR(VLOOKUP($E191,Preenchimento!$A$2:$BV$1048576,53,0),"")=0,"",IFERROR(VLOOKUP($E191,Preenchimento!$A$2:$BV$1048576,53,0),""))</f>
        <v/>
      </c>
      <c r="M191" s="96" t="str">
        <f>IFERROR(VLOOKUP($E191,Preenchimento!$A$2:$BV$1048576,74,0),"")</f>
        <v/>
      </c>
    </row>
    <row r="192" spans="1:13" x14ac:dyDescent="0.2">
      <c r="A192" s="96">
        <f>Sitio!$E$3</f>
        <v>0</v>
      </c>
      <c r="B192" s="96" t="str">
        <f>IFERROR(VLOOKUP($E192,Preenchimento!$A$2:$BV$1048576,2,0),"")</f>
        <v/>
      </c>
      <c r="C192" s="96" t="str">
        <f>IFERROR(VLOOKUP($E192,Preenchimento!$A$2:$BV$1048576,4,0),"")</f>
        <v/>
      </c>
      <c r="D192" s="96" t="str">
        <f>IFERROR(VLOOKUP($E192,Preenchimento!$A$2:$BV$1048576,3,0),"")</f>
        <v/>
      </c>
      <c r="E192" s="96">
        <v>190</v>
      </c>
      <c r="F192" s="96" t="str">
        <f>IFERROR(VLOOKUP($E192,Preenchimento!$A$2:$BV$1048576,7,0),"")</f>
        <v/>
      </c>
      <c r="G192" s="96" t="str">
        <f>IF(IFERROR(VLOOKUP($E192,Preenchimento!$A$2:$BV$1048576,8,0),"")=0,"",IFERROR(VLOOKUP($E192,Preenchimento!$A$2:$BV$1048576,8,0),""))</f>
        <v/>
      </c>
      <c r="H192" s="96" t="str">
        <f>IFERROR(VLOOKUP($E192,Preenchimento!$A$2:$BV$1048576,9,0),"")</f>
        <v/>
      </c>
      <c r="I192" s="96" t="str">
        <f>IFERROR(VLOOKUP($E192,Preenchimento!$A$2:$BV$1048576,10,0),"")</f>
        <v/>
      </c>
      <c r="J192" s="96" t="str">
        <f>IFERROR(VLOOKUP($E192,Preenchimento!$A$2:$BV$1048576,12,0),"")</f>
        <v/>
      </c>
      <c r="K192" s="96" t="str">
        <f>IFERROR(VLOOKUP($E192,Preenchimento!$A$2:$BV$1048576,6,0),"")</f>
        <v/>
      </c>
      <c r="L192" s="96" t="str">
        <f>IF(IFERROR(VLOOKUP($E192,Preenchimento!$A$2:$BV$1048576,53,0),"")=0,"",IFERROR(VLOOKUP($E192,Preenchimento!$A$2:$BV$1048576,53,0),""))</f>
        <v/>
      </c>
      <c r="M192" s="96" t="str">
        <f>IFERROR(VLOOKUP($E192,Preenchimento!$A$2:$BV$1048576,74,0),"")</f>
        <v/>
      </c>
    </row>
    <row r="193" spans="1:13" x14ac:dyDescent="0.2">
      <c r="A193" s="96">
        <f>Sitio!$E$3</f>
        <v>0</v>
      </c>
      <c r="B193" s="96" t="str">
        <f>IFERROR(VLOOKUP($E193,Preenchimento!$A$2:$BV$1048576,2,0),"")</f>
        <v/>
      </c>
      <c r="C193" s="96" t="str">
        <f>IFERROR(VLOOKUP($E193,Preenchimento!$A$2:$BV$1048576,4,0),"")</f>
        <v/>
      </c>
      <c r="D193" s="96" t="str">
        <f>IFERROR(VLOOKUP($E193,Preenchimento!$A$2:$BV$1048576,3,0),"")</f>
        <v/>
      </c>
      <c r="E193" s="96">
        <v>191</v>
      </c>
      <c r="F193" s="96" t="str">
        <f>IFERROR(VLOOKUP($E193,Preenchimento!$A$2:$BV$1048576,7,0),"")</f>
        <v/>
      </c>
      <c r="G193" s="96" t="str">
        <f>IF(IFERROR(VLOOKUP($E193,Preenchimento!$A$2:$BV$1048576,8,0),"")=0,"",IFERROR(VLOOKUP($E193,Preenchimento!$A$2:$BV$1048576,8,0),""))</f>
        <v/>
      </c>
      <c r="H193" s="96" t="str">
        <f>IFERROR(VLOOKUP($E193,Preenchimento!$A$2:$BV$1048576,9,0),"")</f>
        <v/>
      </c>
      <c r="I193" s="96" t="str">
        <f>IFERROR(VLOOKUP($E193,Preenchimento!$A$2:$BV$1048576,10,0),"")</f>
        <v/>
      </c>
      <c r="J193" s="96" t="str">
        <f>IFERROR(VLOOKUP($E193,Preenchimento!$A$2:$BV$1048576,12,0),"")</f>
        <v/>
      </c>
      <c r="K193" s="96" t="str">
        <f>IFERROR(VLOOKUP($E193,Preenchimento!$A$2:$BV$1048576,6,0),"")</f>
        <v/>
      </c>
      <c r="L193" s="96" t="str">
        <f>IF(IFERROR(VLOOKUP($E193,Preenchimento!$A$2:$BV$1048576,53,0),"")=0,"",IFERROR(VLOOKUP($E193,Preenchimento!$A$2:$BV$1048576,53,0),""))</f>
        <v/>
      </c>
      <c r="M193" s="96" t="str">
        <f>IFERROR(VLOOKUP($E193,Preenchimento!$A$2:$BV$1048576,74,0),"")</f>
        <v/>
      </c>
    </row>
    <row r="194" spans="1:13" x14ac:dyDescent="0.2">
      <c r="A194" s="96">
        <f>Sitio!$E$3</f>
        <v>0</v>
      </c>
      <c r="B194" s="96" t="str">
        <f>IFERROR(VLOOKUP($E194,Preenchimento!$A$2:$BV$1048576,2,0),"")</f>
        <v/>
      </c>
      <c r="C194" s="96" t="str">
        <f>IFERROR(VLOOKUP($E194,Preenchimento!$A$2:$BV$1048576,4,0),"")</f>
        <v/>
      </c>
      <c r="D194" s="96" t="str">
        <f>IFERROR(VLOOKUP($E194,Preenchimento!$A$2:$BV$1048576,3,0),"")</f>
        <v/>
      </c>
      <c r="E194" s="96">
        <v>192</v>
      </c>
      <c r="F194" s="96" t="str">
        <f>IFERROR(VLOOKUP($E194,Preenchimento!$A$2:$BV$1048576,7,0),"")</f>
        <v/>
      </c>
      <c r="G194" s="96" t="str">
        <f>IF(IFERROR(VLOOKUP($E194,Preenchimento!$A$2:$BV$1048576,8,0),"")=0,"",IFERROR(VLOOKUP($E194,Preenchimento!$A$2:$BV$1048576,8,0),""))</f>
        <v/>
      </c>
      <c r="H194" s="96" t="str">
        <f>IFERROR(VLOOKUP($E194,Preenchimento!$A$2:$BV$1048576,9,0),"")</f>
        <v/>
      </c>
      <c r="I194" s="96" t="str">
        <f>IFERROR(VLOOKUP($E194,Preenchimento!$A$2:$BV$1048576,10,0),"")</f>
        <v/>
      </c>
      <c r="J194" s="96" t="str">
        <f>IFERROR(VLOOKUP($E194,Preenchimento!$A$2:$BV$1048576,12,0),"")</f>
        <v/>
      </c>
      <c r="K194" s="96" t="str">
        <f>IFERROR(VLOOKUP($E194,Preenchimento!$A$2:$BV$1048576,6,0),"")</f>
        <v/>
      </c>
      <c r="L194" s="96" t="str">
        <f>IF(IFERROR(VLOOKUP($E194,Preenchimento!$A$2:$BV$1048576,53,0),"")=0,"",IFERROR(VLOOKUP($E194,Preenchimento!$A$2:$BV$1048576,53,0),""))</f>
        <v/>
      </c>
      <c r="M194" s="96" t="str">
        <f>IFERROR(VLOOKUP($E194,Preenchimento!$A$2:$BV$1048576,74,0),"")</f>
        <v/>
      </c>
    </row>
    <row r="195" spans="1:13" x14ac:dyDescent="0.2">
      <c r="A195" s="96">
        <f>Sitio!$E$3</f>
        <v>0</v>
      </c>
      <c r="B195" s="96" t="str">
        <f>IFERROR(VLOOKUP($E195,Preenchimento!$A$2:$BV$1048576,2,0),"")</f>
        <v/>
      </c>
      <c r="C195" s="96" t="str">
        <f>IFERROR(VLOOKUP($E195,Preenchimento!$A$2:$BV$1048576,4,0),"")</f>
        <v/>
      </c>
      <c r="D195" s="96" t="str">
        <f>IFERROR(VLOOKUP($E195,Preenchimento!$A$2:$BV$1048576,3,0),"")</f>
        <v/>
      </c>
      <c r="E195" s="96">
        <v>193</v>
      </c>
      <c r="F195" s="96" t="str">
        <f>IFERROR(VLOOKUP($E195,Preenchimento!$A$2:$BV$1048576,7,0),"")</f>
        <v/>
      </c>
      <c r="G195" s="96" t="str">
        <f>IF(IFERROR(VLOOKUP($E195,Preenchimento!$A$2:$BV$1048576,8,0),"")=0,"",IFERROR(VLOOKUP($E195,Preenchimento!$A$2:$BV$1048576,8,0),""))</f>
        <v/>
      </c>
      <c r="H195" s="96" t="str">
        <f>IFERROR(VLOOKUP($E195,Preenchimento!$A$2:$BV$1048576,9,0),"")</f>
        <v/>
      </c>
      <c r="I195" s="96" t="str">
        <f>IFERROR(VLOOKUP($E195,Preenchimento!$A$2:$BV$1048576,10,0),"")</f>
        <v/>
      </c>
      <c r="J195" s="96" t="str">
        <f>IFERROR(VLOOKUP($E195,Preenchimento!$A$2:$BV$1048576,12,0),"")</f>
        <v/>
      </c>
      <c r="K195" s="96" t="str">
        <f>IFERROR(VLOOKUP($E195,Preenchimento!$A$2:$BV$1048576,6,0),"")</f>
        <v/>
      </c>
      <c r="L195" s="96" t="str">
        <f>IF(IFERROR(VLOOKUP($E195,Preenchimento!$A$2:$BV$1048576,53,0),"")=0,"",IFERROR(VLOOKUP($E195,Preenchimento!$A$2:$BV$1048576,53,0),""))</f>
        <v/>
      </c>
      <c r="M195" s="96" t="str">
        <f>IFERROR(VLOOKUP($E195,Preenchimento!$A$2:$BV$1048576,74,0),"")</f>
        <v/>
      </c>
    </row>
    <row r="196" spans="1:13" x14ac:dyDescent="0.2">
      <c r="A196" s="96">
        <f>Sitio!$E$3</f>
        <v>0</v>
      </c>
      <c r="B196" s="96" t="str">
        <f>IFERROR(VLOOKUP($E196,Preenchimento!$A$2:$BV$1048576,2,0),"")</f>
        <v/>
      </c>
      <c r="C196" s="96" t="str">
        <f>IFERROR(VLOOKUP($E196,Preenchimento!$A$2:$BV$1048576,4,0),"")</f>
        <v/>
      </c>
      <c r="D196" s="96" t="str">
        <f>IFERROR(VLOOKUP($E196,Preenchimento!$A$2:$BV$1048576,3,0),"")</f>
        <v/>
      </c>
      <c r="E196" s="96">
        <v>194</v>
      </c>
      <c r="F196" s="96" t="str">
        <f>IFERROR(VLOOKUP($E196,Preenchimento!$A$2:$BV$1048576,7,0),"")</f>
        <v/>
      </c>
      <c r="G196" s="96" t="str">
        <f>IF(IFERROR(VLOOKUP($E196,Preenchimento!$A$2:$BV$1048576,8,0),"")=0,"",IFERROR(VLOOKUP($E196,Preenchimento!$A$2:$BV$1048576,8,0),""))</f>
        <v/>
      </c>
      <c r="H196" s="96" t="str">
        <f>IFERROR(VLOOKUP($E196,Preenchimento!$A$2:$BV$1048576,9,0),"")</f>
        <v/>
      </c>
      <c r="I196" s="96" t="str">
        <f>IFERROR(VLOOKUP($E196,Preenchimento!$A$2:$BV$1048576,10,0),"")</f>
        <v/>
      </c>
      <c r="J196" s="96" t="str">
        <f>IFERROR(VLOOKUP($E196,Preenchimento!$A$2:$BV$1048576,12,0),"")</f>
        <v/>
      </c>
      <c r="K196" s="96" t="str">
        <f>IFERROR(VLOOKUP($E196,Preenchimento!$A$2:$BV$1048576,6,0),"")</f>
        <v/>
      </c>
      <c r="L196" s="96" t="str">
        <f>IF(IFERROR(VLOOKUP($E196,Preenchimento!$A$2:$BV$1048576,53,0),"")=0,"",IFERROR(VLOOKUP($E196,Preenchimento!$A$2:$BV$1048576,53,0),""))</f>
        <v/>
      </c>
      <c r="M196" s="96" t="str">
        <f>IFERROR(VLOOKUP($E196,Preenchimento!$A$2:$BV$1048576,74,0),"")</f>
        <v/>
      </c>
    </row>
    <row r="197" spans="1:13" x14ac:dyDescent="0.2">
      <c r="A197" s="96">
        <f>Sitio!$E$3</f>
        <v>0</v>
      </c>
      <c r="B197" s="96" t="str">
        <f>IFERROR(VLOOKUP($E197,Preenchimento!$A$2:$BV$1048576,2,0),"")</f>
        <v/>
      </c>
      <c r="C197" s="96" t="str">
        <f>IFERROR(VLOOKUP($E197,Preenchimento!$A$2:$BV$1048576,4,0),"")</f>
        <v/>
      </c>
      <c r="D197" s="96" t="str">
        <f>IFERROR(VLOOKUP($E197,Preenchimento!$A$2:$BV$1048576,3,0),"")</f>
        <v/>
      </c>
      <c r="E197" s="96">
        <v>195</v>
      </c>
      <c r="F197" s="96" t="str">
        <f>IFERROR(VLOOKUP($E197,Preenchimento!$A$2:$BV$1048576,7,0),"")</f>
        <v/>
      </c>
      <c r="G197" s="96" t="str">
        <f>IF(IFERROR(VLOOKUP($E197,Preenchimento!$A$2:$BV$1048576,8,0),"")=0,"",IFERROR(VLOOKUP($E197,Preenchimento!$A$2:$BV$1048576,8,0),""))</f>
        <v/>
      </c>
      <c r="H197" s="96" t="str">
        <f>IFERROR(VLOOKUP($E197,Preenchimento!$A$2:$BV$1048576,9,0),"")</f>
        <v/>
      </c>
      <c r="I197" s="96" t="str">
        <f>IFERROR(VLOOKUP($E197,Preenchimento!$A$2:$BV$1048576,10,0),"")</f>
        <v/>
      </c>
      <c r="J197" s="96" t="str">
        <f>IFERROR(VLOOKUP($E197,Preenchimento!$A$2:$BV$1048576,12,0),"")</f>
        <v/>
      </c>
      <c r="K197" s="96" t="str">
        <f>IFERROR(VLOOKUP($E197,Preenchimento!$A$2:$BV$1048576,6,0),"")</f>
        <v/>
      </c>
      <c r="L197" s="96" t="str">
        <f>IF(IFERROR(VLOOKUP($E197,Preenchimento!$A$2:$BV$1048576,53,0),"")=0,"",IFERROR(VLOOKUP($E197,Preenchimento!$A$2:$BV$1048576,53,0),""))</f>
        <v/>
      </c>
      <c r="M197" s="96" t="str">
        <f>IFERROR(VLOOKUP($E197,Preenchimento!$A$2:$BV$1048576,74,0),"")</f>
        <v/>
      </c>
    </row>
    <row r="198" spans="1:13" x14ac:dyDescent="0.2">
      <c r="A198" s="96">
        <f>Sitio!$E$3</f>
        <v>0</v>
      </c>
      <c r="B198" s="96" t="str">
        <f>IFERROR(VLOOKUP($E198,Preenchimento!$A$2:$BV$1048576,2,0),"")</f>
        <v/>
      </c>
      <c r="C198" s="96" t="str">
        <f>IFERROR(VLOOKUP($E198,Preenchimento!$A$2:$BV$1048576,4,0),"")</f>
        <v/>
      </c>
      <c r="D198" s="96" t="str">
        <f>IFERROR(VLOOKUP($E198,Preenchimento!$A$2:$BV$1048576,3,0),"")</f>
        <v/>
      </c>
      <c r="E198" s="96">
        <v>196</v>
      </c>
      <c r="F198" s="96" t="str">
        <f>IFERROR(VLOOKUP($E198,Preenchimento!$A$2:$BV$1048576,7,0),"")</f>
        <v/>
      </c>
      <c r="G198" s="96" t="str">
        <f>IF(IFERROR(VLOOKUP($E198,Preenchimento!$A$2:$BV$1048576,8,0),"")=0,"",IFERROR(VLOOKUP($E198,Preenchimento!$A$2:$BV$1048576,8,0),""))</f>
        <v/>
      </c>
      <c r="H198" s="96" t="str">
        <f>IFERROR(VLOOKUP($E198,Preenchimento!$A$2:$BV$1048576,9,0),"")</f>
        <v/>
      </c>
      <c r="I198" s="96" t="str">
        <f>IFERROR(VLOOKUP($E198,Preenchimento!$A$2:$BV$1048576,10,0),"")</f>
        <v/>
      </c>
      <c r="J198" s="96" t="str">
        <f>IFERROR(VLOOKUP($E198,Preenchimento!$A$2:$BV$1048576,12,0),"")</f>
        <v/>
      </c>
      <c r="K198" s="96" t="str">
        <f>IFERROR(VLOOKUP($E198,Preenchimento!$A$2:$BV$1048576,6,0),"")</f>
        <v/>
      </c>
      <c r="L198" s="96" t="str">
        <f>IF(IFERROR(VLOOKUP($E198,Preenchimento!$A$2:$BV$1048576,53,0),"")=0,"",IFERROR(VLOOKUP($E198,Preenchimento!$A$2:$BV$1048576,53,0),""))</f>
        <v/>
      </c>
      <c r="M198" s="96" t="str">
        <f>IFERROR(VLOOKUP($E198,Preenchimento!$A$2:$BV$1048576,74,0),"")</f>
        <v/>
      </c>
    </row>
    <row r="199" spans="1:13" x14ac:dyDescent="0.2">
      <c r="A199" s="96">
        <f>Sitio!$E$3</f>
        <v>0</v>
      </c>
      <c r="B199" s="96" t="str">
        <f>IFERROR(VLOOKUP($E199,Preenchimento!$A$2:$BV$1048576,2,0),"")</f>
        <v/>
      </c>
      <c r="C199" s="96" t="str">
        <f>IFERROR(VLOOKUP($E199,Preenchimento!$A$2:$BV$1048576,4,0),"")</f>
        <v/>
      </c>
      <c r="D199" s="96" t="str">
        <f>IFERROR(VLOOKUP($E199,Preenchimento!$A$2:$BV$1048576,3,0),"")</f>
        <v/>
      </c>
      <c r="E199" s="96">
        <v>197</v>
      </c>
      <c r="F199" s="96" t="str">
        <f>IFERROR(VLOOKUP($E199,Preenchimento!$A$2:$BV$1048576,7,0),"")</f>
        <v/>
      </c>
      <c r="G199" s="96" t="str">
        <f>IF(IFERROR(VLOOKUP($E199,Preenchimento!$A$2:$BV$1048576,8,0),"")=0,"",IFERROR(VLOOKUP($E199,Preenchimento!$A$2:$BV$1048576,8,0),""))</f>
        <v/>
      </c>
      <c r="H199" s="96" t="str">
        <f>IFERROR(VLOOKUP($E199,Preenchimento!$A$2:$BV$1048576,9,0),"")</f>
        <v/>
      </c>
      <c r="I199" s="96" t="str">
        <f>IFERROR(VLOOKUP($E199,Preenchimento!$A$2:$BV$1048576,10,0),"")</f>
        <v/>
      </c>
      <c r="J199" s="96" t="str">
        <f>IFERROR(VLOOKUP($E199,Preenchimento!$A$2:$BV$1048576,12,0),"")</f>
        <v/>
      </c>
      <c r="K199" s="96" t="str">
        <f>IFERROR(VLOOKUP($E199,Preenchimento!$A$2:$BV$1048576,6,0),"")</f>
        <v/>
      </c>
      <c r="L199" s="96" t="str">
        <f>IF(IFERROR(VLOOKUP($E199,Preenchimento!$A$2:$BV$1048576,53,0),"")=0,"",IFERROR(VLOOKUP($E199,Preenchimento!$A$2:$BV$1048576,53,0),""))</f>
        <v/>
      </c>
      <c r="M199" s="96" t="str">
        <f>IFERROR(VLOOKUP($E199,Preenchimento!$A$2:$BV$1048576,74,0),"")</f>
        <v/>
      </c>
    </row>
    <row r="200" spans="1:13" x14ac:dyDescent="0.2">
      <c r="A200" s="96">
        <f>Sitio!$E$3</f>
        <v>0</v>
      </c>
      <c r="B200" s="96" t="str">
        <f>IFERROR(VLOOKUP($E200,Preenchimento!$A$2:$BV$1048576,2,0),"")</f>
        <v/>
      </c>
      <c r="C200" s="96" t="str">
        <f>IFERROR(VLOOKUP($E200,Preenchimento!$A$2:$BV$1048576,4,0),"")</f>
        <v/>
      </c>
      <c r="D200" s="96" t="str">
        <f>IFERROR(VLOOKUP($E200,Preenchimento!$A$2:$BV$1048576,3,0),"")</f>
        <v/>
      </c>
      <c r="E200" s="96">
        <v>198</v>
      </c>
      <c r="F200" s="96" t="str">
        <f>IFERROR(VLOOKUP($E200,Preenchimento!$A$2:$BV$1048576,7,0),"")</f>
        <v/>
      </c>
      <c r="G200" s="96" t="str">
        <f>IF(IFERROR(VLOOKUP($E200,Preenchimento!$A$2:$BV$1048576,8,0),"")=0,"",IFERROR(VLOOKUP($E200,Preenchimento!$A$2:$BV$1048576,8,0),""))</f>
        <v/>
      </c>
      <c r="H200" s="96" t="str">
        <f>IFERROR(VLOOKUP($E200,Preenchimento!$A$2:$BV$1048576,9,0),"")</f>
        <v/>
      </c>
      <c r="I200" s="96" t="str">
        <f>IFERROR(VLOOKUP($E200,Preenchimento!$A$2:$BV$1048576,10,0),"")</f>
        <v/>
      </c>
      <c r="J200" s="96" t="str">
        <f>IFERROR(VLOOKUP($E200,Preenchimento!$A$2:$BV$1048576,12,0),"")</f>
        <v/>
      </c>
      <c r="K200" s="96" t="str">
        <f>IFERROR(VLOOKUP($E200,Preenchimento!$A$2:$BV$1048576,6,0),"")</f>
        <v/>
      </c>
      <c r="L200" s="96" t="str">
        <f>IF(IFERROR(VLOOKUP($E200,Preenchimento!$A$2:$BV$1048576,53,0),"")=0,"",IFERROR(VLOOKUP($E200,Preenchimento!$A$2:$BV$1048576,53,0),""))</f>
        <v/>
      </c>
      <c r="M200" s="96" t="str">
        <f>IFERROR(VLOOKUP($E200,Preenchimento!$A$2:$BV$1048576,74,0),"")</f>
        <v/>
      </c>
    </row>
    <row r="201" spans="1:13" x14ac:dyDescent="0.2">
      <c r="A201" s="96">
        <f>Sitio!$E$3</f>
        <v>0</v>
      </c>
      <c r="B201" s="96" t="str">
        <f>IFERROR(VLOOKUP($E201,Preenchimento!$A$2:$BV$1048576,2,0),"")</f>
        <v/>
      </c>
      <c r="C201" s="96" t="str">
        <f>IFERROR(VLOOKUP($E201,Preenchimento!$A$2:$BV$1048576,4,0),"")</f>
        <v/>
      </c>
      <c r="D201" s="96" t="str">
        <f>IFERROR(VLOOKUP($E201,Preenchimento!$A$2:$BV$1048576,3,0),"")</f>
        <v/>
      </c>
      <c r="E201" s="96">
        <v>199</v>
      </c>
      <c r="F201" s="96" t="str">
        <f>IFERROR(VLOOKUP($E201,Preenchimento!$A$2:$BV$1048576,7,0),"")</f>
        <v/>
      </c>
      <c r="G201" s="96" t="str">
        <f>IF(IFERROR(VLOOKUP($E201,Preenchimento!$A$2:$BV$1048576,8,0),"")=0,"",IFERROR(VLOOKUP($E201,Preenchimento!$A$2:$BV$1048576,8,0),""))</f>
        <v/>
      </c>
      <c r="H201" s="96" t="str">
        <f>IFERROR(VLOOKUP($E201,Preenchimento!$A$2:$BV$1048576,9,0),"")</f>
        <v/>
      </c>
      <c r="I201" s="96" t="str">
        <f>IFERROR(VLOOKUP($E201,Preenchimento!$A$2:$BV$1048576,10,0),"")</f>
        <v/>
      </c>
      <c r="J201" s="96" t="str">
        <f>IFERROR(VLOOKUP($E201,Preenchimento!$A$2:$BV$1048576,12,0),"")</f>
        <v/>
      </c>
      <c r="K201" s="96" t="str">
        <f>IFERROR(VLOOKUP($E201,Preenchimento!$A$2:$BV$1048576,6,0),"")</f>
        <v/>
      </c>
      <c r="L201" s="96" t="str">
        <f>IF(IFERROR(VLOOKUP($E201,Preenchimento!$A$2:$BV$1048576,53,0),"")=0,"",IFERROR(VLOOKUP($E201,Preenchimento!$A$2:$BV$1048576,53,0),""))</f>
        <v/>
      </c>
      <c r="M201" s="96" t="str">
        <f>IFERROR(VLOOKUP($E201,Preenchimento!$A$2:$BV$1048576,74,0),"")</f>
        <v/>
      </c>
    </row>
    <row r="202" spans="1:13" x14ac:dyDescent="0.2">
      <c r="A202" s="96">
        <f>Sitio!$E$3</f>
        <v>0</v>
      </c>
      <c r="B202" s="96" t="str">
        <f>IFERROR(VLOOKUP($E202,Preenchimento!$A$2:$BV$1048576,2,0),"")</f>
        <v/>
      </c>
      <c r="C202" s="96" t="str">
        <f>IFERROR(VLOOKUP($E202,Preenchimento!$A$2:$BV$1048576,4,0),"")</f>
        <v/>
      </c>
      <c r="D202" s="96" t="str">
        <f>IFERROR(VLOOKUP($E202,Preenchimento!$A$2:$BV$1048576,3,0),"")</f>
        <v/>
      </c>
      <c r="E202" s="96">
        <v>200</v>
      </c>
      <c r="F202" s="96" t="str">
        <f>IFERROR(VLOOKUP($E202,Preenchimento!$A$2:$BV$1048576,7,0),"")</f>
        <v/>
      </c>
      <c r="G202" s="96" t="str">
        <f>IF(IFERROR(VLOOKUP($E202,Preenchimento!$A$2:$BV$1048576,8,0),"")=0,"",IFERROR(VLOOKUP($E202,Preenchimento!$A$2:$BV$1048576,8,0),""))</f>
        <v/>
      </c>
      <c r="H202" s="96" t="str">
        <f>IFERROR(VLOOKUP($E202,Preenchimento!$A$2:$BV$1048576,9,0),"")</f>
        <v/>
      </c>
      <c r="I202" s="96" t="str">
        <f>IFERROR(VLOOKUP($E202,Preenchimento!$A$2:$BV$1048576,10,0),"")</f>
        <v/>
      </c>
      <c r="J202" s="96" t="str">
        <f>IFERROR(VLOOKUP($E202,Preenchimento!$A$2:$BV$1048576,12,0),"")</f>
        <v/>
      </c>
      <c r="K202" s="96" t="str">
        <f>IFERROR(VLOOKUP($E202,Preenchimento!$A$2:$BV$1048576,6,0),"")</f>
        <v/>
      </c>
      <c r="L202" s="96" t="str">
        <f>IF(IFERROR(VLOOKUP($E202,Preenchimento!$A$2:$BV$1048576,53,0),"")=0,"",IFERROR(VLOOKUP($E202,Preenchimento!$A$2:$BV$1048576,53,0),""))</f>
        <v/>
      </c>
      <c r="M202" s="96" t="str">
        <f>IFERROR(VLOOKUP($E202,Preenchimento!$A$2:$BV$1048576,74,0),"")</f>
        <v/>
      </c>
    </row>
    <row r="203" spans="1:13" x14ac:dyDescent="0.2">
      <c r="A203" s="96">
        <f>Sitio!$E$3</f>
        <v>0</v>
      </c>
      <c r="B203" s="96" t="str">
        <f>IFERROR(VLOOKUP($E203,Preenchimento!$A$2:$BV$1048576,2,0),"")</f>
        <v/>
      </c>
      <c r="C203" s="96" t="str">
        <f>IFERROR(VLOOKUP($E203,Preenchimento!$A$2:$BV$1048576,4,0),"")</f>
        <v/>
      </c>
      <c r="D203" s="96" t="str">
        <f>IFERROR(VLOOKUP($E203,Preenchimento!$A$2:$BV$1048576,3,0),"")</f>
        <v/>
      </c>
      <c r="E203" s="96">
        <v>201</v>
      </c>
      <c r="F203" s="96" t="str">
        <f>IFERROR(VLOOKUP($E203,Preenchimento!$A$2:$BV$1048576,7,0),"")</f>
        <v/>
      </c>
      <c r="G203" s="96" t="str">
        <f>IF(IFERROR(VLOOKUP($E203,Preenchimento!$A$2:$BV$1048576,8,0),"")=0,"",IFERROR(VLOOKUP($E203,Preenchimento!$A$2:$BV$1048576,8,0),""))</f>
        <v/>
      </c>
      <c r="H203" s="96" t="str">
        <f>IFERROR(VLOOKUP($E203,Preenchimento!$A$2:$BV$1048576,9,0),"")</f>
        <v/>
      </c>
      <c r="I203" s="96" t="str">
        <f>IFERROR(VLOOKUP($E203,Preenchimento!$A$2:$BV$1048576,10,0),"")</f>
        <v/>
      </c>
      <c r="J203" s="96" t="str">
        <f>IFERROR(VLOOKUP($E203,Preenchimento!$A$2:$BV$1048576,12,0),"")</f>
        <v/>
      </c>
      <c r="K203" s="96" t="str">
        <f>IFERROR(VLOOKUP($E203,Preenchimento!$A$2:$BV$1048576,6,0),"")</f>
        <v/>
      </c>
      <c r="L203" s="96" t="str">
        <f>IF(IFERROR(VLOOKUP($E203,Preenchimento!$A$2:$BV$1048576,53,0),"")=0,"",IFERROR(VLOOKUP($E203,Preenchimento!$A$2:$BV$1048576,53,0),""))</f>
        <v/>
      </c>
      <c r="M203" s="96" t="str">
        <f>IFERROR(VLOOKUP($E203,Preenchimento!$A$2:$BV$1048576,74,0),"")</f>
        <v/>
      </c>
    </row>
    <row r="204" spans="1:13" x14ac:dyDescent="0.2">
      <c r="A204" s="96">
        <f>Sitio!$E$3</f>
        <v>0</v>
      </c>
      <c r="B204" s="96" t="str">
        <f>IFERROR(VLOOKUP($E204,Preenchimento!$A$2:$BV$1048576,2,0),"")</f>
        <v/>
      </c>
      <c r="C204" s="96" t="str">
        <f>IFERROR(VLOOKUP($E204,Preenchimento!$A$2:$BV$1048576,4,0),"")</f>
        <v/>
      </c>
      <c r="D204" s="96" t="str">
        <f>IFERROR(VLOOKUP($E204,Preenchimento!$A$2:$BV$1048576,3,0),"")</f>
        <v/>
      </c>
      <c r="E204" s="96">
        <v>202</v>
      </c>
      <c r="F204" s="96" t="str">
        <f>IFERROR(VLOOKUP($E204,Preenchimento!$A$2:$BV$1048576,7,0),"")</f>
        <v/>
      </c>
      <c r="G204" s="96" t="str">
        <f>IF(IFERROR(VLOOKUP($E204,Preenchimento!$A$2:$BV$1048576,8,0),"")=0,"",IFERROR(VLOOKUP($E204,Preenchimento!$A$2:$BV$1048576,8,0),""))</f>
        <v/>
      </c>
      <c r="H204" s="96" t="str">
        <f>IFERROR(VLOOKUP($E204,Preenchimento!$A$2:$BV$1048576,9,0),"")</f>
        <v/>
      </c>
      <c r="I204" s="96" t="str">
        <f>IFERROR(VLOOKUP($E204,Preenchimento!$A$2:$BV$1048576,10,0),"")</f>
        <v/>
      </c>
      <c r="J204" s="96" t="str">
        <f>IFERROR(VLOOKUP($E204,Preenchimento!$A$2:$BV$1048576,12,0),"")</f>
        <v/>
      </c>
      <c r="K204" s="96" t="str">
        <f>IFERROR(VLOOKUP($E204,Preenchimento!$A$2:$BV$1048576,6,0),"")</f>
        <v/>
      </c>
      <c r="L204" s="96" t="str">
        <f>IF(IFERROR(VLOOKUP($E204,Preenchimento!$A$2:$BV$1048576,53,0),"")=0,"",IFERROR(VLOOKUP($E204,Preenchimento!$A$2:$BV$1048576,53,0),""))</f>
        <v/>
      </c>
      <c r="M204" s="96" t="str">
        <f>IFERROR(VLOOKUP($E204,Preenchimento!$A$2:$BV$1048576,74,0),"")</f>
        <v/>
      </c>
    </row>
    <row r="205" spans="1:13" x14ac:dyDescent="0.2">
      <c r="A205" s="96">
        <f>Sitio!$E$3</f>
        <v>0</v>
      </c>
      <c r="B205" s="96" t="str">
        <f>IFERROR(VLOOKUP($E205,Preenchimento!$A$2:$BV$1048576,2,0),"")</f>
        <v/>
      </c>
      <c r="C205" s="96" t="str">
        <f>IFERROR(VLOOKUP($E205,Preenchimento!$A$2:$BV$1048576,4,0),"")</f>
        <v/>
      </c>
      <c r="D205" s="96" t="str">
        <f>IFERROR(VLOOKUP($E205,Preenchimento!$A$2:$BV$1048576,3,0),"")</f>
        <v/>
      </c>
      <c r="E205" s="96">
        <v>203</v>
      </c>
      <c r="F205" s="96" t="str">
        <f>IFERROR(VLOOKUP($E205,Preenchimento!$A$2:$BV$1048576,7,0),"")</f>
        <v/>
      </c>
      <c r="G205" s="96" t="str">
        <f>IF(IFERROR(VLOOKUP($E205,Preenchimento!$A$2:$BV$1048576,8,0),"")=0,"",IFERROR(VLOOKUP($E205,Preenchimento!$A$2:$BV$1048576,8,0),""))</f>
        <v/>
      </c>
      <c r="H205" s="96" t="str">
        <f>IFERROR(VLOOKUP($E205,Preenchimento!$A$2:$BV$1048576,9,0),"")</f>
        <v/>
      </c>
      <c r="I205" s="96" t="str">
        <f>IFERROR(VLOOKUP($E205,Preenchimento!$A$2:$BV$1048576,10,0),"")</f>
        <v/>
      </c>
      <c r="J205" s="96" t="str">
        <f>IFERROR(VLOOKUP($E205,Preenchimento!$A$2:$BV$1048576,12,0),"")</f>
        <v/>
      </c>
      <c r="K205" s="96" t="str">
        <f>IFERROR(VLOOKUP($E205,Preenchimento!$A$2:$BV$1048576,6,0),"")</f>
        <v/>
      </c>
      <c r="L205" s="96" t="str">
        <f>IF(IFERROR(VLOOKUP($E205,Preenchimento!$A$2:$BV$1048576,53,0),"")=0,"",IFERROR(VLOOKUP($E205,Preenchimento!$A$2:$BV$1048576,53,0),""))</f>
        <v/>
      </c>
      <c r="M205" s="96" t="str">
        <f>IFERROR(VLOOKUP($E205,Preenchimento!$A$2:$BV$1048576,74,0),"")</f>
        <v/>
      </c>
    </row>
    <row r="206" spans="1:13" x14ac:dyDescent="0.2">
      <c r="A206" s="96">
        <f>Sitio!$E$3</f>
        <v>0</v>
      </c>
      <c r="B206" s="96" t="str">
        <f>IFERROR(VLOOKUP($E206,Preenchimento!$A$2:$BV$1048576,2,0),"")</f>
        <v/>
      </c>
      <c r="C206" s="96" t="str">
        <f>IFERROR(VLOOKUP($E206,Preenchimento!$A$2:$BV$1048576,4,0),"")</f>
        <v/>
      </c>
      <c r="D206" s="96" t="str">
        <f>IFERROR(VLOOKUP($E206,Preenchimento!$A$2:$BV$1048576,3,0),"")</f>
        <v/>
      </c>
      <c r="E206" s="96">
        <v>204</v>
      </c>
      <c r="F206" s="96" t="str">
        <f>IFERROR(VLOOKUP($E206,Preenchimento!$A$2:$BV$1048576,7,0),"")</f>
        <v/>
      </c>
      <c r="G206" s="96" t="str">
        <f>IF(IFERROR(VLOOKUP($E206,Preenchimento!$A$2:$BV$1048576,8,0),"")=0,"",IFERROR(VLOOKUP($E206,Preenchimento!$A$2:$BV$1048576,8,0),""))</f>
        <v/>
      </c>
      <c r="H206" s="96" t="str">
        <f>IFERROR(VLOOKUP($E206,Preenchimento!$A$2:$BV$1048576,9,0),"")</f>
        <v/>
      </c>
      <c r="I206" s="96" t="str">
        <f>IFERROR(VLOOKUP($E206,Preenchimento!$A$2:$BV$1048576,10,0),"")</f>
        <v/>
      </c>
      <c r="J206" s="96" t="str">
        <f>IFERROR(VLOOKUP($E206,Preenchimento!$A$2:$BV$1048576,12,0),"")</f>
        <v/>
      </c>
      <c r="K206" s="96" t="str">
        <f>IFERROR(VLOOKUP($E206,Preenchimento!$A$2:$BV$1048576,6,0),"")</f>
        <v/>
      </c>
      <c r="L206" s="96" t="str">
        <f>IF(IFERROR(VLOOKUP($E206,Preenchimento!$A$2:$BV$1048576,53,0),"")=0,"",IFERROR(VLOOKUP($E206,Preenchimento!$A$2:$BV$1048576,53,0),""))</f>
        <v/>
      </c>
      <c r="M206" s="96" t="str">
        <f>IFERROR(VLOOKUP($E206,Preenchimento!$A$2:$BV$1048576,74,0),"")</f>
        <v/>
      </c>
    </row>
    <row r="207" spans="1:13" x14ac:dyDescent="0.2">
      <c r="A207" s="96">
        <f>Sitio!$E$3</f>
        <v>0</v>
      </c>
      <c r="B207" s="96" t="str">
        <f>IFERROR(VLOOKUP($E207,Preenchimento!$A$2:$BV$1048576,2,0),"")</f>
        <v/>
      </c>
      <c r="C207" s="96" t="str">
        <f>IFERROR(VLOOKUP($E207,Preenchimento!$A$2:$BV$1048576,4,0),"")</f>
        <v/>
      </c>
      <c r="D207" s="96" t="str">
        <f>IFERROR(VLOOKUP($E207,Preenchimento!$A$2:$BV$1048576,3,0),"")</f>
        <v/>
      </c>
      <c r="E207" s="96">
        <v>205</v>
      </c>
      <c r="F207" s="96" t="str">
        <f>IFERROR(VLOOKUP($E207,Preenchimento!$A$2:$BV$1048576,7,0),"")</f>
        <v/>
      </c>
      <c r="G207" s="96" t="str">
        <f>IF(IFERROR(VLOOKUP($E207,Preenchimento!$A$2:$BV$1048576,8,0),"")=0,"",IFERROR(VLOOKUP($E207,Preenchimento!$A$2:$BV$1048576,8,0),""))</f>
        <v/>
      </c>
      <c r="H207" s="96" t="str">
        <f>IFERROR(VLOOKUP($E207,Preenchimento!$A$2:$BV$1048576,9,0),"")</f>
        <v/>
      </c>
      <c r="I207" s="96" t="str">
        <f>IFERROR(VLOOKUP($E207,Preenchimento!$A$2:$BV$1048576,10,0),"")</f>
        <v/>
      </c>
      <c r="J207" s="96" t="str">
        <f>IFERROR(VLOOKUP($E207,Preenchimento!$A$2:$BV$1048576,12,0),"")</f>
        <v/>
      </c>
      <c r="K207" s="96" t="str">
        <f>IFERROR(VLOOKUP($E207,Preenchimento!$A$2:$BV$1048576,6,0),"")</f>
        <v/>
      </c>
      <c r="L207" s="96" t="str">
        <f>IF(IFERROR(VLOOKUP($E207,Preenchimento!$A$2:$BV$1048576,53,0),"")=0,"",IFERROR(VLOOKUP($E207,Preenchimento!$A$2:$BV$1048576,53,0),""))</f>
        <v/>
      </c>
      <c r="M207" s="96" t="str">
        <f>IFERROR(VLOOKUP($E207,Preenchimento!$A$2:$BV$1048576,74,0),"")</f>
        <v/>
      </c>
    </row>
    <row r="208" spans="1:13" x14ac:dyDescent="0.2">
      <c r="A208" s="96">
        <f>Sitio!$E$3</f>
        <v>0</v>
      </c>
      <c r="B208" s="96" t="str">
        <f>IFERROR(VLOOKUP($E208,Preenchimento!$A$2:$BV$1048576,2,0),"")</f>
        <v/>
      </c>
      <c r="C208" s="96" t="str">
        <f>IFERROR(VLOOKUP($E208,Preenchimento!$A$2:$BV$1048576,4,0),"")</f>
        <v/>
      </c>
      <c r="D208" s="96" t="str">
        <f>IFERROR(VLOOKUP($E208,Preenchimento!$A$2:$BV$1048576,3,0),"")</f>
        <v/>
      </c>
      <c r="E208" s="96">
        <v>206</v>
      </c>
      <c r="F208" s="96" t="str">
        <f>IFERROR(VLOOKUP($E208,Preenchimento!$A$2:$BV$1048576,7,0),"")</f>
        <v/>
      </c>
      <c r="G208" s="96" t="str">
        <f>IF(IFERROR(VLOOKUP($E208,Preenchimento!$A$2:$BV$1048576,8,0),"")=0,"",IFERROR(VLOOKUP($E208,Preenchimento!$A$2:$BV$1048576,8,0),""))</f>
        <v/>
      </c>
      <c r="H208" s="96" t="str">
        <f>IFERROR(VLOOKUP($E208,Preenchimento!$A$2:$BV$1048576,9,0),"")</f>
        <v/>
      </c>
      <c r="I208" s="96" t="str">
        <f>IFERROR(VLOOKUP($E208,Preenchimento!$A$2:$BV$1048576,10,0),"")</f>
        <v/>
      </c>
      <c r="J208" s="96" t="str">
        <f>IFERROR(VLOOKUP($E208,Preenchimento!$A$2:$BV$1048576,12,0),"")</f>
        <v/>
      </c>
      <c r="K208" s="96" t="str">
        <f>IFERROR(VLOOKUP($E208,Preenchimento!$A$2:$BV$1048576,6,0),"")</f>
        <v/>
      </c>
      <c r="L208" s="96" t="str">
        <f>IF(IFERROR(VLOOKUP($E208,Preenchimento!$A$2:$BV$1048576,53,0),"")=0,"",IFERROR(VLOOKUP($E208,Preenchimento!$A$2:$BV$1048576,53,0),""))</f>
        <v/>
      </c>
      <c r="M208" s="96" t="str">
        <f>IFERROR(VLOOKUP($E208,Preenchimento!$A$2:$BV$1048576,74,0),"")</f>
        <v/>
      </c>
    </row>
    <row r="209" spans="1:13" x14ac:dyDescent="0.2">
      <c r="A209" s="96">
        <f>Sitio!$E$3</f>
        <v>0</v>
      </c>
      <c r="B209" s="96" t="str">
        <f>IFERROR(VLOOKUP($E209,Preenchimento!$A$2:$BV$1048576,2,0),"")</f>
        <v/>
      </c>
      <c r="C209" s="96" t="str">
        <f>IFERROR(VLOOKUP($E209,Preenchimento!$A$2:$BV$1048576,4,0),"")</f>
        <v/>
      </c>
      <c r="D209" s="96" t="str">
        <f>IFERROR(VLOOKUP($E209,Preenchimento!$A$2:$BV$1048576,3,0),"")</f>
        <v/>
      </c>
      <c r="E209" s="96">
        <v>207</v>
      </c>
      <c r="F209" s="96" t="str">
        <f>IFERROR(VLOOKUP($E209,Preenchimento!$A$2:$BV$1048576,7,0),"")</f>
        <v/>
      </c>
      <c r="G209" s="96" t="str">
        <f>IF(IFERROR(VLOOKUP($E209,Preenchimento!$A$2:$BV$1048576,8,0),"")=0,"",IFERROR(VLOOKUP($E209,Preenchimento!$A$2:$BV$1048576,8,0),""))</f>
        <v/>
      </c>
      <c r="H209" s="96" t="str">
        <f>IFERROR(VLOOKUP($E209,Preenchimento!$A$2:$BV$1048576,9,0),"")</f>
        <v/>
      </c>
      <c r="I209" s="96" t="str">
        <f>IFERROR(VLOOKUP($E209,Preenchimento!$A$2:$BV$1048576,10,0),"")</f>
        <v/>
      </c>
      <c r="J209" s="96" t="str">
        <f>IFERROR(VLOOKUP($E209,Preenchimento!$A$2:$BV$1048576,12,0),"")</f>
        <v/>
      </c>
      <c r="K209" s="96" t="str">
        <f>IFERROR(VLOOKUP($E209,Preenchimento!$A$2:$BV$1048576,6,0),"")</f>
        <v/>
      </c>
      <c r="L209" s="96" t="str">
        <f>IF(IFERROR(VLOOKUP($E209,Preenchimento!$A$2:$BV$1048576,53,0),"")=0,"",IFERROR(VLOOKUP($E209,Preenchimento!$A$2:$BV$1048576,53,0),""))</f>
        <v/>
      </c>
      <c r="M209" s="96" t="str">
        <f>IFERROR(VLOOKUP($E209,Preenchimento!$A$2:$BV$1048576,74,0),"")</f>
        <v/>
      </c>
    </row>
    <row r="210" spans="1:13" x14ac:dyDescent="0.2">
      <c r="A210" s="96">
        <f>Sitio!$E$3</f>
        <v>0</v>
      </c>
      <c r="B210" s="96" t="str">
        <f>IFERROR(VLOOKUP($E210,Preenchimento!$A$2:$BV$1048576,2,0),"")</f>
        <v/>
      </c>
      <c r="C210" s="96" t="str">
        <f>IFERROR(VLOOKUP($E210,Preenchimento!$A$2:$BV$1048576,4,0),"")</f>
        <v/>
      </c>
      <c r="D210" s="96" t="str">
        <f>IFERROR(VLOOKUP($E210,Preenchimento!$A$2:$BV$1048576,3,0),"")</f>
        <v/>
      </c>
      <c r="E210" s="96">
        <v>208</v>
      </c>
      <c r="F210" s="96" t="str">
        <f>IFERROR(VLOOKUP($E210,Preenchimento!$A$2:$BV$1048576,7,0),"")</f>
        <v/>
      </c>
      <c r="G210" s="96" t="str">
        <f>IF(IFERROR(VLOOKUP($E210,Preenchimento!$A$2:$BV$1048576,8,0),"")=0,"",IFERROR(VLOOKUP($E210,Preenchimento!$A$2:$BV$1048576,8,0),""))</f>
        <v/>
      </c>
      <c r="H210" s="96" t="str">
        <f>IFERROR(VLOOKUP($E210,Preenchimento!$A$2:$BV$1048576,9,0),"")</f>
        <v/>
      </c>
      <c r="I210" s="96" t="str">
        <f>IFERROR(VLOOKUP($E210,Preenchimento!$A$2:$BV$1048576,10,0),"")</f>
        <v/>
      </c>
      <c r="J210" s="96" t="str">
        <f>IFERROR(VLOOKUP($E210,Preenchimento!$A$2:$BV$1048576,12,0),"")</f>
        <v/>
      </c>
      <c r="K210" s="96" t="str">
        <f>IFERROR(VLOOKUP($E210,Preenchimento!$A$2:$BV$1048576,6,0),"")</f>
        <v/>
      </c>
      <c r="L210" s="96" t="str">
        <f>IF(IFERROR(VLOOKUP($E210,Preenchimento!$A$2:$BV$1048576,53,0),"")=0,"",IFERROR(VLOOKUP($E210,Preenchimento!$A$2:$BV$1048576,53,0),""))</f>
        <v/>
      </c>
      <c r="M210" s="96" t="str">
        <f>IFERROR(VLOOKUP($E210,Preenchimento!$A$2:$BV$1048576,74,0),"")</f>
        <v/>
      </c>
    </row>
    <row r="211" spans="1:13" x14ac:dyDescent="0.2">
      <c r="A211" s="96">
        <f>Sitio!$E$3</f>
        <v>0</v>
      </c>
      <c r="B211" s="96" t="str">
        <f>IFERROR(VLOOKUP($E211,Preenchimento!$A$2:$BV$1048576,2,0),"")</f>
        <v/>
      </c>
      <c r="C211" s="96" t="str">
        <f>IFERROR(VLOOKUP($E211,Preenchimento!$A$2:$BV$1048576,4,0),"")</f>
        <v/>
      </c>
      <c r="D211" s="96" t="str">
        <f>IFERROR(VLOOKUP($E211,Preenchimento!$A$2:$BV$1048576,3,0),"")</f>
        <v/>
      </c>
      <c r="E211" s="96">
        <v>209</v>
      </c>
      <c r="F211" s="96" t="str">
        <f>IFERROR(VLOOKUP($E211,Preenchimento!$A$2:$BV$1048576,7,0),"")</f>
        <v/>
      </c>
      <c r="G211" s="96" t="str">
        <f>IF(IFERROR(VLOOKUP($E211,Preenchimento!$A$2:$BV$1048576,8,0),"")=0,"",IFERROR(VLOOKUP($E211,Preenchimento!$A$2:$BV$1048576,8,0),""))</f>
        <v/>
      </c>
      <c r="H211" s="96" t="str">
        <f>IFERROR(VLOOKUP($E211,Preenchimento!$A$2:$BV$1048576,9,0),"")</f>
        <v/>
      </c>
      <c r="I211" s="96" t="str">
        <f>IFERROR(VLOOKUP($E211,Preenchimento!$A$2:$BV$1048576,10,0),"")</f>
        <v/>
      </c>
      <c r="J211" s="96" t="str">
        <f>IFERROR(VLOOKUP($E211,Preenchimento!$A$2:$BV$1048576,12,0),"")</f>
        <v/>
      </c>
      <c r="K211" s="96" t="str">
        <f>IFERROR(VLOOKUP($E211,Preenchimento!$A$2:$BV$1048576,6,0),"")</f>
        <v/>
      </c>
      <c r="L211" s="96" t="str">
        <f>IF(IFERROR(VLOOKUP($E211,Preenchimento!$A$2:$BV$1048576,53,0),"")=0,"",IFERROR(VLOOKUP($E211,Preenchimento!$A$2:$BV$1048576,53,0),""))</f>
        <v/>
      </c>
      <c r="M211" s="96" t="str">
        <f>IFERROR(VLOOKUP($E211,Preenchimento!$A$2:$BV$1048576,74,0),"")</f>
        <v/>
      </c>
    </row>
    <row r="212" spans="1:13" x14ac:dyDescent="0.2">
      <c r="A212" s="96">
        <f>Sitio!$E$3</f>
        <v>0</v>
      </c>
      <c r="B212" s="96" t="str">
        <f>IFERROR(VLOOKUP($E212,Preenchimento!$A$2:$BV$1048576,2,0),"")</f>
        <v/>
      </c>
      <c r="C212" s="96" t="str">
        <f>IFERROR(VLOOKUP($E212,Preenchimento!$A$2:$BV$1048576,4,0),"")</f>
        <v/>
      </c>
      <c r="D212" s="96" t="str">
        <f>IFERROR(VLOOKUP($E212,Preenchimento!$A$2:$BV$1048576,3,0),"")</f>
        <v/>
      </c>
      <c r="E212" s="96">
        <v>210</v>
      </c>
      <c r="F212" s="96" t="str">
        <f>IFERROR(VLOOKUP($E212,Preenchimento!$A$2:$BV$1048576,7,0),"")</f>
        <v/>
      </c>
      <c r="G212" s="96" t="str">
        <f>IF(IFERROR(VLOOKUP($E212,Preenchimento!$A$2:$BV$1048576,8,0),"")=0,"",IFERROR(VLOOKUP($E212,Preenchimento!$A$2:$BV$1048576,8,0),""))</f>
        <v/>
      </c>
      <c r="H212" s="96" t="str">
        <f>IFERROR(VLOOKUP($E212,Preenchimento!$A$2:$BV$1048576,9,0),"")</f>
        <v/>
      </c>
      <c r="I212" s="96" t="str">
        <f>IFERROR(VLOOKUP($E212,Preenchimento!$A$2:$BV$1048576,10,0),"")</f>
        <v/>
      </c>
      <c r="J212" s="96" t="str">
        <f>IFERROR(VLOOKUP($E212,Preenchimento!$A$2:$BV$1048576,12,0),"")</f>
        <v/>
      </c>
      <c r="K212" s="96" t="str">
        <f>IFERROR(VLOOKUP($E212,Preenchimento!$A$2:$BV$1048576,6,0),"")</f>
        <v/>
      </c>
      <c r="L212" s="96" t="str">
        <f>IF(IFERROR(VLOOKUP($E212,Preenchimento!$A$2:$BV$1048576,53,0),"")=0,"",IFERROR(VLOOKUP($E212,Preenchimento!$A$2:$BV$1048576,53,0),""))</f>
        <v/>
      </c>
      <c r="M212" s="96" t="str">
        <f>IFERROR(VLOOKUP($E212,Preenchimento!$A$2:$BV$1048576,74,0),"")</f>
        <v/>
      </c>
    </row>
    <row r="213" spans="1:13" x14ac:dyDescent="0.2">
      <c r="A213" s="96">
        <f>Sitio!$E$3</f>
        <v>0</v>
      </c>
      <c r="B213" s="96" t="str">
        <f>IFERROR(VLOOKUP($E213,Preenchimento!$A$2:$BV$1048576,2,0),"")</f>
        <v/>
      </c>
      <c r="C213" s="96" t="str">
        <f>IFERROR(VLOOKUP($E213,Preenchimento!$A$2:$BV$1048576,4,0),"")</f>
        <v/>
      </c>
      <c r="D213" s="96" t="str">
        <f>IFERROR(VLOOKUP($E213,Preenchimento!$A$2:$BV$1048576,3,0),"")</f>
        <v/>
      </c>
      <c r="E213" s="96">
        <v>211</v>
      </c>
      <c r="F213" s="96" t="str">
        <f>IFERROR(VLOOKUP($E213,Preenchimento!$A$2:$BV$1048576,7,0),"")</f>
        <v/>
      </c>
      <c r="G213" s="96" t="str">
        <f>IF(IFERROR(VLOOKUP($E213,Preenchimento!$A$2:$BV$1048576,8,0),"")=0,"",IFERROR(VLOOKUP($E213,Preenchimento!$A$2:$BV$1048576,8,0),""))</f>
        <v/>
      </c>
      <c r="H213" s="96" t="str">
        <f>IFERROR(VLOOKUP($E213,Preenchimento!$A$2:$BV$1048576,9,0),"")</f>
        <v/>
      </c>
      <c r="I213" s="96" t="str">
        <f>IFERROR(VLOOKUP($E213,Preenchimento!$A$2:$BV$1048576,10,0),"")</f>
        <v/>
      </c>
      <c r="J213" s="96" t="str">
        <f>IFERROR(VLOOKUP($E213,Preenchimento!$A$2:$BV$1048576,12,0),"")</f>
        <v/>
      </c>
      <c r="K213" s="96" t="str">
        <f>IFERROR(VLOOKUP($E213,Preenchimento!$A$2:$BV$1048576,6,0),"")</f>
        <v/>
      </c>
      <c r="L213" s="96" t="str">
        <f>IF(IFERROR(VLOOKUP($E213,Preenchimento!$A$2:$BV$1048576,53,0),"")=0,"",IFERROR(VLOOKUP($E213,Preenchimento!$A$2:$BV$1048576,53,0),""))</f>
        <v/>
      </c>
      <c r="M213" s="96" t="str">
        <f>IFERROR(VLOOKUP($E213,Preenchimento!$A$2:$BV$1048576,74,0),"")</f>
        <v/>
      </c>
    </row>
    <row r="214" spans="1:13" x14ac:dyDescent="0.2">
      <c r="A214" s="96">
        <f>Sitio!$E$3</f>
        <v>0</v>
      </c>
      <c r="B214" s="96" t="str">
        <f>IFERROR(VLOOKUP($E214,Preenchimento!$A$2:$BV$1048576,2,0),"")</f>
        <v/>
      </c>
      <c r="C214" s="96" t="str">
        <f>IFERROR(VLOOKUP($E214,Preenchimento!$A$2:$BV$1048576,4,0),"")</f>
        <v/>
      </c>
      <c r="D214" s="96" t="str">
        <f>IFERROR(VLOOKUP($E214,Preenchimento!$A$2:$BV$1048576,3,0),"")</f>
        <v/>
      </c>
      <c r="E214" s="96">
        <v>212</v>
      </c>
      <c r="F214" s="96" t="str">
        <f>IFERROR(VLOOKUP($E214,Preenchimento!$A$2:$BV$1048576,7,0),"")</f>
        <v/>
      </c>
      <c r="G214" s="96" t="str">
        <f>IF(IFERROR(VLOOKUP($E214,Preenchimento!$A$2:$BV$1048576,8,0),"")=0,"",IFERROR(VLOOKUP($E214,Preenchimento!$A$2:$BV$1048576,8,0),""))</f>
        <v/>
      </c>
      <c r="H214" s="96" t="str">
        <f>IFERROR(VLOOKUP($E214,Preenchimento!$A$2:$BV$1048576,9,0),"")</f>
        <v/>
      </c>
      <c r="I214" s="96" t="str">
        <f>IFERROR(VLOOKUP($E214,Preenchimento!$A$2:$BV$1048576,10,0),"")</f>
        <v/>
      </c>
      <c r="J214" s="96" t="str">
        <f>IFERROR(VLOOKUP($E214,Preenchimento!$A$2:$BV$1048576,12,0),"")</f>
        <v/>
      </c>
      <c r="K214" s="96" t="str">
        <f>IFERROR(VLOOKUP($E214,Preenchimento!$A$2:$BV$1048576,6,0),"")</f>
        <v/>
      </c>
      <c r="L214" s="96" t="str">
        <f>IF(IFERROR(VLOOKUP($E214,Preenchimento!$A$2:$BV$1048576,53,0),"")=0,"",IFERROR(VLOOKUP($E214,Preenchimento!$A$2:$BV$1048576,53,0),""))</f>
        <v/>
      </c>
      <c r="M214" s="96" t="str">
        <f>IFERROR(VLOOKUP($E214,Preenchimento!$A$2:$BV$1048576,74,0),"")</f>
        <v/>
      </c>
    </row>
    <row r="215" spans="1:13" x14ac:dyDescent="0.2">
      <c r="A215" s="96">
        <f>Sitio!$E$3</f>
        <v>0</v>
      </c>
      <c r="B215" s="96" t="str">
        <f>IFERROR(VLOOKUP($E215,Preenchimento!$A$2:$BV$1048576,2,0),"")</f>
        <v/>
      </c>
      <c r="C215" s="96" t="str">
        <f>IFERROR(VLOOKUP($E215,Preenchimento!$A$2:$BV$1048576,4,0),"")</f>
        <v/>
      </c>
      <c r="D215" s="96" t="str">
        <f>IFERROR(VLOOKUP($E215,Preenchimento!$A$2:$BV$1048576,3,0),"")</f>
        <v/>
      </c>
      <c r="E215" s="96">
        <v>213</v>
      </c>
      <c r="F215" s="96" t="str">
        <f>IFERROR(VLOOKUP($E215,Preenchimento!$A$2:$BV$1048576,7,0),"")</f>
        <v/>
      </c>
      <c r="G215" s="96" t="str">
        <f>IF(IFERROR(VLOOKUP($E215,Preenchimento!$A$2:$BV$1048576,8,0),"")=0,"",IFERROR(VLOOKUP($E215,Preenchimento!$A$2:$BV$1048576,8,0),""))</f>
        <v/>
      </c>
      <c r="H215" s="96" t="str">
        <f>IFERROR(VLOOKUP($E215,Preenchimento!$A$2:$BV$1048576,9,0),"")</f>
        <v/>
      </c>
      <c r="I215" s="96" t="str">
        <f>IFERROR(VLOOKUP($E215,Preenchimento!$A$2:$BV$1048576,10,0),"")</f>
        <v/>
      </c>
      <c r="J215" s="96" t="str">
        <f>IFERROR(VLOOKUP($E215,Preenchimento!$A$2:$BV$1048576,12,0),"")</f>
        <v/>
      </c>
      <c r="K215" s="96" t="str">
        <f>IFERROR(VLOOKUP($E215,Preenchimento!$A$2:$BV$1048576,6,0),"")</f>
        <v/>
      </c>
      <c r="L215" s="96" t="str">
        <f>IF(IFERROR(VLOOKUP($E215,Preenchimento!$A$2:$BV$1048576,53,0),"")=0,"",IFERROR(VLOOKUP($E215,Preenchimento!$A$2:$BV$1048576,53,0),""))</f>
        <v/>
      </c>
      <c r="M215" s="96" t="str">
        <f>IFERROR(VLOOKUP($E215,Preenchimento!$A$2:$BV$1048576,74,0),"")</f>
        <v/>
      </c>
    </row>
    <row r="216" spans="1:13" x14ac:dyDescent="0.2">
      <c r="A216" s="96">
        <f>Sitio!$E$3</f>
        <v>0</v>
      </c>
      <c r="B216" s="96" t="str">
        <f>IFERROR(VLOOKUP($E216,Preenchimento!$A$2:$BV$1048576,2,0),"")</f>
        <v/>
      </c>
      <c r="C216" s="96" t="str">
        <f>IFERROR(VLOOKUP($E216,Preenchimento!$A$2:$BV$1048576,4,0),"")</f>
        <v/>
      </c>
      <c r="D216" s="96" t="str">
        <f>IFERROR(VLOOKUP($E216,Preenchimento!$A$2:$BV$1048576,3,0),"")</f>
        <v/>
      </c>
      <c r="E216" s="96">
        <v>214</v>
      </c>
      <c r="F216" s="96" t="str">
        <f>IFERROR(VLOOKUP($E216,Preenchimento!$A$2:$BV$1048576,7,0),"")</f>
        <v/>
      </c>
      <c r="G216" s="96" t="str">
        <f>IF(IFERROR(VLOOKUP($E216,Preenchimento!$A$2:$BV$1048576,8,0),"")=0,"",IFERROR(VLOOKUP($E216,Preenchimento!$A$2:$BV$1048576,8,0),""))</f>
        <v/>
      </c>
      <c r="H216" s="96" t="str">
        <f>IFERROR(VLOOKUP($E216,Preenchimento!$A$2:$BV$1048576,9,0),"")</f>
        <v/>
      </c>
      <c r="I216" s="96" t="str">
        <f>IFERROR(VLOOKUP($E216,Preenchimento!$A$2:$BV$1048576,10,0),"")</f>
        <v/>
      </c>
      <c r="J216" s="96" t="str">
        <f>IFERROR(VLOOKUP($E216,Preenchimento!$A$2:$BV$1048576,12,0),"")</f>
        <v/>
      </c>
      <c r="K216" s="96" t="str">
        <f>IFERROR(VLOOKUP($E216,Preenchimento!$A$2:$BV$1048576,6,0),"")</f>
        <v/>
      </c>
      <c r="L216" s="96" t="str">
        <f>IF(IFERROR(VLOOKUP($E216,Preenchimento!$A$2:$BV$1048576,53,0),"")=0,"",IFERROR(VLOOKUP($E216,Preenchimento!$A$2:$BV$1048576,53,0),""))</f>
        <v/>
      </c>
      <c r="M216" s="96" t="str">
        <f>IFERROR(VLOOKUP($E216,Preenchimento!$A$2:$BV$1048576,74,0),"")</f>
        <v/>
      </c>
    </row>
    <row r="217" spans="1:13" x14ac:dyDescent="0.2">
      <c r="A217" s="96">
        <f>Sitio!$E$3</f>
        <v>0</v>
      </c>
      <c r="B217" s="96" t="str">
        <f>IFERROR(VLOOKUP($E217,Preenchimento!$A$2:$BV$1048576,2,0),"")</f>
        <v/>
      </c>
      <c r="C217" s="96" t="str">
        <f>IFERROR(VLOOKUP($E217,Preenchimento!$A$2:$BV$1048576,4,0),"")</f>
        <v/>
      </c>
      <c r="D217" s="96" t="str">
        <f>IFERROR(VLOOKUP($E217,Preenchimento!$A$2:$BV$1048576,3,0),"")</f>
        <v/>
      </c>
      <c r="E217" s="96">
        <v>215</v>
      </c>
      <c r="F217" s="96" t="str">
        <f>IFERROR(VLOOKUP($E217,Preenchimento!$A$2:$BV$1048576,7,0),"")</f>
        <v/>
      </c>
      <c r="G217" s="96" t="str">
        <f>IF(IFERROR(VLOOKUP($E217,Preenchimento!$A$2:$BV$1048576,8,0),"")=0,"",IFERROR(VLOOKUP($E217,Preenchimento!$A$2:$BV$1048576,8,0),""))</f>
        <v/>
      </c>
      <c r="H217" s="96" t="str">
        <f>IFERROR(VLOOKUP($E217,Preenchimento!$A$2:$BV$1048576,9,0),"")</f>
        <v/>
      </c>
      <c r="I217" s="96" t="str">
        <f>IFERROR(VLOOKUP($E217,Preenchimento!$A$2:$BV$1048576,10,0),"")</f>
        <v/>
      </c>
      <c r="J217" s="96" t="str">
        <f>IFERROR(VLOOKUP($E217,Preenchimento!$A$2:$BV$1048576,12,0),"")</f>
        <v/>
      </c>
      <c r="K217" s="96" t="str">
        <f>IFERROR(VLOOKUP($E217,Preenchimento!$A$2:$BV$1048576,6,0),"")</f>
        <v/>
      </c>
      <c r="L217" s="96" t="str">
        <f>IF(IFERROR(VLOOKUP($E217,Preenchimento!$A$2:$BV$1048576,53,0),"")=0,"",IFERROR(VLOOKUP($E217,Preenchimento!$A$2:$BV$1048576,53,0),""))</f>
        <v/>
      </c>
      <c r="M217" s="96" t="str">
        <f>IFERROR(VLOOKUP($E217,Preenchimento!$A$2:$BV$1048576,74,0),"")</f>
        <v/>
      </c>
    </row>
    <row r="218" spans="1:13" x14ac:dyDescent="0.2">
      <c r="A218" s="96">
        <f>Sitio!$E$3</f>
        <v>0</v>
      </c>
      <c r="B218" s="96" t="str">
        <f>IFERROR(VLOOKUP($E218,Preenchimento!$A$2:$BV$1048576,2,0),"")</f>
        <v/>
      </c>
      <c r="C218" s="96" t="str">
        <f>IFERROR(VLOOKUP($E218,Preenchimento!$A$2:$BV$1048576,4,0),"")</f>
        <v/>
      </c>
      <c r="D218" s="96" t="str">
        <f>IFERROR(VLOOKUP($E218,Preenchimento!$A$2:$BV$1048576,3,0),"")</f>
        <v/>
      </c>
      <c r="E218" s="96">
        <v>216</v>
      </c>
      <c r="F218" s="96" t="str">
        <f>IFERROR(VLOOKUP($E218,Preenchimento!$A$2:$BV$1048576,7,0),"")</f>
        <v/>
      </c>
      <c r="G218" s="96" t="str">
        <f>IF(IFERROR(VLOOKUP($E218,Preenchimento!$A$2:$BV$1048576,8,0),"")=0,"",IFERROR(VLOOKUP($E218,Preenchimento!$A$2:$BV$1048576,8,0),""))</f>
        <v/>
      </c>
      <c r="H218" s="96" t="str">
        <f>IFERROR(VLOOKUP($E218,Preenchimento!$A$2:$BV$1048576,9,0),"")</f>
        <v/>
      </c>
      <c r="I218" s="96" t="str">
        <f>IFERROR(VLOOKUP($E218,Preenchimento!$A$2:$BV$1048576,10,0),"")</f>
        <v/>
      </c>
      <c r="J218" s="96" t="str">
        <f>IFERROR(VLOOKUP($E218,Preenchimento!$A$2:$BV$1048576,12,0),"")</f>
        <v/>
      </c>
      <c r="K218" s="96" t="str">
        <f>IFERROR(VLOOKUP($E218,Preenchimento!$A$2:$BV$1048576,6,0),"")</f>
        <v/>
      </c>
      <c r="L218" s="96" t="str">
        <f>IF(IFERROR(VLOOKUP($E218,Preenchimento!$A$2:$BV$1048576,53,0),"")=0,"",IFERROR(VLOOKUP($E218,Preenchimento!$A$2:$BV$1048576,53,0),""))</f>
        <v/>
      </c>
      <c r="M218" s="96" t="str">
        <f>IFERROR(VLOOKUP($E218,Preenchimento!$A$2:$BV$1048576,74,0),"")</f>
        <v/>
      </c>
    </row>
    <row r="219" spans="1:13" x14ac:dyDescent="0.2">
      <c r="A219" s="96">
        <f>Sitio!$E$3</f>
        <v>0</v>
      </c>
      <c r="B219" s="96" t="str">
        <f>IFERROR(VLOOKUP($E219,Preenchimento!$A$2:$BV$1048576,2,0),"")</f>
        <v/>
      </c>
      <c r="C219" s="96" t="str">
        <f>IFERROR(VLOOKUP($E219,Preenchimento!$A$2:$BV$1048576,4,0),"")</f>
        <v/>
      </c>
      <c r="D219" s="96" t="str">
        <f>IFERROR(VLOOKUP($E219,Preenchimento!$A$2:$BV$1048576,3,0),"")</f>
        <v/>
      </c>
      <c r="E219" s="96">
        <v>217</v>
      </c>
      <c r="F219" s="96" t="str">
        <f>IFERROR(VLOOKUP($E219,Preenchimento!$A$2:$BV$1048576,7,0),"")</f>
        <v/>
      </c>
      <c r="G219" s="96" t="str">
        <f>IF(IFERROR(VLOOKUP($E219,Preenchimento!$A$2:$BV$1048576,8,0),"")=0,"",IFERROR(VLOOKUP($E219,Preenchimento!$A$2:$BV$1048576,8,0),""))</f>
        <v/>
      </c>
      <c r="H219" s="96" t="str">
        <f>IFERROR(VLOOKUP($E219,Preenchimento!$A$2:$BV$1048576,9,0),"")</f>
        <v/>
      </c>
      <c r="I219" s="96" t="str">
        <f>IFERROR(VLOOKUP($E219,Preenchimento!$A$2:$BV$1048576,10,0),"")</f>
        <v/>
      </c>
      <c r="J219" s="96" t="str">
        <f>IFERROR(VLOOKUP($E219,Preenchimento!$A$2:$BV$1048576,12,0),"")</f>
        <v/>
      </c>
      <c r="K219" s="96" t="str">
        <f>IFERROR(VLOOKUP($E219,Preenchimento!$A$2:$BV$1048576,6,0),"")</f>
        <v/>
      </c>
      <c r="L219" s="96" t="str">
        <f>IF(IFERROR(VLOOKUP($E219,Preenchimento!$A$2:$BV$1048576,53,0),"")=0,"",IFERROR(VLOOKUP($E219,Preenchimento!$A$2:$BV$1048576,53,0),""))</f>
        <v/>
      </c>
      <c r="M219" s="96" t="str">
        <f>IFERROR(VLOOKUP($E219,Preenchimento!$A$2:$BV$1048576,74,0),"")</f>
        <v/>
      </c>
    </row>
    <row r="220" spans="1:13" x14ac:dyDescent="0.2">
      <c r="A220" s="96">
        <f>Sitio!$E$3</f>
        <v>0</v>
      </c>
      <c r="B220" s="96" t="str">
        <f>IFERROR(VLOOKUP($E220,Preenchimento!$A$2:$BV$1048576,2,0),"")</f>
        <v/>
      </c>
      <c r="C220" s="96" t="str">
        <f>IFERROR(VLOOKUP($E220,Preenchimento!$A$2:$BV$1048576,4,0),"")</f>
        <v/>
      </c>
      <c r="D220" s="96" t="str">
        <f>IFERROR(VLOOKUP($E220,Preenchimento!$A$2:$BV$1048576,3,0),"")</f>
        <v/>
      </c>
      <c r="E220" s="96">
        <v>218</v>
      </c>
      <c r="F220" s="96" t="str">
        <f>IFERROR(VLOOKUP($E220,Preenchimento!$A$2:$BV$1048576,7,0),"")</f>
        <v/>
      </c>
      <c r="G220" s="96" t="str">
        <f>IF(IFERROR(VLOOKUP($E220,Preenchimento!$A$2:$BV$1048576,8,0),"")=0,"",IFERROR(VLOOKUP($E220,Preenchimento!$A$2:$BV$1048576,8,0),""))</f>
        <v/>
      </c>
      <c r="H220" s="96" t="str">
        <f>IFERROR(VLOOKUP($E220,Preenchimento!$A$2:$BV$1048576,9,0),"")</f>
        <v/>
      </c>
      <c r="I220" s="96" t="str">
        <f>IFERROR(VLOOKUP($E220,Preenchimento!$A$2:$BV$1048576,10,0),"")</f>
        <v/>
      </c>
      <c r="J220" s="96" t="str">
        <f>IFERROR(VLOOKUP($E220,Preenchimento!$A$2:$BV$1048576,12,0),"")</f>
        <v/>
      </c>
      <c r="K220" s="96" t="str">
        <f>IFERROR(VLOOKUP($E220,Preenchimento!$A$2:$BV$1048576,6,0),"")</f>
        <v/>
      </c>
      <c r="L220" s="96" t="str">
        <f>IF(IFERROR(VLOOKUP($E220,Preenchimento!$A$2:$BV$1048576,53,0),"")=0,"",IFERROR(VLOOKUP($E220,Preenchimento!$A$2:$BV$1048576,53,0),""))</f>
        <v/>
      </c>
      <c r="M220" s="96" t="str">
        <f>IFERROR(VLOOKUP($E220,Preenchimento!$A$2:$BV$1048576,74,0),"")</f>
        <v/>
      </c>
    </row>
    <row r="221" spans="1:13" x14ac:dyDescent="0.2">
      <c r="A221" s="96">
        <f>Sitio!$E$3</f>
        <v>0</v>
      </c>
      <c r="B221" s="96" t="str">
        <f>IFERROR(VLOOKUP($E221,Preenchimento!$A$2:$BV$1048576,2,0),"")</f>
        <v/>
      </c>
      <c r="C221" s="96" t="str">
        <f>IFERROR(VLOOKUP($E221,Preenchimento!$A$2:$BV$1048576,4,0),"")</f>
        <v/>
      </c>
      <c r="D221" s="96" t="str">
        <f>IFERROR(VLOOKUP($E221,Preenchimento!$A$2:$BV$1048576,3,0),"")</f>
        <v/>
      </c>
      <c r="E221" s="96">
        <v>219</v>
      </c>
      <c r="F221" s="96" t="str">
        <f>IFERROR(VLOOKUP($E221,Preenchimento!$A$2:$BV$1048576,7,0),"")</f>
        <v/>
      </c>
      <c r="G221" s="96" t="str">
        <f>IF(IFERROR(VLOOKUP($E221,Preenchimento!$A$2:$BV$1048576,8,0),"")=0,"",IFERROR(VLOOKUP($E221,Preenchimento!$A$2:$BV$1048576,8,0),""))</f>
        <v/>
      </c>
      <c r="H221" s="96" t="str">
        <f>IFERROR(VLOOKUP($E221,Preenchimento!$A$2:$BV$1048576,9,0),"")</f>
        <v/>
      </c>
      <c r="I221" s="96" t="str">
        <f>IFERROR(VLOOKUP($E221,Preenchimento!$A$2:$BV$1048576,10,0),"")</f>
        <v/>
      </c>
      <c r="J221" s="96" t="str">
        <f>IFERROR(VLOOKUP($E221,Preenchimento!$A$2:$BV$1048576,12,0),"")</f>
        <v/>
      </c>
      <c r="K221" s="96" t="str">
        <f>IFERROR(VLOOKUP($E221,Preenchimento!$A$2:$BV$1048576,6,0),"")</f>
        <v/>
      </c>
      <c r="L221" s="96" t="str">
        <f>IF(IFERROR(VLOOKUP($E221,Preenchimento!$A$2:$BV$1048576,53,0),"")=0,"",IFERROR(VLOOKUP($E221,Preenchimento!$A$2:$BV$1048576,53,0),""))</f>
        <v/>
      </c>
      <c r="M221" s="96" t="str">
        <f>IFERROR(VLOOKUP($E221,Preenchimento!$A$2:$BV$1048576,74,0),"")</f>
        <v/>
      </c>
    </row>
    <row r="222" spans="1:13" x14ac:dyDescent="0.2">
      <c r="A222" s="96">
        <f>Sitio!$E$3</f>
        <v>0</v>
      </c>
      <c r="B222" s="96" t="str">
        <f>IFERROR(VLOOKUP($E222,Preenchimento!$A$2:$BV$1048576,2,0),"")</f>
        <v/>
      </c>
      <c r="C222" s="96" t="str">
        <f>IFERROR(VLOOKUP($E222,Preenchimento!$A$2:$BV$1048576,4,0),"")</f>
        <v/>
      </c>
      <c r="D222" s="96" t="str">
        <f>IFERROR(VLOOKUP($E222,Preenchimento!$A$2:$BV$1048576,3,0),"")</f>
        <v/>
      </c>
      <c r="E222" s="96">
        <v>220</v>
      </c>
      <c r="F222" s="96" t="str">
        <f>IFERROR(VLOOKUP($E222,Preenchimento!$A$2:$BV$1048576,7,0),"")</f>
        <v/>
      </c>
      <c r="G222" s="96" t="str">
        <f>IF(IFERROR(VLOOKUP($E222,Preenchimento!$A$2:$BV$1048576,8,0),"")=0,"",IFERROR(VLOOKUP($E222,Preenchimento!$A$2:$BV$1048576,8,0),""))</f>
        <v/>
      </c>
      <c r="H222" s="96" t="str">
        <f>IFERROR(VLOOKUP($E222,Preenchimento!$A$2:$BV$1048576,9,0),"")</f>
        <v/>
      </c>
      <c r="I222" s="96" t="str">
        <f>IFERROR(VLOOKUP($E222,Preenchimento!$A$2:$BV$1048576,10,0),"")</f>
        <v/>
      </c>
      <c r="J222" s="96" t="str">
        <f>IFERROR(VLOOKUP($E222,Preenchimento!$A$2:$BV$1048576,12,0),"")</f>
        <v/>
      </c>
      <c r="K222" s="96" t="str">
        <f>IFERROR(VLOOKUP($E222,Preenchimento!$A$2:$BV$1048576,6,0),"")</f>
        <v/>
      </c>
      <c r="L222" s="96" t="str">
        <f>IF(IFERROR(VLOOKUP($E222,Preenchimento!$A$2:$BV$1048576,53,0),"")=0,"",IFERROR(VLOOKUP($E222,Preenchimento!$A$2:$BV$1048576,53,0),""))</f>
        <v/>
      </c>
      <c r="M222" s="96" t="str">
        <f>IFERROR(VLOOKUP($E222,Preenchimento!$A$2:$BV$1048576,74,0),"")</f>
        <v/>
      </c>
    </row>
    <row r="223" spans="1:13" x14ac:dyDescent="0.2">
      <c r="A223" s="96">
        <f>Sitio!$E$3</f>
        <v>0</v>
      </c>
      <c r="B223" s="96" t="str">
        <f>IFERROR(VLOOKUP($E223,Preenchimento!$A$2:$BV$1048576,2,0),"")</f>
        <v/>
      </c>
      <c r="C223" s="96" t="str">
        <f>IFERROR(VLOOKUP($E223,Preenchimento!$A$2:$BV$1048576,4,0),"")</f>
        <v/>
      </c>
      <c r="D223" s="96" t="str">
        <f>IFERROR(VLOOKUP($E223,Preenchimento!$A$2:$BV$1048576,3,0),"")</f>
        <v/>
      </c>
      <c r="E223" s="96">
        <v>221</v>
      </c>
      <c r="F223" s="96" t="str">
        <f>IFERROR(VLOOKUP($E223,Preenchimento!$A$2:$BV$1048576,7,0),"")</f>
        <v/>
      </c>
      <c r="G223" s="96" t="str">
        <f>IF(IFERROR(VLOOKUP($E223,Preenchimento!$A$2:$BV$1048576,8,0),"")=0,"",IFERROR(VLOOKUP($E223,Preenchimento!$A$2:$BV$1048576,8,0),""))</f>
        <v/>
      </c>
      <c r="H223" s="96" t="str">
        <f>IFERROR(VLOOKUP($E223,Preenchimento!$A$2:$BV$1048576,9,0),"")</f>
        <v/>
      </c>
      <c r="I223" s="96" t="str">
        <f>IFERROR(VLOOKUP($E223,Preenchimento!$A$2:$BV$1048576,10,0),"")</f>
        <v/>
      </c>
      <c r="J223" s="96" t="str">
        <f>IFERROR(VLOOKUP($E223,Preenchimento!$A$2:$BV$1048576,12,0),"")</f>
        <v/>
      </c>
      <c r="K223" s="96" t="str">
        <f>IFERROR(VLOOKUP($E223,Preenchimento!$A$2:$BV$1048576,6,0),"")</f>
        <v/>
      </c>
      <c r="L223" s="96" t="str">
        <f>IF(IFERROR(VLOOKUP($E223,Preenchimento!$A$2:$BV$1048576,53,0),"")=0,"",IFERROR(VLOOKUP($E223,Preenchimento!$A$2:$BV$1048576,53,0),""))</f>
        <v/>
      </c>
      <c r="M223" s="96" t="str">
        <f>IFERROR(VLOOKUP($E223,Preenchimento!$A$2:$BV$1048576,74,0),"")</f>
        <v/>
      </c>
    </row>
    <row r="224" spans="1:13" x14ac:dyDescent="0.2">
      <c r="A224" s="96">
        <f>Sitio!$E$3</f>
        <v>0</v>
      </c>
      <c r="B224" s="96" t="str">
        <f>IFERROR(VLOOKUP($E224,Preenchimento!$A$2:$BV$1048576,2,0),"")</f>
        <v/>
      </c>
      <c r="C224" s="96" t="str">
        <f>IFERROR(VLOOKUP($E224,Preenchimento!$A$2:$BV$1048576,4,0),"")</f>
        <v/>
      </c>
      <c r="D224" s="96" t="str">
        <f>IFERROR(VLOOKUP($E224,Preenchimento!$A$2:$BV$1048576,3,0),"")</f>
        <v/>
      </c>
      <c r="E224" s="96">
        <v>222</v>
      </c>
      <c r="F224" s="96" t="str">
        <f>IFERROR(VLOOKUP($E224,Preenchimento!$A$2:$BV$1048576,7,0),"")</f>
        <v/>
      </c>
      <c r="G224" s="96" t="str">
        <f>IF(IFERROR(VLOOKUP($E224,Preenchimento!$A$2:$BV$1048576,8,0),"")=0,"",IFERROR(VLOOKUP($E224,Preenchimento!$A$2:$BV$1048576,8,0),""))</f>
        <v/>
      </c>
      <c r="H224" s="96" t="str">
        <f>IFERROR(VLOOKUP($E224,Preenchimento!$A$2:$BV$1048576,9,0),"")</f>
        <v/>
      </c>
      <c r="I224" s="96" t="str">
        <f>IFERROR(VLOOKUP($E224,Preenchimento!$A$2:$BV$1048576,10,0),"")</f>
        <v/>
      </c>
      <c r="J224" s="96" t="str">
        <f>IFERROR(VLOOKUP($E224,Preenchimento!$A$2:$BV$1048576,12,0),"")</f>
        <v/>
      </c>
      <c r="K224" s="96" t="str">
        <f>IFERROR(VLOOKUP($E224,Preenchimento!$A$2:$BV$1048576,6,0),"")</f>
        <v/>
      </c>
      <c r="L224" s="96" t="str">
        <f>IF(IFERROR(VLOOKUP($E224,Preenchimento!$A$2:$BV$1048576,53,0),"")=0,"",IFERROR(VLOOKUP($E224,Preenchimento!$A$2:$BV$1048576,53,0),""))</f>
        <v/>
      </c>
      <c r="M224" s="96" t="str">
        <f>IFERROR(VLOOKUP($E224,Preenchimento!$A$2:$BV$1048576,74,0),"")</f>
        <v/>
      </c>
    </row>
    <row r="225" spans="1:13" x14ac:dyDescent="0.2">
      <c r="A225" s="96">
        <f>Sitio!$E$3</f>
        <v>0</v>
      </c>
      <c r="B225" s="96" t="str">
        <f>IFERROR(VLOOKUP($E225,Preenchimento!$A$2:$BV$1048576,2,0),"")</f>
        <v/>
      </c>
      <c r="C225" s="96" t="str">
        <f>IFERROR(VLOOKUP($E225,Preenchimento!$A$2:$BV$1048576,4,0),"")</f>
        <v/>
      </c>
      <c r="D225" s="96" t="str">
        <f>IFERROR(VLOOKUP($E225,Preenchimento!$A$2:$BV$1048576,3,0),"")</f>
        <v/>
      </c>
      <c r="E225" s="96">
        <v>223</v>
      </c>
      <c r="F225" s="96" t="str">
        <f>IFERROR(VLOOKUP($E225,Preenchimento!$A$2:$BV$1048576,7,0),"")</f>
        <v/>
      </c>
      <c r="G225" s="96" t="str">
        <f>IF(IFERROR(VLOOKUP($E225,Preenchimento!$A$2:$BV$1048576,8,0),"")=0,"",IFERROR(VLOOKUP($E225,Preenchimento!$A$2:$BV$1048576,8,0),""))</f>
        <v/>
      </c>
      <c r="H225" s="96" t="str">
        <f>IFERROR(VLOOKUP($E225,Preenchimento!$A$2:$BV$1048576,9,0),"")</f>
        <v/>
      </c>
      <c r="I225" s="96" t="str">
        <f>IFERROR(VLOOKUP($E225,Preenchimento!$A$2:$BV$1048576,10,0),"")</f>
        <v/>
      </c>
      <c r="J225" s="96" t="str">
        <f>IFERROR(VLOOKUP($E225,Preenchimento!$A$2:$BV$1048576,12,0),"")</f>
        <v/>
      </c>
      <c r="K225" s="96" t="str">
        <f>IFERROR(VLOOKUP($E225,Preenchimento!$A$2:$BV$1048576,6,0),"")</f>
        <v/>
      </c>
      <c r="L225" s="96" t="str">
        <f>IF(IFERROR(VLOOKUP($E225,Preenchimento!$A$2:$BV$1048576,53,0),"")=0,"",IFERROR(VLOOKUP($E225,Preenchimento!$A$2:$BV$1048576,53,0),""))</f>
        <v/>
      </c>
      <c r="M225" s="96" t="str">
        <f>IFERROR(VLOOKUP($E225,Preenchimento!$A$2:$BV$1048576,74,0),"")</f>
        <v/>
      </c>
    </row>
    <row r="226" spans="1:13" x14ac:dyDescent="0.2">
      <c r="A226" s="96">
        <f>Sitio!$E$3</f>
        <v>0</v>
      </c>
      <c r="B226" s="96" t="str">
        <f>IFERROR(VLOOKUP($E226,Preenchimento!$A$2:$BV$1048576,2,0),"")</f>
        <v/>
      </c>
      <c r="C226" s="96" t="str">
        <f>IFERROR(VLOOKUP($E226,Preenchimento!$A$2:$BV$1048576,4,0),"")</f>
        <v/>
      </c>
      <c r="D226" s="96" t="str">
        <f>IFERROR(VLOOKUP($E226,Preenchimento!$A$2:$BV$1048576,3,0),"")</f>
        <v/>
      </c>
      <c r="E226" s="96">
        <v>224</v>
      </c>
      <c r="F226" s="96" t="str">
        <f>IFERROR(VLOOKUP($E226,Preenchimento!$A$2:$BV$1048576,7,0),"")</f>
        <v/>
      </c>
      <c r="G226" s="96" t="str">
        <f>IF(IFERROR(VLOOKUP($E226,Preenchimento!$A$2:$BV$1048576,8,0),"")=0,"",IFERROR(VLOOKUP($E226,Preenchimento!$A$2:$BV$1048576,8,0),""))</f>
        <v/>
      </c>
      <c r="H226" s="96" t="str">
        <f>IFERROR(VLOOKUP($E226,Preenchimento!$A$2:$BV$1048576,9,0),"")</f>
        <v/>
      </c>
      <c r="I226" s="96" t="str">
        <f>IFERROR(VLOOKUP($E226,Preenchimento!$A$2:$BV$1048576,10,0),"")</f>
        <v/>
      </c>
      <c r="J226" s="96" t="str">
        <f>IFERROR(VLOOKUP($E226,Preenchimento!$A$2:$BV$1048576,12,0),"")</f>
        <v/>
      </c>
      <c r="K226" s="96" t="str">
        <f>IFERROR(VLOOKUP($E226,Preenchimento!$A$2:$BV$1048576,6,0),"")</f>
        <v/>
      </c>
      <c r="L226" s="96" t="str">
        <f>IF(IFERROR(VLOOKUP($E226,Preenchimento!$A$2:$BV$1048576,53,0),"")=0,"",IFERROR(VLOOKUP($E226,Preenchimento!$A$2:$BV$1048576,53,0),""))</f>
        <v/>
      </c>
      <c r="M226" s="96" t="str">
        <f>IFERROR(VLOOKUP($E226,Preenchimento!$A$2:$BV$1048576,74,0),"")</f>
        <v/>
      </c>
    </row>
    <row r="227" spans="1:13" x14ac:dyDescent="0.2">
      <c r="A227" s="96">
        <f>Sitio!$E$3</f>
        <v>0</v>
      </c>
      <c r="B227" s="96" t="str">
        <f>IFERROR(VLOOKUP($E227,Preenchimento!$A$2:$BV$1048576,2,0),"")</f>
        <v/>
      </c>
      <c r="C227" s="96" t="str">
        <f>IFERROR(VLOOKUP($E227,Preenchimento!$A$2:$BV$1048576,4,0),"")</f>
        <v/>
      </c>
      <c r="D227" s="96" t="str">
        <f>IFERROR(VLOOKUP($E227,Preenchimento!$A$2:$BV$1048576,3,0),"")</f>
        <v/>
      </c>
      <c r="E227" s="96">
        <v>225</v>
      </c>
      <c r="F227" s="96" t="str">
        <f>IFERROR(VLOOKUP($E227,Preenchimento!$A$2:$BV$1048576,7,0),"")</f>
        <v/>
      </c>
      <c r="G227" s="96" t="str">
        <f>IF(IFERROR(VLOOKUP($E227,Preenchimento!$A$2:$BV$1048576,8,0),"")=0,"",IFERROR(VLOOKUP($E227,Preenchimento!$A$2:$BV$1048576,8,0),""))</f>
        <v/>
      </c>
      <c r="H227" s="96" t="str">
        <f>IFERROR(VLOOKUP($E227,Preenchimento!$A$2:$BV$1048576,9,0),"")</f>
        <v/>
      </c>
      <c r="I227" s="96" t="str">
        <f>IFERROR(VLOOKUP($E227,Preenchimento!$A$2:$BV$1048576,10,0),"")</f>
        <v/>
      </c>
      <c r="J227" s="96" t="str">
        <f>IFERROR(VLOOKUP($E227,Preenchimento!$A$2:$BV$1048576,12,0),"")</f>
        <v/>
      </c>
      <c r="K227" s="96" t="str">
        <f>IFERROR(VLOOKUP($E227,Preenchimento!$A$2:$BV$1048576,6,0),"")</f>
        <v/>
      </c>
      <c r="L227" s="96" t="str">
        <f>IF(IFERROR(VLOOKUP($E227,Preenchimento!$A$2:$BV$1048576,53,0),"")=0,"",IFERROR(VLOOKUP($E227,Preenchimento!$A$2:$BV$1048576,53,0),""))</f>
        <v/>
      </c>
      <c r="M227" s="96" t="str">
        <f>IFERROR(VLOOKUP($E227,Preenchimento!$A$2:$BV$1048576,74,0),"")</f>
        <v/>
      </c>
    </row>
    <row r="228" spans="1:13" x14ac:dyDescent="0.2">
      <c r="A228" s="96">
        <f>Sitio!$E$3</f>
        <v>0</v>
      </c>
      <c r="B228" s="96" t="str">
        <f>IFERROR(VLOOKUP($E228,Preenchimento!$A$2:$BV$1048576,2,0),"")</f>
        <v/>
      </c>
      <c r="C228" s="96" t="str">
        <f>IFERROR(VLOOKUP($E228,Preenchimento!$A$2:$BV$1048576,4,0),"")</f>
        <v/>
      </c>
      <c r="D228" s="96" t="str">
        <f>IFERROR(VLOOKUP($E228,Preenchimento!$A$2:$BV$1048576,3,0),"")</f>
        <v/>
      </c>
      <c r="E228" s="96">
        <v>226</v>
      </c>
      <c r="F228" s="96" t="str">
        <f>IFERROR(VLOOKUP($E228,Preenchimento!$A$2:$BV$1048576,7,0),"")</f>
        <v/>
      </c>
      <c r="G228" s="96" t="str">
        <f>IF(IFERROR(VLOOKUP($E228,Preenchimento!$A$2:$BV$1048576,8,0),"")=0,"",IFERROR(VLOOKUP($E228,Preenchimento!$A$2:$BV$1048576,8,0),""))</f>
        <v/>
      </c>
      <c r="H228" s="96" t="str">
        <f>IFERROR(VLOOKUP($E228,Preenchimento!$A$2:$BV$1048576,9,0),"")</f>
        <v/>
      </c>
      <c r="I228" s="96" t="str">
        <f>IFERROR(VLOOKUP($E228,Preenchimento!$A$2:$BV$1048576,10,0),"")</f>
        <v/>
      </c>
      <c r="J228" s="96" t="str">
        <f>IFERROR(VLOOKUP($E228,Preenchimento!$A$2:$BV$1048576,12,0),"")</f>
        <v/>
      </c>
      <c r="K228" s="96" t="str">
        <f>IFERROR(VLOOKUP($E228,Preenchimento!$A$2:$BV$1048576,6,0),"")</f>
        <v/>
      </c>
      <c r="L228" s="96" t="str">
        <f>IF(IFERROR(VLOOKUP($E228,Preenchimento!$A$2:$BV$1048576,53,0),"")=0,"",IFERROR(VLOOKUP($E228,Preenchimento!$A$2:$BV$1048576,53,0),""))</f>
        <v/>
      </c>
      <c r="M228" s="96" t="str">
        <f>IFERROR(VLOOKUP($E228,Preenchimento!$A$2:$BV$1048576,74,0),"")</f>
        <v/>
      </c>
    </row>
    <row r="229" spans="1:13" x14ac:dyDescent="0.2">
      <c r="A229" s="96">
        <f>Sitio!$E$3</f>
        <v>0</v>
      </c>
      <c r="B229" s="96" t="str">
        <f>IFERROR(VLOOKUP($E229,Preenchimento!$A$2:$BV$1048576,2,0),"")</f>
        <v/>
      </c>
      <c r="C229" s="96" t="str">
        <f>IFERROR(VLOOKUP($E229,Preenchimento!$A$2:$BV$1048576,4,0),"")</f>
        <v/>
      </c>
      <c r="D229" s="96" t="str">
        <f>IFERROR(VLOOKUP($E229,Preenchimento!$A$2:$BV$1048576,3,0),"")</f>
        <v/>
      </c>
      <c r="E229" s="96">
        <v>227</v>
      </c>
      <c r="F229" s="96" t="str">
        <f>IFERROR(VLOOKUP($E229,Preenchimento!$A$2:$BV$1048576,7,0),"")</f>
        <v/>
      </c>
      <c r="G229" s="96" t="str">
        <f>IF(IFERROR(VLOOKUP($E229,Preenchimento!$A$2:$BV$1048576,8,0),"")=0,"",IFERROR(VLOOKUP($E229,Preenchimento!$A$2:$BV$1048576,8,0),""))</f>
        <v/>
      </c>
      <c r="H229" s="96" t="str">
        <f>IFERROR(VLOOKUP($E229,Preenchimento!$A$2:$BV$1048576,9,0),"")</f>
        <v/>
      </c>
      <c r="I229" s="96" t="str">
        <f>IFERROR(VLOOKUP($E229,Preenchimento!$A$2:$BV$1048576,10,0),"")</f>
        <v/>
      </c>
      <c r="J229" s="96" t="str">
        <f>IFERROR(VLOOKUP($E229,Preenchimento!$A$2:$BV$1048576,12,0),"")</f>
        <v/>
      </c>
      <c r="K229" s="96" t="str">
        <f>IFERROR(VLOOKUP($E229,Preenchimento!$A$2:$BV$1048576,6,0),"")</f>
        <v/>
      </c>
      <c r="L229" s="96" t="str">
        <f>IF(IFERROR(VLOOKUP($E229,Preenchimento!$A$2:$BV$1048576,53,0),"")=0,"",IFERROR(VLOOKUP($E229,Preenchimento!$A$2:$BV$1048576,53,0),""))</f>
        <v/>
      </c>
      <c r="M229" s="96" t="str">
        <f>IFERROR(VLOOKUP($E229,Preenchimento!$A$2:$BV$1048576,74,0),"")</f>
        <v/>
      </c>
    </row>
    <row r="230" spans="1:13" x14ac:dyDescent="0.2">
      <c r="A230" s="96">
        <f>Sitio!$E$3</f>
        <v>0</v>
      </c>
      <c r="B230" s="96" t="str">
        <f>IFERROR(VLOOKUP($E230,Preenchimento!$A$2:$BV$1048576,2,0),"")</f>
        <v/>
      </c>
      <c r="C230" s="96" t="str">
        <f>IFERROR(VLOOKUP($E230,Preenchimento!$A$2:$BV$1048576,4,0),"")</f>
        <v/>
      </c>
      <c r="D230" s="96" t="str">
        <f>IFERROR(VLOOKUP($E230,Preenchimento!$A$2:$BV$1048576,3,0),"")</f>
        <v/>
      </c>
      <c r="E230" s="96">
        <v>228</v>
      </c>
      <c r="F230" s="96" t="str">
        <f>IFERROR(VLOOKUP($E230,Preenchimento!$A$2:$BV$1048576,7,0),"")</f>
        <v/>
      </c>
      <c r="G230" s="96" t="str">
        <f>IF(IFERROR(VLOOKUP($E230,Preenchimento!$A$2:$BV$1048576,8,0),"")=0,"",IFERROR(VLOOKUP($E230,Preenchimento!$A$2:$BV$1048576,8,0),""))</f>
        <v/>
      </c>
      <c r="H230" s="96" t="str">
        <f>IFERROR(VLOOKUP($E230,Preenchimento!$A$2:$BV$1048576,9,0),"")</f>
        <v/>
      </c>
      <c r="I230" s="96" t="str">
        <f>IFERROR(VLOOKUP($E230,Preenchimento!$A$2:$BV$1048576,10,0),"")</f>
        <v/>
      </c>
      <c r="J230" s="96" t="str">
        <f>IFERROR(VLOOKUP($E230,Preenchimento!$A$2:$BV$1048576,12,0),"")</f>
        <v/>
      </c>
      <c r="K230" s="96" t="str">
        <f>IFERROR(VLOOKUP($E230,Preenchimento!$A$2:$BV$1048576,6,0),"")</f>
        <v/>
      </c>
      <c r="L230" s="96" t="str">
        <f>IF(IFERROR(VLOOKUP($E230,Preenchimento!$A$2:$BV$1048576,53,0),"")=0,"",IFERROR(VLOOKUP($E230,Preenchimento!$A$2:$BV$1048576,53,0),""))</f>
        <v/>
      </c>
      <c r="M230" s="96" t="str">
        <f>IFERROR(VLOOKUP($E230,Preenchimento!$A$2:$BV$1048576,74,0),"")</f>
        <v/>
      </c>
    </row>
    <row r="231" spans="1:13" x14ac:dyDescent="0.2">
      <c r="A231" s="96">
        <f>Sitio!$E$3</f>
        <v>0</v>
      </c>
      <c r="B231" s="96" t="str">
        <f>IFERROR(VLOOKUP($E231,Preenchimento!$A$2:$BV$1048576,2,0),"")</f>
        <v/>
      </c>
      <c r="C231" s="96" t="str">
        <f>IFERROR(VLOOKUP($E231,Preenchimento!$A$2:$BV$1048576,4,0),"")</f>
        <v/>
      </c>
      <c r="D231" s="96" t="str">
        <f>IFERROR(VLOOKUP($E231,Preenchimento!$A$2:$BV$1048576,3,0),"")</f>
        <v/>
      </c>
      <c r="E231" s="96">
        <v>229</v>
      </c>
      <c r="F231" s="96" t="str">
        <f>IFERROR(VLOOKUP($E231,Preenchimento!$A$2:$BV$1048576,7,0),"")</f>
        <v/>
      </c>
      <c r="G231" s="96" t="str">
        <f>IF(IFERROR(VLOOKUP($E231,Preenchimento!$A$2:$BV$1048576,8,0),"")=0,"",IFERROR(VLOOKUP($E231,Preenchimento!$A$2:$BV$1048576,8,0),""))</f>
        <v/>
      </c>
      <c r="H231" s="96" t="str">
        <f>IFERROR(VLOOKUP($E231,Preenchimento!$A$2:$BV$1048576,9,0),"")</f>
        <v/>
      </c>
      <c r="I231" s="96" t="str">
        <f>IFERROR(VLOOKUP($E231,Preenchimento!$A$2:$BV$1048576,10,0),"")</f>
        <v/>
      </c>
      <c r="J231" s="96" t="str">
        <f>IFERROR(VLOOKUP($E231,Preenchimento!$A$2:$BV$1048576,12,0),"")</f>
        <v/>
      </c>
      <c r="K231" s="96" t="str">
        <f>IFERROR(VLOOKUP($E231,Preenchimento!$A$2:$BV$1048576,6,0),"")</f>
        <v/>
      </c>
      <c r="L231" s="96" t="str">
        <f>IF(IFERROR(VLOOKUP($E231,Preenchimento!$A$2:$BV$1048576,53,0),"")=0,"",IFERROR(VLOOKUP($E231,Preenchimento!$A$2:$BV$1048576,53,0),""))</f>
        <v/>
      </c>
      <c r="M231" s="96" t="str">
        <f>IFERROR(VLOOKUP($E231,Preenchimento!$A$2:$BV$1048576,74,0),"")</f>
        <v/>
      </c>
    </row>
    <row r="232" spans="1:13" x14ac:dyDescent="0.2">
      <c r="A232" s="96">
        <f>Sitio!$E$3</f>
        <v>0</v>
      </c>
      <c r="B232" s="96" t="str">
        <f>IFERROR(VLOOKUP($E232,Preenchimento!$A$2:$BV$1048576,2,0),"")</f>
        <v/>
      </c>
      <c r="C232" s="96" t="str">
        <f>IFERROR(VLOOKUP($E232,Preenchimento!$A$2:$BV$1048576,4,0),"")</f>
        <v/>
      </c>
      <c r="D232" s="96" t="str">
        <f>IFERROR(VLOOKUP($E232,Preenchimento!$A$2:$BV$1048576,3,0),"")</f>
        <v/>
      </c>
      <c r="E232" s="96">
        <v>230</v>
      </c>
      <c r="F232" s="96" t="str">
        <f>IFERROR(VLOOKUP($E232,Preenchimento!$A$2:$BV$1048576,7,0),"")</f>
        <v/>
      </c>
      <c r="G232" s="96" t="str">
        <f>IF(IFERROR(VLOOKUP($E232,Preenchimento!$A$2:$BV$1048576,8,0),"")=0,"",IFERROR(VLOOKUP($E232,Preenchimento!$A$2:$BV$1048576,8,0),""))</f>
        <v/>
      </c>
      <c r="H232" s="96" t="str">
        <f>IFERROR(VLOOKUP($E232,Preenchimento!$A$2:$BV$1048576,9,0),"")</f>
        <v/>
      </c>
      <c r="I232" s="96" t="str">
        <f>IFERROR(VLOOKUP($E232,Preenchimento!$A$2:$BV$1048576,10,0),"")</f>
        <v/>
      </c>
      <c r="J232" s="96" t="str">
        <f>IFERROR(VLOOKUP($E232,Preenchimento!$A$2:$BV$1048576,12,0),"")</f>
        <v/>
      </c>
      <c r="K232" s="96" t="str">
        <f>IFERROR(VLOOKUP($E232,Preenchimento!$A$2:$BV$1048576,6,0),"")</f>
        <v/>
      </c>
      <c r="L232" s="96" t="str">
        <f>IF(IFERROR(VLOOKUP($E232,Preenchimento!$A$2:$BV$1048576,53,0),"")=0,"",IFERROR(VLOOKUP($E232,Preenchimento!$A$2:$BV$1048576,53,0),""))</f>
        <v/>
      </c>
      <c r="M232" s="96" t="str">
        <f>IFERROR(VLOOKUP($E232,Preenchimento!$A$2:$BV$1048576,74,0),"")</f>
        <v/>
      </c>
    </row>
    <row r="233" spans="1:13" x14ac:dyDescent="0.2">
      <c r="A233" s="96">
        <f>Sitio!$E$3</f>
        <v>0</v>
      </c>
      <c r="B233" s="96" t="str">
        <f>IFERROR(VLOOKUP($E233,Preenchimento!$A$2:$BV$1048576,2,0),"")</f>
        <v/>
      </c>
      <c r="C233" s="96" t="str">
        <f>IFERROR(VLOOKUP($E233,Preenchimento!$A$2:$BV$1048576,4,0),"")</f>
        <v/>
      </c>
      <c r="D233" s="96" t="str">
        <f>IFERROR(VLOOKUP($E233,Preenchimento!$A$2:$BV$1048576,3,0),"")</f>
        <v/>
      </c>
      <c r="E233" s="96">
        <v>231</v>
      </c>
      <c r="F233" s="96" t="str">
        <f>IFERROR(VLOOKUP($E233,Preenchimento!$A$2:$BV$1048576,7,0),"")</f>
        <v/>
      </c>
      <c r="G233" s="96" t="str">
        <f>IF(IFERROR(VLOOKUP($E233,Preenchimento!$A$2:$BV$1048576,8,0),"")=0,"",IFERROR(VLOOKUP($E233,Preenchimento!$A$2:$BV$1048576,8,0),""))</f>
        <v/>
      </c>
      <c r="H233" s="96" t="str">
        <f>IFERROR(VLOOKUP($E233,Preenchimento!$A$2:$BV$1048576,9,0),"")</f>
        <v/>
      </c>
      <c r="I233" s="96" t="str">
        <f>IFERROR(VLOOKUP($E233,Preenchimento!$A$2:$BV$1048576,10,0),"")</f>
        <v/>
      </c>
      <c r="J233" s="96" t="str">
        <f>IFERROR(VLOOKUP($E233,Preenchimento!$A$2:$BV$1048576,12,0),"")</f>
        <v/>
      </c>
      <c r="K233" s="96" t="str">
        <f>IFERROR(VLOOKUP($E233,Preenchimento!$A$2:$BV$1048576,6,0),"")</f>
        <v/>
      </c>
      <c r="L233" s="96" t="str">
        <f>IF(IFERROR(VLOOKUP($E233,Preenchimento!$A$2:$BV$1048576,53,0),"")=0,"",IFERROR(VLOOKUP($E233,Preenchimento!$A$2:$BV$1048576,53,0),""))</f>
        <v/>
      </c>
      <c r="M233" s="96" t="str">
        <f>IFERROR(VLOOKUP($E233,Preenchimento!$A$2:$BV$1048576,74,0),"")</f>
        <v/>
      </c>
    </row>
    <row r="234" spans="1:13" x14ac:dyDescent="0.2">
      <c r="A234" s="96">
        <f>Sitio!$E$3</f>
        <v>0</v>
      </c>
      <c r="B234" s="96" t="str">
        <f>IFERROR(VLOOKUP($E234,Preenchimento!$A$2:$BV$1048576,2,0),"")</f>
        <v/>
      </c>
      <c r="C234" s="96" t="str">
        <f>IFERROR(VLOOKUP($E234,Preenchimento!$A$2:$BV$1048576,4,0),"")</f>
        <v/>
      </c>
      <c r="D234" s="96" t="str">
        <f>IFERROR(VLOOKUP($E234,Preenchimento!$A$2:$BV$1048576,3,0),"")</f>
        <v/>
      </c>
      <c r="E234" s="96">
        <v>232</v>
      </c>
      <c r="F234" s="96" t="str">
        <f>IFERROR(VLOOKUP($E234,Preenchimento!$A$2:$BV$1048576,7,0),"")</f>
        <v/>
      </c>
      <c r="G234" s="96" t="str">
        <f>IF(IFERROR(VLOOKUP($E234,Preenchimento!$A$2:$BV$1048576,8,0),"")=0,"",IFERROR(VLOOKUP($E234,Preenchimento!$A$2:$BV$1048576,8,0),""))</f>
        <v/>
      </c>
      <c r="H234" s="96" t="str">
        <f>IFERROR(VLOOKUP($E234,Preenchimento!$A$2:$BV$1048576,9,0),"")</f>
        <v/>
      </c>
      <c r="I234" s="96" t="str">
        <f>IFERROR(VLOOKUP($E234,Preenchimento!$A$2:$BV$1048576,10,0),"")</f>
        <v/>
      </c>
      <c r="J234" s="96" t="str">
        <f>IFERROR(VLOOKUP($E234,Preenchimento!$A$2:$BV$1048576,12,0),"")</f>
        <v/>
      </c>
      <c r="K234" s="96" t="str">
        <f>IFERROR(VLOOKUP($E234,Preenchimento!$A$2:$BV$1048576,6,0),"")</f>
        <v/>
      </c>
      <c r="L234" s="96" t="str">
        <f>IF(IFERROR(VLOOKUP($E234,Preenchimento!$A$2:$BV$1048576,53,0),"")=0,"",IFERROR(VLOOKUP($E234,Preenchimento!$A$2:$BV$1048576,53,0),""))</f>
        <v/>
      </c>
      <c r="M234" s="96" t="str">
        <f>IFERROR(VLOOKUP($E234,Preenchimento!$A$2:$BV$1048576,74,0),"")</f>
        <v/>
      </c>
    </row>
    <row r="235" spans="1:13" x14ac:dyDescent="0.2">
      <c r="A235" s="96">
        <f>Sitio!$E$3</f>
        <v>0</v>
      </c>
      <c r="B235" s="96" t="str">
        <f>IFERROR(VLOOKUP($E235,Preenchimento!$A$2:$BV$1048576,2,0),"")</f>
        <v/>
      </c>
      <c r="C235" s="96" t="str">
        <f>IFERROR(VLOOKUP($E235,Preenchimento!$A$2:$BV$1048576,4,0),"")</f>
        <v/>
      </c>
      <c r="D235" s="96" t="str">
        <f>IFERROR(VLOOKUP($E235,Preenchimento!$A$2:$BV$1048576,3,0),"")</f>
        <v/>
      </c>
      <c r="E235" s="96">
        <v>233</v>
      </c>
      <c r="F235" s="96" t="str">
        <f>IFERROR(VLOOKUP($E235,Preenchimento!$A$2:$BV$1048576,7,0),"")</f>
        <v/>
      </c>
      <c r="G235" s="96" t="str">
        <f>IF(IFERROR(VLOOKUP($E235,Preenchimento!$A$2:$BV$1048576,8,0),"")=0,"",IFERROR(VLOOKUP($E235,Preenchimento!$A$2:$BV$1048576,8,0),""))</f>
        <v/>
      </c>
      <c r="H235" s="96" t="str">
        <f>IFERROR(VLOOKUP($E235,Preenchimento!$A$2:$BV$1048576,9,0),"")</f>
        <v/>
      </c>
      <c r="I235" s="96" t="str">
        <f>IFERROR(VLOOKUP($E235,Preenchimento!$A$2:$BV$1048576,10,0),"")</f>
        <v/>
      </c>
      <c r="J235" s="96" t="str">
        <f>IFERROR(VLOOKUP($E235,Preenchimento!$A$2:$BV$1048576,12,0),"")</f>
        <v/>
      </c>
      <c r="K235" s="96" t="str">
        <f>IFERROR(VLOOKUP($E235,Preenchimento!$A$2:$BV$1048576,6,0),"")</f>
        <v/>
      </c>
      <c r="L235" s="96" t="str">
        <f>IF(IFERROR(VLOOKUP($E235,Preenchimento!$A$2:$BV$1048576,53,0),"")=0,"",IFERROR(VLOOKUP($E235,Preenchimento!$A$2:$BV$1048576,53,0),""))</f>
        <v/>
      </c>
      <c r="M235" s="96" t="str">
        <f>IFERROR(VLOOKUP($E235,Preenchimento!$A$2:$BV$1048576,74,0),"")</f>
        <v/>
      </c>
    </row>
    <row r="236" spans="1:13" x14ac:dyDescent="0.2">
      <c r="A236" s="96">
        <f>Sitio!$E$3</f>
        <v>0</v>
      </c>
      <c r="B236" s="96" t="str">
        <f>IFERROR(VLOOKUP($E236,Preenchimento!$A$2:$BV$1048576,2,0),"")</f>
        <v/>
      </c>
      <c r="C236" s="96" t="str">
        <f>IFERROR(VLOOKUP($E236,Preenchimento!$A$2:$BV$1048576,4,0),"")</f>
        <v/>
      </c>
      <c r="D236" s="96" t="str">
        <f>IFERROR(VLOOKUP($E236,Preenchimento!$A$2:$BV$1048576,3,0),"")</f>
        <v/>
      </c>
      <c r="E236" s="96">
        <v>234</v>
      </c>
      <c r="F236" s="96" t="str">
        <f>IFERROR(VLOOKUP($E236,Preenchimento!$A$2:$BV$1048576,7,0),"")</f>
        <v/>
      </c>
      <c r="G236" s="96" t="str">
        <f>IF(IFERROR(VLOOKUP($E236,Preenchimento!$A$2:$BV$1048576,8,0),"")=0,"",IFERROR(VLOOKUP($E236,Preenchimento!$A$2:$BV$1048576,8,0),""))</f>
        <v/>
      </c>
      <c r="H236" s="96" t="str">
        <f>IFERROR(VLOOKUP($E236,Preenchimento!$A$2:$BV$1048576,9,0),"")</f>
        <v/>
      </c>
      <c r="I236" s="96" t="str">
        <f>IFERROR(VLOOKUP($E236,Preenchimento!$A$2:$BV$1048576,10,0),"")</f>
        <v/>
      </c>
      <c r="J236" s="96" t="str">
        <f>IFERROR(VLOOKUP($E236,Preenchimento!$A$2:$BV$1048576,12,0),"")</f>
        <v/>
      </c>
      <c r="K236" s="96" t="str">
        <f>IFERROR(VLOOKUP($E236,Preenchimento!$A$2:$BV$1048576,6,0),"")</f>
        <v/>
      </c>
      <c r="L236" s="96" t="str">
        <f>IF(IFERROR(VLOOKUP($E236,Preenchimento!$A$2:$BV$1048576,53,0),"")=0,"",IFERROR(VLOOKUP($E236,Preenchimento!$A$2:$BV$1048576,53,0),""))</f>
        <v/>
      </c>
      <c r="M236" s="96" t="str">
        <f>IFERROR(VLOOKUP($E236,Preenchimento!$A$2:$BV$1048576,74,0),"")</f>
        <v/>
      </c>
    </row>
    <row r="237" spans="1:13" x14ac:dyDescent="0.2">
      <c r="A237" s="96">
        <f>Sitio!$E$3</f>
        <v>0</v>
      </c>
      <c r="B237" s="96" t="str">
        <f>IFERROR(VLOOKUP($E237,Preenchimento!$A$2:$BV$1048576,2,0),"")</f>
        <v/>
      </c>
      <c r="C237" s="96" t="str">
        <f>IFERROR(VLOOKUP($E237,Preenchimento!$A$2:$BV$1048576,4,0),"")</f>
        <v/>
      </c>
      <c r="D237" s="96" t="str">
        <f>IFERROR(VLOOKUP($E237,Preenchimento!$A$2:$BV$1048576,3,0),"")</f>
        <v/>
      </c>
      <c r="E237" s="96">
        <v>235</v>
      </c>
      <c r="F237" s="96" t="str">
        <f>IFERROR(VLOOKUP($E237,Preenchimento!$A$2:$BV$1048576,7,0),"")</f>
        <v/>
      </c>
      <c r="G237" s="96" t="str">
        <f>IF(IFERROR(VLOOKUP($E237,Preenchimento!$A$2:$BV$1048576,8,0),"")=0,"",IFERROR(VLOOKUP($E237,Preenchimento!$A$2:$BV$1048576,8,0),""))</f>
        <v/>
      </c>
      <c r="H237" s="96" t="str">
        <f>IFERROR(VLOOKUP($E237,Preenchimento!$A$2:$BV$1048576,9,0),"")</f>
        <v/>
      </c>
      <c r="I237" s="96" t="str">
        <f>IFERROR(VLOOKUP($E237,Preenchimento!$A$2:$BV$1048576,10,0),"")</f>
        <v/>
      </c>
      <c r="J237" s="96" t="str">
        <f>IFERROR(VLOOKUP($E237,Preenchimento!$A$2:$BV$1048576,12,0),"")</f>
        <v/>
      </c>
      <c r="K237" s="96" t="str">
        <f>IFERROR(VLOOKUP($E237,Preenchimento!$A$2:$BV$1048576,6,0),"")</f>
        <v/>
      </c>
      <c r="L237" s="96" t="str">
        <f>IF(IFERROR(VLOOKUP($E237,Preenchimento!$A$2:$BV$1048576,53,0),"")=0,"",IFERROR(VLOOKUP($E237,Preenchimento!$A$2:$BV$1048576,53,0),""))</f>
        <v/>
      </c>
      <c r="M237" s="96" t="str">
        <f>IFERROR(VLOOKUP($E237,Preenchimento!$A$2:$BV$1048576,74,0),"")</f>
        <v/>
      </c>
    </row>
    <row r="238" spans="1:13" x14ac:dyDescent="0.2">
      <c r="A238" s="96">
        <f>Sitio!$E$3</f>
        <v>0</v>
      </c>
      <c r="B238" s="96" t="str">
        <f>IFERROR(VLOOKUP($E238,Preenchimento!$A$2:$BV$1048576,2,0),"")</f>
        <v/>
      </c>
      <c r="C238" s="96" t="str">
        <f>IFERROR(VLOOKUP($E238,Preenchimento!$A$2:$BV$1048576,4,0),"")</f>
        <v/>
      </c>
      <c r="D238" s="96" t="str">
        <f>IFERROR(VLOOKUP($E238,Preenchimento!$A$2:$BV$1048576,3,0),"")</f>
        <v/>
      </c>
      <c r="E238" s="96">
        <v>236</v>
      </c>
      <c r="F238" s="96" t="str">
        <f>IFERROR(VLOOKUP($E238,Preenchimento!$A$2:$BV$1048576,7,0),"")</f>
        <v/>
      </c>
      <c r="G238" s="96" t="str">
        <f>IF(IFERROR(VLOOKUP($E238,Preenchimento!$A$2:$BV$1048576,8,0),"")=0,"",IFERROR(VLOOKUP($E238,Preenchimento!$A$2:$BV$1048576,8,0),""))</f>
        <v/>
      </c>
      <c r="H238" s="96" t="str">
        <f>IFERROR(VLOOKUP($E238,Preenchimento!$A$2:$BV$1048576,9,0),"")</f>
        <v/>
      </c>
      <c r="I238" s="96" t="str">
        <f>IFERROR(VLOOKUP($E238,Preenchimento!$A$2:$BV$1048576,10,0),"")</f>
        <v/>
      </c>
      <c r="J238" s="96" t="str">
        <f>IFERROR(VLOOKUP($E238,Preenchimento!$A$2:$BV$1048576,12,0),"")</f>
        <v/>
      </c>
      <c r="K238" s="96" t="str">
        <f>IFERROR(VLOOKUP($E238,Preenchimento!$A$2:$BV$1048576,6,0),"")</f>
        <v/>
      </c>
      <c r="L238" s="96" t="str">
        <f>IF(IFERROR(VLOOKUP($E238,Preenchimento!$A$2:$BV$1048576,53,0),"")=0,"",IFERROR(VLOOKUP($E238,Preenchimento!$A$2:$BV$1048576,53,0),""))</f>
        <v/>
      </c>
      <c r="M238" s="96" t="str">
        <f>IFERROR(VLOOKUP($E238,Preenchimento!$A$2:$BV$1048576,74,0),"")</f>
        <v/>
      </c>
    </row>
    <row r="239" spans="1:13" x14ac:dyDescent="0.2">
      <c r="A239" s="96">
        <f>Sitio!$E$3</f>
        <v>0</v>
      </c>
      <c r="B239" s="96" t="str">
        <f>IFERROR(VLOOKUP($E239,Preenchimento!$A$2:$BV$1048576,2,0),"")</f>
        <v/>
      </c>
      <c r="C239" s="96" t="str">
        <f>IFERROR(VLOOKUP($E239,Preenchimento!$A$2:$BV$1048576,4,0),"")</f>
        <v/>
      </c>
      <c r="D239" s="96" t="str">
        <f>IFERROR(VLOOKUP($E239,Preenchimento!$A$2:$BV$1048576,3,0),"")</f>
        <v/>
      </c>
      <c r="E239" s="96">
        <v>237</v>
      </c>
      <c r="F239" s="96" t="str">
        <f>IFERROR(VLOOKUP($E239,Preenchimento!$A$2:$BV$1048576,7,0),"")</f>
        <v/>
      </c>
      <c r="G239" s="96" t="str">
        <f>IF(IFERROR(VLOOKUP($E239,Preenchimento!$A$2:$BV$1048576,8,0),"")=0,"",IFERROR(VLOOKUP($E239,Preenchimento!$A$2:$BV$1048576,8,0),""))</f>
        <v/>
      </c>
      <c r="H239" s="96" t="str">
        <f>IFERROR(VLOOKUP($E239,Preenchimento!$A$2:$BV$1048576,9,0),"")</f>
        <v/>
      </c>
      <c r="I239" s="96" t="str">
        <f>IFERROR(VLOOKUP($E239,Preenchimento!$A$2:$BV$1048576,10,0),"")</f>
        <v/>
      </c>
      <c r="J239" s="96" t="str">
        <f>IFERROR(VLOOKUP($E239,Preenchimento!$A$2:$BV$1048576,12,0),"")</f>
        <v/>
      </c>
      <c r="K239" s="96" t="str">
        <f>IFERROR(VLOOKUP($E239,Preenchimento!$A$2:$BV$1048576,6,0),"")</f>
        <v/>
      </c>
      <c r="L239" s="96" t="str">
        <f>IF(IFERROR(VLOOKUP($E239,Preenchimento!$A$2:$BV$1048576,53,0),"")=0,"",IFERROR(VLOOKUP($E239,Preenchimento!$A$2:$BV$1048576,53,0),""))</f>
        <v/>
      </c>
      <c r="M239" s="96" t="str">
        <f>IFERROR(VLOOKUP($E239,Preenchimento!$A$2:$BV$1048576,74,0),"")</f>
        <v/>
      </c>
    </row>
    <row r="240" spans="1:13" x14ac:dyDescent="0.2">
      <c r="A240" s="96">
        <f>Sitio!$E$3</f>
        <v>0</v>
      </c>
      <c r="B240" s="96" t="str">
        <f>IFERROR(VLOOKUP($E240,Preenchimento!$A$2:$BV$1048576,2,0),"")</f>
        <v/>
      </c>
      <c r="C240" s="96" t="str">
        <f>IFERROR(VLOOKUP($E240,Preenchimento!$A$2:$BV$1048576,4,0),"")</f>
        <v/>
      </c>
      <c r="D240" s="96" t="str">
        <f>IFERROR(VLOOKUP($E240,Preenchimento!$A$2:$BV$1048576,3,0),"")</f>
        <v/>
      </c>
      <c r="E240" s="96">
        <v>238</v>
      </c>
      <c r="F240" s="96" t="str">
        <f>IFERROR(VLOOKUP($E240,Preenchimento!$A$2:$BV$1048576,7,0),"")</f>
        <v/>
      </c>
      <c r="G240" s="96" t="str">
        <f>IF(IFERROR(VLOOKUP($E240,Preenchimento!$A$2:$BV$1048576,8,0),"")=0,"",IFERROR(VLOOKUP($E240,Preenchimento!$A$2:$BV$1048576,8,0),""))</f>
        <v/>
      </c>
      <c r="H240" s="96" t="str">
        <f>IFERROR(VLOOKUP($E240,Preenchimento!$A$2:$BV$1048576,9,0),"")</f>
        <v/>
      </c>
      <c r="I240" s="96" t="str">
        <f>IFERROR(VLOOKUP($E240,Preenchimento!$A$2:$BV$1048576,10,0),"")</f>
        <v/>
      </c>
      <c r="J240" s="96" t="str">
        <f>IFERROR(VLOOKUP($E240,Preenchimento!$A$2:$BV$1048576,12,0),"")</f>
        <v/>
      </c>
      <c r="K240" s="96" t="str">
        <f>IFERROR(VLOOKUP($E240,Preenchimento!$A$2:$BV$1048576,6,0),"")</f>
        <v/>
      </c>
      <c r="L240" s="96" t="str">
        <f>IF(IFERROR(VLOOKUP($E240,Preenchimento!$A$2:$BV$1048576,53,0),"")=0,"",IFERROR(VLOOKUP($E240,Preenchimento!$A$2:$BV$1048576,53,0),""))</f>
        <v/>
      </c>
      <c r="M240" s="96" t="str">
        <f>IFERROR(VLOOKUP($E240,Preenchimento!$A$2:$BV$1048576,74,0),"")</f>
        <v/>
      </c>
    </row>
    <row r="241" spans="1:13" x14ac:dyDescent="0.2">
      <c r="A241" s="96">
        <f>Sitio!$E$3</f>
        <v>0</v>
      </c>
      <c r="B241" s="96" t="str">
        <f>IFERROR(VLOOKUP($E241,Preenchimento!$A$2:$BV$1048576,2,0),"")</f>
        <v/>
      </c>
      <c r="C241" s="96" t="str">
        <f>IFERROR(VLOOKUP($E241,Preenchimento!$A$2:$BV$1048576,4,0),"")</f>
        <v/>
      </c>
      <c r="D241" s="96" t="str">
        <f>IFERROR(VLOOKUP($E241,Preenchimento!$A$2:$BV$1048576,3,0),"")</f>
        <v/>
      </c>
      <c r="E241" s="96">
        <v>239</v>
      </c>
      <c r="F241" s="96" t="str">
        <f>IFERROR(VLOOKUP($E241,Preenchimento!$A$2:$BV$1048576,7,0),"")</f>
        <v/>
      </c>
      <c r="G241" s="96" t="str">
        <f>IF(IFERROR(VLOOKUP($E241,Preenchimento!$A$2:$BV$1048576,8,0),"")=0,"",IFERROR(VLOOKUP($E241,Preenchimento!$A$2:$BV$1048576,8,0),""))</f>
        <v/>
      </c>
      <c r="H241" s="96" t="str">
        <f>IFERROR(VLOOKUP($E241,Preenchimento!$A$2:$BV$1048576,9,0),"")</f>
        <v/>
      </c>
      <c r="I241" s="96" t="str">
        <f>IFERROR(VLOOKUP($E241,Preenchimento!$A$2:$BV$1048576,10,0),"")</f>
        <v/>
      </c>
      <c r="J241" s="96" t="str">
        <f>IFERROR(VLOOKUP($E241,Preenchimento!$A$2:$BV$1048576,12,0),"")</f>
        <v/>
      </c>
      <c r="K241" s="96" t="str">
        <f>IFERROR(VLOOKUP($E241,Preenchimento!$A$2:$BV$1048576,6,0),"")</f>
        <v/>
      </c>
      <c r="L241" s="96" t="str">
        <f>IF(IFERROR(VLOOKUP($E241,Preenchimento!$A$2:$BV$1048576,53,0),"")=0,"",IFERROR(VLOOKUP($E241,Preenchimento!$A$2:$BV$1048576,53,0),""))</f>
        <v/>
      </c>
      <c r="M241" s="96" t="str">
        <f>IFERROR(VLOOKUP($E241,Preenchimento!$A$2:$BV$1048576,74,0),"")</f>
        <v/>
      </c>
    </row>
    <row r="242" spans="1:13" x14ac:dyDescent="0.2">
      <c r="A242" s="96">
        <f>Sitio!$E$3</f>
        <v>0</v>
      </c>
      <c r="B242" s="96" t="str">
        <f>IFERROR(VLOOKUP($E242,Preenchimento!$A$2:$BV$1048576,2,0),"")</f>
        <v/>
      </c>
      <c r="C242" s="96" t="str">
        <f>IFERROR(VLOOKUP($E242,Preenchimento!$A$2:$BV$1048576,4,0),"")</f>
        <v/>
      </c>
      <c r="D242" s="96" t="str">
        <f>IFERROR(VLOOKUP($E242,Preenchimento!$A$2:$BV$1048576,3,0),"")</f>
        <v/>
      </c>
      <c r="E242" s="96">
        <v>240</v>
      </c>
      <c r="F242" s="96" t="str">
        <f>IFERROR(VLOOKUP($E242,Preenchimento!$A$2:$BV$1048576,7,0),"")</f>
        <v/>
      </c>
      <c r="G242" s="96" t="str">
        <f>IF(IFERROR(VLOOKUP($E242,Preenchimento!$A$2:$BV$1048576,8,0),"")=0,"",IFERROR(VLOOKUP($E242,Preenchimento!$A$2:$BV$1048576,8,0),""))</f>
        <v/>
      </c>
      <c r="H242" s="96" t="str">
        <f>IFERROR(VLOOKUP($E242,Preenchimento!$A$2:$BV$1048576,9,0),"")</f>
        <v/>
      </c>
      <c r="I242" s="96" t="str">
        <f>IFERROR(VLOOKUP($E242,Preenchimento!$A$2:$BV$1048576,10,0),"")</f>
        <v/>
      </c>
      <c r="J242" s="96" t="str">
        <f>IFERROR(VLOOKUP($E242,Preenchimento!$A$2:$BV$1048576,12,0),"")</f>
        <v/>
      </c>
      <c r="K242" s="96" t="str">
        <f>IFERROR(VLOOKUP($E242,Preenchimento!$A$2:$BV$1048576,6,0),"")</f>
        <v/>
      </c>
      <c r="L242" s="96" t="str">
        <f>IF(IFERROR(VLOOKUP($E242,Preenchimento!$A$2:$BV$1048576,53,0),"")=0,"",IFERROR(VLOOKUP($E242,Preenchimento!$A$2:$BV$1048576,53,0),""))</f>
        <v/>
      </c>
      <c r="M242" s="96" t="str">
        <f>IFERROR(VLOOKUP($E242,Preenchimento!$A$2:$BV$1048576,74,0),"")</f>
        <v/>
      </c>
    </row>
    <row r="243" spans="1:13" x14ac:dyDescent="0.2">
      <c r="A243" s="96">
        <f>Sitio!$E$3</f>
        <v>0</v>
      </c>
      <c r="B243" s="96" t="str">
        <f>IFERROR(VLOOKUP($E243,Preenchimento!$A$2:$BV$1048576,2,0),"")</f>
        <v/>
      </c>
      <c r="C243" s="96" t="str">
        <f>IFERROR(VLOOKUP($E243,Preenchimento!$A$2:$BV$1048576,4,0),"")</f>
        <v/>
      </c>
      <c r="D243" s="96" t="str">
        <f>IFERROR(VLOOKUP($E243,Preenchimento!$A$2:$BV$1048576,3,0),"")</f>
        <v/>
      </c>
      <c r="E243" s="96">
        <v>241</v>
      </c>
      <c r="F243" s="96" t="str">
        <f>IFERROR(VLOOKUP($E243,Preenchimento!$A$2:$BV$1048576,7,0),"")</f>
        <v/>
      </c>
      <c r="G243" s="96" t="str">
        <f>IF(IFERROR(VLOOKUP($E243,Preenchimento!$A$2:$BV$1048576,8,0),"")=0,"",IFERROR(VLOOKUP($E243,Preenchimento!$A$2:$BV$1048576,8,0),""))</f>
        <v/>
      </c>
      <c r="H243" s="96" t="str">
        <f>IFERROR(VLOOKUP($E243,Preenchimento!$A$2:$BV$1048576,9,0),"")</f>
        <v/>
      </c>
      <c r="I243" s="96" t="str">
        <f>IFERROR(VLOOKUP($E243,Preenchimento!$A$2:$BV$1048576,10,0),"")</f>
        <v/>
      </c>
      <c r="J243" s="96" t="str">
        <f>IFERROR(VLOOKUP($E243,Preenchimento!$A$2:$BV$1048576,12,0),"")</f>
        <v/>
      </c>
      <c r="K243" s="96" t="str">
        <f>IFERROR(VLOOKUP($E243,Preenchimento!$A$2:$BV$1048576,6,0),"")</f>
        <v/>
      </c>
      <c r="L243" s="96" t="str">
        <f>IF(IFERROR(VLOOKUP($E243,Preenchimento!$A$2:$BV$1048576,53,0),"")=0,"",IFERROR(VLOOKUP($E243,Preenchimento!$A$2:$BV$1048576,53,0),""))</f>
        <v/>
      </c>
      <c r="M243" s="96" t="str">
        <f>IFERROR(VLOOKUP($E243,Preenchimento!$A$2:$BV$1048576,74,0),"")</f>
        <v/>
      </c>
    </row>
    <row r="244" spans="1:13" x14ac:dyDescent="0.2">
      <c r="A244" s="96">
        <f>Sitio!$E$3</f>
        <v>0</v>
      </c>
      <c r="B244" s="96" t="str">
        <f>IFERROR(VLOOKUP($E244,Preenchimento!$A$2:$BV$1048576,2,0),"")</f>
        <v/>
      </c>
      <c r="C244" s="96" t="str">
        <f>IFERROR(VLOOKUP($E244,Preenchimento!$A$2:$BV$1048576,4,0),"")</f>
        <v/>
      </c>
      <c r="D244" s="96" t="str">
        <f>IFERROR(VLOOKUP($E244,Preenchimento!$A$2:$BV$1048576,3,0),"")</f>
        <v/>
      </c>
      <c r="E244" s="96">
        <v>242</v>
      </c>
      <c r="F244" s="96" t="str">
        <f>IFERROR(VLOOKUP($E244,Preenchimento!$A$2:$BV$1048576,7,0),"")</f>
        <v/>
      </c>
      <c r="G244" s="96" t="str">
        <f>IF(IFERROR(VLOOKUP($E244,Preenchimento!$A$2:$BV$1048576,8,0),"")=0,"",IFERROR(VLOOKUP($E244,Preenchimento!$A$2:$BV$1048576,8,0),""))</f>
        <v/>
      </c>
      <c r="H244" s="96" t="str">
        <f>IFERROR(VLOOKUP($E244,Preenchimento!$A$2:$BV$1048576,9,0),"")</f>
        <v/>
      </c>
      <c r="I244" s="96" t="str">
        <f>IFERROR(VLOOKUP($E244,Preenchimento!$A$2:$BV$1048576,10,0),"")</f>
        <v/>
      </c>
      <c r="J244" s="96" t="str">
        <f>IFERROR(VLOOKUP($E244,Preenchimento!$A$2:$BV$1048576,12,0),"")</f>
        <v/>
      </c>
      <c r="K244" s="96" t="str">
        <f>IFERROR(VLOOKUP($E244,Preenchimento!$A$2:$BV$1048576,6,0),"")</f>
        <v/>
      </c>
      <c r="L244" s="96" t="str">
        <f>IF(IFERROR(VLOOKUP($E244,Preenchimento!$A$2:$BV$1048576,53,0),"")=0,"",IFERROR(VLOOKUP($E244,Preenchimento!$A$2:$BV$1048576,53,0),""))</f>
        <v/>
      </c>
      <c r="M244" s="96" t="str">
        <f>IFERROR(VLOOKUP($E244,Preenchimento!$A$2:$BV$1048576,74,0),"")</f>
        <v/>
      </c>
    </row>
    <row r="245" spans="1:13" x14ac:dyDescent="0.2">
      <c r="A245" s="96">
        <f>Sitio!$E$3</f>
        <v>0</v>
      </c>
      <c r="B245" s="96" t="str">
        <f>IFERROR(VLOOKUP($E245,Preenchimento!$A$2:$BV$1048576,2,0),"")</f>
        <v/>
      </c>
      <c r="C245" s="96" t="str">
        <f>IFERROR(VLOOKUP($E245,Preenchimento!$A$2:$BV$1048576,4,0),"")</f>
        <v/>
      </c>
      <c r="D245" s="96" t="str">
        <f>IFERROR(VLOOKUP($E245,Preenchimento!$A$2:$BV$1048576,3,0),"")</f>
        <v/>
      </c>
      <c r="E245" s="96">
        <v>243</v>
      </c>
      <c r="F245" s="96" t="str">
        <f>IFERROR(VLOOKUP($E245,Preenchimento!$A$2:$BV$1048576,7,0),"")</f>
        <v/>
      </c>
      <c r="G245" s="96" t="str">
        <f>IF(IFERROR(VLOOKUP($E245,Preenchimento!$A$2:$BV$1048576,8,0),"")=0,"",IFERROR(VLOOKUP($E245,Preenchimento!$A$2:$BV$1048576,8,0),""))</f>
        <v/>
      </c>
      <c r="H245" s="96" t="str">
        <f>IFERROR(VLOOKUP($E245,Preenchimento!$A$2:$BV$1048576,9,0),"")</f>
        <v/>
      </c>
      <c r="I245" s="96" t="str">
        <f>IFERROR(VLOOKUP($E245,Preenchimento!$A$2:$BV$1048576,10,0),"")</f>
        <v/>
      </c>
      <c r="J245" s="96" t="str">
        <f>IFERROR(VLOOKUP($E245,Preenchimento!$A$2:$BV$1048576,12,0),"")</f>
        <v/>
      </c>
      <c r="K245" s="96" t="str">
        <f>IFERROR(VLOOKUP($E245,Preenchimento!$A$2:$BV$1048576,6,0),"")</f>
        <v/>
      </c>
      <c r="L245" s="96" t="str">
        <f>IF(IFERROR(VLOOKUP($E245,Preenchimento!$A$2:$BV$1048576,53,0),"")=0,"",IFERROR(VLOOKUP($E245,Preenchimento!$A$2:$BV$1048576,53,0),""))</f>
        <v/>
      </c>
      <c r="M245" s="96" t="str">
        <f>IFERROR(VLOOKUP($E245,Preenchimento!$A$2:$BV$1048576,74,0),"")</f>
        <v/>
      </c>
    </row>
    <row r="246" spans="1:13" x14ac:dyDescent="0.2">
      <c r="A246" s="96">
        <f>Sitio!$E$3</f>
        <v>0</v>
      </c>
      <c r="B246" s="96" t="str">
        <f>IFERROR(VLOOKUP($E246,Preenchimento!$A$2:$BV$1048576,2,0),"")</f>
        <v/>
      </c>
      <c r="C246" s="96" t="str">
        <f>IFERROR(VLOOKUP($E246,Preenchimento!$A$2:$BV$1048576,4,0),"")</f>
        <v/>
      </c>
      <c r="D246" s="96" t="str">
        <f>IFERROR(VLOOKUP($E246,Preenchimento!$A$2:$BV$1048576,3,0),"")</f>
        <v/>
      </c>
      <c r="E246" s="96">
        <v>244</v>
      </c>
      <c r="F246" s="96" t="str">
        <f>IFERROR(VLOOKUP($E246,Preenchimento!$A$2:$BV$1048576,7,0),"")</f>
        <v/>
      </c>
      <c r="G246" s="96" t="str">
        <f>IF(IFERROR(VLOOKUP($E246,Preenchimento!$A$2:$BV$1048576,8,0),"")=0,"",IFERROR(VLOOKUP($E246,Preenchimento!$A$2:$BV$1048576,8,0),""))</f>
        <v/>
      </c>
      <c r="H246" s="96" t="str">
        <f>IFERROR(VLOOKUP($E246,Preenchimento!$A$2:$BV$1048576,9,0),"")</f>
        <v/>
      </c>
      <c r="I246" s="96" t="str">
        <f>IFERROR(VLOOKUP($E246,Preenchimento!$A$2:$BV$1048576,10,0),"")</f>
        <v/>
      </c>
      <c r="J246" s="96" t="str">
        <f>IFERROR(VLOOKUP($E246,Preenchimento!$A$2:$BV$1048576,12,0),"")</f>
        <v/>
      </c>
      <c r="K246" s="96" t="str">
        <f>IFERROR(VLOOKUP($E246,Preenchimento!$A$2:$BV$1048576,6,0),"")</f>
        <v/>
      </c>
      <c r="L246" s="96" t="str">
        <f>IF(IFERROR(VLOOKUP($E246,Preenchimento!$A$2:$BV$1048576,53,0),"")=0,"",IFERROR(VLOOKUP($E246,Preenchimento!$A$2:$BV$1048576,53,0),""))</f>
        <v/>
      </c>
      <c r="M246" s="96" t="str">
        <f>IFERROR(VLOOKUP($E246,Preenchimento!$A$2:$BV$1048576,74,0),"")</f>
        <v/>
      </c>
    </row>
    <row r="247" spans="1:13" x14ac:dyDescent="0.2">
      <c r="A247" s="96">
        <f>Sitio!$E$3</f>
        <v>0</v>
      </c>
      <c r="B247" s="96" t="str">
        <f>IFERROR(VLOOKUP($E247,Preenchimento!$A$2:$BV$1048576,2,0),"")</f>
        <v/>
      </c>
      <c r="C247" s="96" t="str">
        <f>IFERROR(VLOOKUP($E247,Preenchimento!$A$2:$BV$1048576,4,0),"")</f>
        <v/>
      </c>
      <c r="D247" s="96" t="str">
        <f>IFERROR(VLOOKUP($E247,Preenchimento!$A$2:$BV$1048576,3,0),"")</f>
        <v/>
      </c>
      <c r="E247" s="96">
        <v>245</v>
      </c>
      <c r="F247" s="96" t="str">
        <f>IFERROR(VLOOKUP($E247,Preenchimento!$A$2:$BV$1048576,7,0),"")</f>
        <v/>
      </c>
      <c r="G247" s="96" t="str">
        <f>IF(IFERROR(VLOOKUP($E247,Preenchimento!$A$2:$BV$1048576,8,0),"")=0,"",IFERROR(VLOOKUP($E247,Preenchimento!$A$2:$BV$1048576,8,0),""))</f>
        <v/>
      </c>
      <c r="H247" s="96" t="str">
        <f>IFERROR(VLOOKUP($E247,Preenchimento!$A$2:$BV$1048576,9,0),"")</f>
        <v/>
      </c>
      <c r="I247" s="96" t="str">
        <f>IFERROR(VLOOKUP($E247,Preenchimento!$A$2:$BV$1048576,10,0),"")</f>
        <v/>
      </c>
      <c r="J247" s="96" t="str">
        <f>IFERROR(VLOOKUP($E247,Preenchimento!$A$2:$BV$1048576,12,0),"")</f>
        <v/>
      </c>
      <c r="K247" s="96" t="str">
        <f>IFERROR(VLOOKUP($E247,Preenchimento!$A$2:$BV$1048576,6,0),"")</f>
        <v/>
      </c>
      <c r="L247" s="96" t="str">
        <f>IF(IFERROR(VLOOKUP($E247,Preenchimento!$A$2:$BV$1048576,53,0),"")=0,"",IFERROR(VLOOKUP($E247,Preenchimento!$A$2:$BV$1048576,53,0),""))</f>
        <v/>
      </c>
      <c r="M247" s="96" t="str">
        <f>IFERROR(VLOOKUP($E247,Preenchimento!$A$2:$BV$1048576,74,0),"")</f>
        <v/>
      </c>
    </row>
    <row r="248" spans="1:13" x14ac:dyDescent="0.2">
      <c r="A248" s="96">
        <f>Sitio!$E$3</f>
        <v>0</v>
      </c>
      <c r="B248" s="96" t="str">
        <f>IFERROR(VLOOKUP($E248,Preenchimento!$A$2:$BV$1048576,2,0),"")</f>
        <v/>
      </c>
      <c r="C248" s="96" t="str">
        <f>IFERROR(VLOOKUP($E248,Preenchimento!$A$2:$BV$1048576,4,0),"")</f>
        <v/>
      </c>
      <c r="D248" s="96" t="str">
        <f>IFERROR(VLOOKUP($E248,Preenchimento!$A$2:$BV$1048576,3,0),"")</f>
        <v/>
      </c>
      <c r="E248" s="96">
        <v>246</v>
      </c>
      <c r="F248" s="96" t="str">
        <f>IFERROR(VLOOKUP($E248,Preenchimento!$A$2:$BV$1048576,7,0),"")</f>
        <v/>
      </c>
      <c r="G248" s="96" t="str">
        <f>IF(IFERROR(VLOOKUP($E248,Preenchimento!$A$2:$BV$1048576,8,0),"")=0,"",IFERROR(VLOOKUP($E248,Preenchimento!$A$2:$BV$1048576,8,0),""))</f>
        <v/>
      </c>
      <c r="H248" s="96" t="str">
        <f>IFERROR(VLOOKUP($E248,Preenchimento!$A$2:$BV$1048576,9,0),"")</f>
        <v/>
      </c>
      <c r="I248" s="96" t="str">
        <f>IFERROR(VLOOKUP($E248,Preenchimento!$A$2:$BV$1048576,10,0),"")</f>
        <v/>
      </c>
      <c r="J248" s="96" t="str">
        <f>IFERROR(VLOOKUP($E248,Preenchimento!$A$2:$BV$1048576,12,0),"")</f>
        <v/>
      </c>
      <c r="K248" s="96" t="str">
        <f>IFERROR(VLOOKUP($E248,Preenchimento!$A$2:$BV$1048576,6,0),"")</f>
        <v/>
      </c>
      <c r="L248" s="96" t="str">
        <f>IF(IFERROR(VLOOKUP($E248,Preenchimento!$A$2:$BV$1048576,53,0),"")=0,"",IFERROR(VLOOKUP($E248,Preenchimento!$A$2:$BV$1048576,53,0),""))</f>
        <v/>
      </c>
      <c r="M248" s="96" t="str">
        <f>IFERROR(VLOOKUP($E248,Preenchimento!$A$2:$BV$1048576,74,0),"")</f>
        <v/>
      </c>
    </row>
    <row r="249" spans="1:13" x14ac:dyDescent="0.2">
      <c r="A249" s="96">
        <f>Sitio!$E$3</f>
        <v>0</v>
      </c>
      <c r="B249" s="96" t="str">
        <f>IFERROR(VLOOKUP($E249,Preenchimento!$A$2:$BV$1048576,2,0),"")</f>
        <v/>
      </c>
      <c r="C249" s="96" t="str">
        <f>IFERROR(VLOOKUP($E249,Preenchimento!$A$2:$BV$1048576,4,0),"")</f>
        <v/>
      </c>
      <c r="D249" s="96" t="str">
        <f>IFERROR(VLOOKUP($E249,Preenchimento!$A$2:$BV$1048576,3,0),"")</f>
        <v/>
      </c>
      <c r="E249" s="96">
        <v>247</v>
      </c>
      <c r="F249" s="96" t="str">
        <f>IFERROR(VLOOKUP($E249,Preenchimento!$A$2:$BV$1048576,7,0),"")</f>
        <v/>
      </c>
      <c r="G249" s="96" t="str">
        <f>IF(IFERROR(VLOOKUP($E249,Preenchimento!$A$2:$BV$1048576,8,0),"")=0,"",IFERROR(VLOOKUP($E249,Preenchimento!$A$2:$BV$1048576,8,0),""))</f>
        <v/>
      </c>
      <c r="H249" s="96" t="str">
        <f>IFERROR(VLOOKUP($E249,Preenchimento!$A$2:$BV$1048576,9,0),"")</f>
        <v/>
      </c>
      <c r="I249" s="96" t="str">
        <f>IFERROR(VLOOKUP($E249,Preenchimento!$A$2:$BV$1048576,10,0),"")</f>
        <v/>
      </c>
      <c r="J249" s="96" t="str">
        <f>IFERROR(VLOOKUP($E249,Preenchimento!$A$2:$BV$1048576,12,0),"")</f>
        <v/>
      </c>
      <c r="K249" s="96" t="str">
        <f>IFERROR(VLOOKUP($E249,Preenchimento!$A$2:$BV$1048576,6,0),"")</f>
        <v/>
      </c>
      <c r="L249" s="96" t="str">
        <f>IF(IFERROR(VLOOKUP($E249,Preenchimento!$A$2:$BV$1048576,53,0),"")=0,"",IFERROR(VLOOKUP($E249,Preenchimento!$A$2:$BV$1048576,53,0),""))</f>
        <v/>
      </c>
      <c r="M249" s="96" t="str">
        <f>IFERROR(VLOOKUP($E249,Preenchimento!$A$2:$BV$1048576,74,0),"")</f>
        <v/>
      </c>
    </row>
    <row r="250" spans="1:13" x14ac:dyDescent="0.2">
      <c r="A250" s="96">
        <f>Sitio!$E$3</f>
        <v>0</v>
      </c>
      <c r="B250" s="96" t="str">
        <f>IFERROR(VLOOKUP($E250,Preenchimento!$A$2:$BV$1048576,2,0),"")</f>
        <v/>
      </c>
      <c r="C250" s="96" t="str">
        <f>IFERROR(VLOOKUP($E250,Preenchimento!$A$2:$BV$1048576,4,0),"")</f>
        <v/>
      </c>
      <c r="D250" s="96" t="str">
        <f>IFERROR(VLOOKUP($E250,Preenchimento!$A$2:$BV$1048576,3,0),"")</f>
        <v/>
      </c>
      <c r="E250" s="96">
        <v>248</v>
      </c>
      <c r="F250" s="96" t="str">
        <f>IFERROR(VLOOKUP($E250,Preenchimento!$A$2:$BV$1048576,7,0),"")</f>
        <v/>
      </c>
      <c r="G250" s="96" t="str">
        <f>IF(IFERROR(VLOOKUP($E250,Preenchimento!$A$2:$BV$1048576,8,0),"")=0,"",IFERROR(VLOOKUP($E250,Preenchimento!$A$2:$BV$1048576,8,0),""))</f>
        <v/>
      </c>
      <c r="H250" s="96" t="str">
        <f>IFERROR(VLOOKUP($E250,Preenchimento!$A$2:$BV$1048576,9,0),"")</f>
        <v/>
      </c>
      <c r="I250" s="96" t="str">
        <f>IFERROR(VLOOKUP($E250,Preenchimento!$A$2:$BV$1048576,10,0),"")</f>
        <v/>
      </c>
      <c r="J250" s="96" t="str">
        <f>IFERROR(VLOOKUP($E250,Preenchimento!$A$2:$BV$1048576,12,0),"")</f>
        <v/>
      </c>
      <c r="K250" s="96" t="str">
        <f>IFERROR(VLOOKUP($E250,Preenchimento!$A$2:$BV$1048576,6,0),"")</f>
        <v/>
      </c>
      <c r="L250" s="96" t="str">
        <f>IF(IFERROR(VLOOKUP($E250,Preenchimento!$A$2:$BV$1048576,53,0),"")=0,"",IFERROR(VLOOKUP($E250,Preenchimento!$A$2:$BV$1048576,53,0),""))</f>
        <v/>
      </c>
      <c r="M250" s="96" t="str">
        <f>IFERROR(VLOOKUP($E250,Preenchimento!$A$2:$BV$1048576,74,0),"")</f>
        <v/>
      </c>
    </row>
    <row r="251" spans="1:13" x14ac:dyDescent="0.2">
      <c r="A251" s="96">
        <f>Sitio!$E$3</f>
        <v>0</v>
      </c>
      <c r="B251" s="96" t="str">
        <f>IFERROR(VLOOKUP($E251,Preenchimento!$A$2:$BV$1048576,2,0),"")</f>
        <v/>
      </c>
      <c r="C251" s="96" t="str">
        <f>IFERROR(VLOOKUP($E251,Preenchimento!$A$2:$BV$1048576,4,0),"")</f>
        <v/>
      </c>
      <c r="D251" s="96" t="str">
        <f>IFERROR(VLOOKUP($E251,Preenchimento!$A$2:$BV$1048576,3,0),"")</f>
        <v/>
      </c>
      <c r="E251" s="96">
        <v>249</v>
      </c>
      <c r="F251" s="96" t="str">
        <f>IFERROR(VLOOKUP($E251,Preenchimento!$A$2:$BV$1048576,7,0),"")</f>
        <v/>
      </c>
      <c r="G251" s="96" t="str">
        <f>IF(IFERROR(VLOOKUP($E251,Preenchimento!$A$2:$BV$1048576,8,0),"")=0,"",IFERROR(VLOOKUP($E251,Preenchimento!$A$2:$BV$1048576,8,0),""))</f>
        <v/>
      </c>
      <c r="H251" s="96" t="str">
        <f>IFERROR(VLOOKUP($E251,Preenchimento!$A$2:$BV$1048576,9,0),"")</f>
        <v/>
      </c>
      <c r="I251" s="96" t="str">
        <f>IFERROR(VLOOKUP($E251,Preenchimento!$A$2:$BV$1048576,10,0),"")</f>
        <v/>
      </c>
      <c r="J251" s="96" t="str">
        <f>IFERROR(VLOOKUP($E251,Preenchimento!$A$2:$BV$1048576,12,0),"")</f>
        <v/>
      </c>
      <c r="K251" s="96" t="str">
        <f>IFERROR(VLOOKUP($E251,Preenchimento!$A$2:$BV$1048576,6,0),"")</f>
        <v/>
      </c>
      <c r="L251" s="96" t="str">
        <f>IF(IFERROR(VLOOKUP($E251,Preenchimento!$A$2:$BV$1048576,53,0),"")=0,"",IFERROR(VLOOKUP($E251,Preenchimento!$A$2:$BV$1048576,53,0),""))</f>
        <v/>
      </c>
      <c r="M251" s="96" t="str">
        <f>IFERROR(VLOOKUP($E251,Preenchimento!$A$2:$BV$1048576,74,0),"")</f>
        <v/>
      </c>
    </row>
    <row r="252" spans="1:13" x14ac:dyDescent="0.2">
      <c r="A252" s="96">
        <f>Sitio!$E$3</f>
        <v>0</v>
      </c>
      <c r="B252" s="96" t="str">
        <f>IFERROR(VLOOKUP($E252,Preenchimento!$A$2:$BV$1048576,2,0),"")</f>
        <v/>
      </c>
      <c r="C252" s="96" t="str">
        <f>IFERROR(VLOOKUP($E252,Preenchimento!$A$2:$BV$1048576,4,0),"")</f>
        <v/>
      </c>
      <c r="D252" s="96" t="str">
        <f>IFERROR(VLOOKUP($E252,Preenchimento!$A$2:$BV$1048576,3,0),"")</f>
        <v/>
      </c>
      <c r="E252" s="96">
        <v>250</v>
      </c>
      <c r="F252" s="96" t="str">
        <f>IFERROR(VLOOKUP($E252,Preenchimento!$A$2:$BV$1048576,7,0),"")</f>
        <v/>
      </c>
      <c r="G252" s="96" t="str">
        <f>IF(IFERROR(VLOOKUP($E252,Preenchimento!$A$2:$BV$1048576,8,0),"")=0,"",IFERROR(VLOOKUP($E252,Preenchimento!$A$2:$BV$1048576,8,0),""))</f>
        <v/>
      </c>
      <c r="H252" s="96" t="str">
        <f>IFERROR(VLOOKUP($E252,Preenchimento!$A$2:$BV$1048576,9,0),"")</f>
        <v/>
      </c>
      <c r="I252" s="96" t="str">
        <f>IFERROR(VLOOKUP($E252,Preenchimento!$A$2:$BV$1048576,10,0),"")</f>
        <v/>
      </c>
      <c r="J252" s="96" t="str">
        <f>IFERROR(VLOOKUP($E252,Preenchimento!$A$2:$BV$1048576,12,0),"")</f>
        <v/>
      </c>
      <c r="K252" s="96" t="str">
        <f>IFERROR(VLOOKUP($E252,Preenchimento!$A$2:$BV$1048576,6,0),"")</f>
        <v/>
      </c>
      <c r="L252" s="96" t="str">
        <f>IF(IFERROR(VLOOKUP($E252,Preenchimento!$A$2:$BV$1048576,53,0),"")=0,"",IFERROR(VLOOKUP($E252,Preenchimento!$A$2:$BV$1048576,53,0),""))</f>
        <v/>
      </c>
      <c r="M252" s="96" t="str">
        <f>IFERROR(VLOOKUP($E252,Preenchimento!$A$2:$BV$1048576,74,0),"")</f>
        <v/>
      </c>
    </row>
    <row r="253" spans="1:13" x14ac:dyDescent="0.2">
      <c r="A253" s="96">
        <f>Sitio!$E$3</f>
        <v>0</v>
      </c>
      <c r="B253" s="96" t="str">
        <f>IFERROR(VLOOKUP($E253,Preenchimento!$A$2:$BV$1048576,2,0),"")</f>
        <v/>
      </c>
      <c r="C253" s="96" t="str">
        <f>IFERROR(VLOOKUP($E253,Preenchimento!$A$2:$BV$1048576,4,0),"")</f>
        <v/>
      </c>
      <c r="D253" s="96" t="str">
        <f>IFERROR(VLOOKUP($E253,Preenchimento!$A$2:$BV$1048576,3,0),"")</f>
        <v/>
      </c>
      <c r="E253" s="96">
        <v>251</v>
      </c>
      <c r="F253" s="96" t="str">
        <f>IFERROR(VLOOKUP($E253,Preenchimento!$A$2:$BV$1048576,7,0),"")</f>
        <v/>
      </c>
      <c r="G253" s="96" t="str">
        <f>IF(IFERROR(VLOOKUP($E253,Preenchimento!$A$2:$BV$1048576,8,0),"")=0,"",IFERROR(VLOOKUP($E253,Preenchimento!$A$2:$BV$1048576,8,0),""))</f>
        <v/>
      </c>
      <c r="H253" s="96" t="str">
        <f>IFERROR(VLOOKUP($E253,Preenchimento!$A$2:$BV$1048576,9,0),"")</f>
        <v/>
      </c>
      <c r="I253" s="96" t="str">
        <f>IFERROR(VLOOKUP($E253,Preenchimento!$A$2:$BV$1048576,10,0),"")</f>
        <v/>
      </c>
      <c r="J253" s="96" t="str">
        <f>IFERROR(VLOOKUP($E253,Preenchimento!$A$2:$BV$1048576,12,0),"")</f>
        <v/>
      </c>
      <c r="K253" s="96" t="str">
        <f>IFERROR(VLOOKUP($E253,Preenchimento!$A$2:$BV$1048576,6,0),"")</f>
        <v/>
      </c>
      <c r="L253" s="96" t="str">
        <f>IF(IFERROR(VLOOKUP($E253,Preenchimento!$A$2:$BV$1048576,53,0),"")=0,"",IFERROR(VLOOKUP($E253,Preenchimento!$A$2:$BV$1048576,53,0),""))</f>
        <v/>
      </c>
      <c r="M253" s="96" t="str">
        <f>IFERROR(VLOOKUP($E253,Preenchimento!$A$2:$BV$1048576,74,0),"")</f>
        <v/>
      </c>
    </row>
    <row r="254" spans="1:13" x14ac:dyDescent="0.2">
      <c r="A254" s="96">
        <f>Sitio!$E$3</f>
        <v>0</v>
      </c>
      <c r="B254" s="96" t="str">
        <f>IFERROR(VLOOKUP($E254,Preenchimento!$A$2:$BV$1048576,2,0),"")</f>
        <v/>
      </c>
      <c r="C254" s="96" t="str">
        <f>IFERROR(VLOOKUP($E254,Preenchimento!$A$2:$BV$1048576,4,0),"")</f>
        <v/>
      </c>
      <c r="D254" s="96" t="str">
        <f>IFERROR(VLOOKUP($E254,Preenchimento!$A$2:$BV$1048576,3,0),"")</f>
        <v/>
      </c>
      <c r="E254" s="96">
        <v>252</v>
      </c>
      <c r="F254" s="96" t="str">
        <f>IFERROR(VLOOKUP($E254,Preenchimento!$A$2:$BV$1048576,7,0),"")</f>
        <v/>
      </c>
      <c r="G254" s="96" t="str">
        <f>IF(IFERROR(VLOOKUP($E254,Preenchimento!$A$2:$BV$1048576,8,0),"")=0,"",IFERROR(VLOOKUP($E254,Preenchimento!$A$2:$BV$1048576,8,0),""))</f>
        <v/>
      </c>
      <c r="H254" s="96" t="str">
        <f>IFERROR(VLOOKUP($E254,Preenchimento!$A$2:$BV$1048576,9,0),"")</f>
        <v/>
      </c>
      <c r="I254" s="96" t="str">
        <f>IFERROR(VLOOKUP($E254,Preenchimento!$A$2:$BV$1048576,10,0),"")</f>
        <v/>
      </c>
      <c r="J254" s="96" t="str">
        <f>IFERROR(VLOOKUP($E254,Preenchimento!$A$2:$BV$1048576,12,0),"")</f>
        <v/>
      </c>
      <c r="K254" s="96" t="str">
        <f>IFERROR(VLOOKUP($E254,Preenchimento!$A$2:$BV$1048576,6,0),"")</f>
        <v/>
      </c>
      <c r="L254" s="96" t="str">
        <f>IF(IFERROR(VLOOKUP($E254,Preenchimento!$A$2:$BV$1048576,53,0),"")=0,"",IFERROR(VLOOKUP($E254,Preenchimento!$A$2:$BV$1048576,53,0),""))</f>
        <v/>
      </c>
      <c r="M254" s="96" t="str">
        <f>IFERROR(VLOOKUP($E254,Preenchimento!$A$2:$BV$1048576,74,0),"")</f>
        <v/>
      </c>
    </row>
    <row r="255" spans="1:13" x14ac:dyDescent="0.2">
      <c r="A255" s="96">
        <f>Sitio!$E$3</f>
        <v>0</v>
      </c>
      <c r="B255" s="96" t="str">
        <f>IFERROR(VLOOKUP($E255,Preenchimento!$A$2:$BV$1048576,2,0),"")</f>
        <v/>
      </c>
      <c r="C255" s="96" t="str">
        <f>IFERROR(VLOOKUP($E255,Preenchimento!$A$2:$BV$1048576,4,0),"")</f>
        <v/>
      </c>
      <c r="D255" s="96" t="str">
        <f>IFERROR(VLOOKUP($E255,Preenchimento!$A$2:$BV$1048576,3,0),"")</f>
        <v/>
      </c>
      <c r="E255" s="96">
        <v>253</v>
      </c>
      <c r="F255" s="96" t="str">
        <f>IFERROR(VLOOKUP($E255,Preenchimento!$A$2:$BV$1048576,7,0),"")</f>
        <v/>
      </c>
      <c r="G255" s="96" t="str">
        <f>IF(IFERROR(VLOOKUP($E255,Preenchimento!$A$2:$BV$1048576,8,0),"")=0,"",IFERROR(VLOOKUP($E255,Preenchimento!$A$2:$BV$1048576,8,0),""))</f>
        <v/>
      </c>
      <c r="H255" s="96" t="str">
        <f>IFERROR(VLOOKUP($E255,Preenchimento!$A$2:$BV$1048576,9,0),"")</f>
        <v/>
      </c>
      <c r="I255" s="96" t="str">
        <f>IFERROR(VLOOKUP($E255,Preenchimento!$A$2:$BV$1048576,10,0),"")</f>
        <v/>
      </c>
      <c r="J255" s="96" t="str">
        <f>IFERROR(VLOOKUP($E255,Preenchimento!$A$2:$BV$1048576,12,0),"")</f>
        <v/>
      </c>
      <c r="K255" s="96" t="str">
        <f>IFERROR(VLOOKUP($E255,Preenchimento!$A$2:$BV$1048576,6,0),"")</f>
        <v/>
      </c>
      <c r="L255" s="96" t="str">
        <f>IF(IFERROR(VLOOKUP($E255,Preenchimento!$A$2:$BV$1048576,53,0),"")=0,"",IFERROR(VLOOKUP($E255,Preenchimento!$A$2:$BV$1048576,53,0),""))</f>
        <v/>
      </c>
      <c r="M255" s="96" t="str">
        <f>IFERROR(VLOOKUP($E255,Preenchimento!$A$2:$BV$1048576,74,0),"")</f>
        <v/>
      </c>
    </row>
    <row r="256" spans="1:13" x14ac:dyDescent="0.2">
      <c r="A256" s="96">
        <f>Sitio!$E$3</f>
        <v>0</v>
      </c>
      <c r="B256" s="96" t="str">
        <f>IFERROR(VLOOKUP($E256,Preenchimento!$A$2:$BV$1048576,2,0),"")</f>
        <v/>
      </c>
      <c r="C256" s="96" t="str">
        <f>IFERROR(VLOOKUP($E256,Preenchimento!$A$2:$BV$1048576,4,0),"")</f>
        <v/>
      </c>
      <c r="D256" s="96" t="str">
        <f>IFERROR(VLOOKUP($E256,Preenchimento!$A$2:$BV$1048576,3,0),"")</f>
        <v/>
      </c>
      <c r="E256" s="96">
        <v>254</v>
      </c>
      <c r="F256" s="96" t="str">
        <f>IFERROR(VLOOKUP($E256,Preenchimento!$A$2:$BV$1048576,7,0),"")</f>
        <v/>
      </c>
      <c r="G256" s="96" t="str">
        <f>IF(IFERROR(VLOOKUP($E256,Preenchimento!$A$2:$BV$1048576,8,0),"")=0,"",IFERROR(VLOOKUP($E256,Preenchimento!$A$2:$BV$1048576,8,0),""))</f>
        <v/>
      </c>
      <c r="H256" s="96" t="str">
        <f>IFERROR(VLOOKUP($E256,Preenchimento!$A$2:$BV$1048576,9,0),"")</f>
        <v/>
      </c>
      <c r="I256" s="96" t="str">
        <f>IFERROR(VLOOKUP($E256,Preenchimento!$A$2:$BV$1048576,10,0),"")</f>
        <v/>
      </c>
      <c r="J256" s="96" t="str">
        <f>IFERROR(VLOOKUP($E256,Preenchimento!$A$2:$BV$1048576,12,0),"")</f>
        <v/>
      </c>
      <c r="K256" s="96" t="str">
        <f>IFERROR(VLOOKUP($E256,Preenchimento!$A$2:$BV$1048576,6,0),"")</f>
        <v/>
      </c>
      <c r="L256" s="96" t="str">
        <f>IF(IFERROR(VLOOKUP($E256,Preenchimento!$A$2:$BV$1048576,53,0),"")=0,"",IFERROR(VLOOKUP($E256,Preenchimento!$A$2:$BV$1048576,53,0),""))</f>
        <v/>
      </c>
      <c r="M256" s="96" t="str">
        <f>IFERROR(VLOOKUP($E256,Preenchimento!$A$2:$BV$1048576,74,0),"")</f>
        <v/>
      </c>
    </row>
    <row r="257" spans="1:13" x14ac:dyDescent="0.2">
      <c r="A257" s="96">
        <f>Sitio!$E$3</f>
        <v>0</v>
      </c>
      <c r="B257" s="96" t="str">
        <f>IFERROR(VLOOKUP($E257,Preenchimento!$A$2:$BV$1048576,2,0),"")</f>
        <v/>
      </c>
      <c r="C257" s="96" t="str">
        <f>IFERROR(VLOOKUP($E257,Preenchimento!$A$2:$BV$1048576,4,0),"")</f>
        <v/>
      </c>
      <c r="D257" s="96" t="str">
        <f>IFERROR(VLOOKUP($E257,Preenchimento!$A$2:$BV$1048576,3,0),"")</f>
        <v/>
      </c>
      <c r="E257" s="96">
        <v>255</v>
      </c>
      <c r="F257" s="96" t="str">
        <f>IFERROR(VLOOKUP($E257,Preenchimento!$A$2:$BV$1048576,7,0),"")</f>
        <v/>
      </c>
      <c r="G257" s="96" t="str">
        <f>IF(IFERROR(VLOOKUP($E257,Preenchimento!$A$2:$BV$1048576,8,0),"")=0,"",IFERROR(VLOOKUP($E257,Preenchimento!$A$2:$BV$1048576,8,0),""))</f>
        <v/>
      </c>
      <c r="H257" s="96" t="str">
        <f>IFERROR(VLOOKUP($E257,Preenchimento!$A$2:$BV$1048576,9,0),"")</f>
        <v/>
      </c>
      <c r="I257" s="96" t="str">
        <f>IFERROR(VLOOKUP($E257,Preenchimento!$A$2:$BV$1048576,10,0),"")</f>
        <v/>
      </c>
      <c r="J257" s="96" t="str">
        <f>IFERROR(VLOOKUP($E257,Preenchimento!$A$2:$BV$1048576,12,0),"")</f>
        <v/>
      </c>
      <c r="K257" s="96" t="str">
        <f>IFERROR(VLOOKUP($E257,Preenchimento!$A$2:$BV$1048576,6,0),"")</f>
        <v/>
      </c>
      <c r="L257" s="96" t="str">
        <f>IF(IFERROR(VLOOKUP($E257,Preenchimento!$A$2:$BV$1048576,53,0),"")=0,"",IFERROR(VLOOKUP($E257,Preenchimento!$A$2:$BV$1048576,53,0),""))</f>
        <v/>
      </c>
      <c r="M257" s="96" t="str">
        <f>IFERROR(VLOOKUP($E257,Preenchimento!$A$2:$BV$1048576,74,0),"")</f>
        <v/>
      </c>
    </row>
    <row r="258" spans="1:13" x14ac:dyDescent="0.2">
      <c r="A258" s="96">
        <f>Sitio!$E$3</f>
        <v>0</v>
      </c>
      <c r="B258" s="96" t="str">
        <f>IFERROR(VLOOKUP($E258,Preenchimento!$A$2:$BV$1048576,2,0),"")</f>
        <v/>
      </c>
      <c r="C258" s="96" t="str">
        <f>IFERROR(VLOOKUP($E258,Preenchimento!$A$2:$BV$1048576,4,0),"")</f>
        <v/>
      </c>
      <c r="D258" s="96" t="str">
        <f>IFERROR(VLOOKUP($E258,Preenchimento!$A$2:$BV$1048576,3,0),"")</f>
        <v/>
      </c>
      <c r="E258" s="96">
        <v>256</v>
      </c>
      <c r="F258" s="96" t="str">
        <f>IFERROR(VLOOKUP($E258,Preenchimento!$A$2:$BV$1048576,7,0),"")</f>
        <v/>
      </c>
      <c r="G258" s="96" t="str">
        <f>IF(IFERROR(VLOOKUP($E258,Preenchimento!$A$2:$BV$1048576,8,0),"")=0,"",IFERROR(VLOOKUP($E258,Preenchimento!$A$2:$BV$1048576,8,0),""))</f>
        <v/>
      </c>
      <c r="H258" s="96" t="str">
        <f>IFERROR(VLOOKUP($E258,Preenchimento!$A$2:$BV$1048576,9,0),"")</f>
        <v/>
      </c>
      <c r="I258" s="96" t="str">
        <f>IFERROR(VLOOKUP($E258,Preenchimento!$A$2:$BV$1048576,10,0),"")</f>
        <v/>
      </c>
      <c r="J258" s="96" t="str">
        <f>IFERROR(VLOOKUP($E258,Preenchimento!$A$2:$BV$1048576,12,0),"")</f>
        <v/>
      </c>
      <c r="K258" s="96" t="str">
        <f>IFERROR(VLOOKUP($E258,Preenchimento!$A$2:$BV$1048576,6,0),"")</f>
        <v/>
      </c>
      <c r="L258" s="96" t="str">
        <f>IF(IFERROR(VLOOKUP($E258,Preenchimento!$A$2:$BV$1048576,53,0),"")=0,"",IFERROR(VLOOKUP($E258,Preenchimento!$A$2:$BV$1048576,53,0),""))</f>
        <v/>
      </c>
      <c r="M258" s="96" t="str">
        <f>IFERROR(VLOOKUP($E258,Preenchimento!$A$2:$BV$1048576,74,0),"")</f>
        <v/>
      </c>
    </row>
    <row r="259" spans="1:13" x14ac:dyDescent="0.2">
      <c r="A259" s="96">
        <f>Sitio!$E$3</f>
        <v>0</v>
      </c>
      <c r="B259" s="96" t="str">
        <f>IFERROR(VLOOKUP($E259,Preenchimento!$A$2:$BV$1048576,2,0),"")</f>
        <v/>
      </c>
      <c r="C259" s="96" t="str">
        <f>IFERROR(VLOOKUP($E259,Preenchimento!$A$2:$BV$1048576,4,0),"")</f>
        <v/>
      </c>
      <c r="D259" s="96" t="str">
        <f>IFERROR(VLOOKUP($E259,Preenchimento!$A$2:$BV$1048576,3,0),"")</f>
        <v/>
      </c>
      <c r="E259" s="96">
        <v>257</v>
      </c>
      <c r="F259" s="96" t="str">
        <f>IFERROR(VLOOKUP($E259,Preenchimento!$A$2:$BV$1048576,7,0),"")</f>
        <v/>
      </c>
      <c r="G259" s="96" t="str">
        <f>IF(IFERROR(VLOOKUP($E259,Preenchimento!$A$2:$BV$1048576,8,0),"")=0,"",IFERROR(VLOOKUP($E259,Preenchimento!$A$2:$BV$1048576,8,0),""))</f>
        <v/>
      </c>
      <c r="H259" s="96" t="str">
        <f>IFERROR(VLOOKUP($E259,Preenchimento!$A$2:$BV$1048576,9,0),"")</f>
        <v/>
      </c>
      <c r="I259" s="96" t="str">
        <f>IFERROR(VLOOKUP($E259,Preenchimento!$A$2:$BV$1048576,10,0),"")</f>
        <v/>
      </c>
      <c r="J259" s="96" t="str">
        <f>IFERROR(VLOOKUP($E259,Preenchimento!$A$2:$BV$1048576,12,0),"")</f>
        <v/>
      </c>
      <c r="K259" s="96" t="str">
        <f>IFERROR(VLOOKUP($E259,Preenchimento!$A$2:$BV$1048576,6,0),"")</f>
        <v/>
      </c>
      <c r="L259" s="96" t="str">
        <f>IF(IFERROR(VLOOKUP($E259,Preenchimento!$A$2:$BV$1048576,53,0),"")=0,"",IFERROR(VLOOKUP($E259,Preenchimento!$A$2:$BV$1048576,53,0),""))</f>
        <v/>
      </c>
      <c r="M259" s="96" t="str">
        <f>IFERROR(VLOOKUP($E259,Preenchimento!$A$2:$BV$1048576,74,0),"")</f>
        <v/>
      </c>
    </row>
    <row r="260" spans="1:13" x14ac:dyDescent="0.2">
      <c r="A260" s="96">
        <f>Sitio!$E$3</f>
        <v>0</v>
      </c>
      <c r="B260" s="96" t="str">
        <f>IFERROR(VLOOKUP($E260,Preenchimento!$A$2:$BV$1048576,2,0),"")</f>
        <v/>
      </c>
      <c r="C260" s="96" t="str">
        <f>IFERROR(VLOOKUP($E260,Preenchimento!$A$2:$BV$1048576,4,0),"")</f>
        <v/>
      </c>
      <c r="D260" s="96" t="str">
        <f>IFERROR(VLOOKUP($E260,Preenchimento!$A$2:$BV$1048576,3,0),"")</f>
        <v/>
      </c>
      <c r="E260" s="96">
        <v>258</v>
      </c>
      <c r="F260" s="96" t="str">
        <f>IFERROR(VLOOKUP($E260,Preenchimento!$A$2:$BV$1048576,7,0),"")</f>
        <v/>
      </c>
      <c r="G260" s="96" t="str">
        <f>IF(IFERROR(VLOOKUP($E260,Preenchimento!$A$2:$BV$1048576,8,0),"")=0,"",IFERROR(VLOOKUP($E260,Preenchimento!$A$2:$BV$1048576,8,0),""))</f>
        <v/>
      </c>
      <c r="H260" s="96" t="str">
        <f>IFERROR(VLOOKUP($E260,Preenchimento!$A$2:$BV$1048576,9,0),"")</f>
        <v/>
      </c>
      <c r="I260" s="96" t="str">
        <f>IFERROR(VLOOKUP($E260,Preenchimento!$A$2:$BV$1048576,10,0),"")</f>
        <v/>
      </c>
      <c r="J260" s="96" t="str">
        <f>IFERROR(VLOOKUP($E260,Preenchimento!$A$2:$BV$1048576,12,0),"")</f>
        <v/>
      </c>
      <c r="K260" s="96" t="str">
        <f>IFERROR(VLOOKUP($E260,Preenchimento!$A$2:$BV$1048576,6,0),"")</f>
        <v/>
      </c>
      <c r="L260" s="96" t="str">
        <f>IF(IFERROR(VLOOKUP($E260,Preenchimento!$A$2:$BV$1048576,53,0),"")=0,"",IFERROR(VLOOKUP($E260,Preenchimento!$A$2:$BV$1048576,53,0),""))</f>
        <v/>
      </c>
      <c r="M260" s="96" t="str">
        <f>IFERROR(VLOOKUP($E260,Preenchimento!$A$2:$BV$1048576,74,0),"")</f>
        <v/>
      </c>
    </row>
    <row r="261" spans="1:13" x14ac:dyDescent="0.2">
      <c r="A261" s="96">
        <f>Sitio!$E$3</f>
        <v>0</v>
      </c>
      <c r="B261" s="96" t="str">
        <f>IFERROR(VLOOKUP($E261,Preenchimento!$A$2:$BV$1048576,2,0),"")</f>
        <v/>
      </c>
      <c r="C261" s="96" t="str">
        <f>IFERROR(VLOOKUP($E261,Preenchimento!$A$2:$BV$1048576,4,0),"")</f>
        <v/>
      </c>
      <c r="D261" s="96" t="str">
        <f>IFERROR(VLOOKUP($E261,Preenchimento!$A$2:$BV$1048576,3,0),"")</f>
        <v/>
      </c>
      <c r="E261" s="96">
        <v>259</v>
      </c>
      <c r="F261" s="96" t="str">
        <f>IFERROR(VLOOKUP($E261,Preenchimento!$A$2:$BV$1048576,7,0),"")</f>
        <v/>
      </c>
      <c r="G261" s="96" t="str">
        <f>IF(IFERROR(VLOOKUP($E261,Preenchimento!$A$2:$BV$1048576,8,0),"")=0,"",IFERROR(VLOOKUP($E261,Preenchimento!$A$2:$BV$1048576,8,0),""))</f>
        <v/>
      </c>
      <c r="H261" s="96" t="str">
        <f>IFERROR(VLOOKUP($E261,Preenchimento!$A$2:$BV$1048576,9,0),"")</f>
        <v/>
      </c>
      <c r="I261" s="96" t="str">
        <f>IFERROR(VLOOKUP($E261,Preenchimento!$A$2:$BV$1048576,10,0),"")</f>
        <v/>
      </c>
      <c r="J261" s="96" t="str">
        <f>IFERROR(VLOOKUP($E261,Preenchimento!$A$2:$BV$1048576,12,0),"")</f>
        <v/>
      </c>
      <c r="K261" s="96" t="str">
        <f>IFERROR(VLOOKUP($E261,Preenchimento!$A$2:$BV$1048576,6,0),"")</f>
        <v/>
      </c>
      <c r="L261" s="96" t="str">
        <f>IF(IFERROR(VLOOKUP($E261,Preenchimento!$A$2:$BV$1048576,53,0),"")=0,"",IFERROR(VLOOKUP($E261,Preenchimento!$A$2:$BV$1048576,53,0),""))</f>
        <v/>
      </c>
      <c r="M261" s="96" t="str">
        <f>IFERROR(VLOOKUP($E261,Preenchimento!$A$2:$BV$1048576,74,0),"")</f>
        <v/>
      </c>
    </row>
    <row r="262" spans="1:13" x14ac:dyDescent="0.2">
      <c r="A262" s="96">
        <f>Sitio!$E$3</f>
        <v>0</v>
      </c>
      <c r="B262" s="96" t="str">
        <f>IFERROR(VLOOKUP($E262,Preenchimento!$A$2:$BV$1048576,2,0),"")</f>
        <v/>
      </c>
      <c r="C262" s="96" t="str">
        <f>IFERROR(VLOOKUP($E262,Preenchimento!$A$2:$BV$1048576,4,0),"")</f>
        <v/>
      </c>
      <c r="D262" s="96" t="str">
        <f>IFERROR(VLOOKUP($E262,Preenchimento!$A$2:$BV$1048576,3,0),"")</f>
        <v/>
      </c>
      <c r="E262" s="96">
        <v>260</v>
      </c>
      <c r="F262" s="96" t="str">
        <f>IFERROR(VLOOKUP($E262,Preenchimento!$A$2:$BV$1048576,7,0),"")</f>
        <v/>
      </c>
      <c r="G262" s="96" t="str">
        <f>IF(IFERROR(VLOOKUP($E262,Preenchimento!$A$2:$BV$1048576,8,0),"")=0,"",IFERROR(VLOOKUP($E262,Preenchimento!$A$2:$BV$1048576,8,0),""))</f>
        <v/>
      </c>
      <c r="H262" s="96" t="str">
        <f>IFERROR(VLOOKUP($E262,Preenchimento!$A$2:$BV$1048576,9,0),"")</f>
        <v/>
      </c>
      <c r="I262" s="96" t="str">
        <f>IFERROR(VLOOKUP($E262,Preenchimento!$A$2:$BV$1048576,10,0),"")</f>
        <v/>
      </c>
      <c r="J262" s="96" t="str">
        <f>IFERROR(VLOOKUP($E262,Preenchimento!$A$2:$BV$1048576,12,0),"")</f>
        <v/>
      </c>
      <c r="K262" s="96" t="str">
        <f>IFERROR(VLOOKUP($E262,Preenchimento!$A$2:$BV$1048576,6,0),"")</f>
        <v/>
      </c>
      <c r="L262" s="96" t="str">
        <f>IF(IFERROR(VLOOKUP($E262,Preenchimento!$A$2:$BV$1048576,53,0),"")=0,"",IFERROR(VLOOKUP($E262,Preenchimento!$A$2:$BV$1048576,53,0),""))</f>
        <v/>
      </c>
      <c r="M262" s="96" t="str">
        <f>IFERROR(VLOOKUP($E262,Preenchimento!$A$2:$BV$1048576,74,0),"")</f>
        <v/>
      </c>
    </row>
    <row r="263" spans="1:13" x14ac:dyDescent="0.2">
      <c r="A263" s="96">
        <f>Sitio!$E$3</f>
        <v>0</v>
      </c>
      <c r="B263" s="96" t="str">
        <f>IFERROR(VLOOKUP($E263,Preenchimento!$A$2:$BV$1048576,2,0),"")</f>
        <v/>
      </c>
      <c r="C263" s="96" t="str">
        <f>IFERROR(VLOOKUP($E263,Preenchimento!$A$2:$BV$1048576,4,0),"")</f>
        <v/>
      </c>
      <c r="D263" s="96" t="str">
        <f>IFERROR(VLOOKUP($E263,Preenchimento!$A$2:$BV$1048576,3,0),"")</f>
        <v/>
      </c>
      <c r="E263" s="96">
        <v>261</v>
      </c>
      <c r="F263" s="96" t="str">
        <f>IFERROR(VLOOKUP($E263,Preenchimento!$A$2:$BV$1048576,7,0),"")</f>
        <v/>
      </c>
      <c r="G263" s="96" t="str">
        <f>IF(IFERROR(VLOOKUP($E263,Preenchimento!$A$2:$BV$1048576,8,0),"")=0,"",IFERROR(VLOOKUP($E263,Preenchimento!$A$2:$BV$1048576,8,0),""))</f>
        <v/>
      </c>
      <c r="H263" s="96" t="str">
        <f>IFERROR(VLOOKUP($E263,Preenchimento!$A$2:$BV$1048576,9,0),"")</f>
        <v/>
      </c>
      <c r="I263" s="96" t="str">
        <f>IFERROR(VLOOKUP($E263,Preenchimento!$A$2:$BV$1048576,10,0),"")</f>
        <v/>
      </c>
      <c r="J263" s="96" t="str">
        <f>IFERROR(VLOOKUP($E263,Preenchimento!$A$2:$BV$1048576,12,0),"")</f>
        <v/>
      </c>
      <c r="K263" s="96" t="str">
        <f>IFERROR(VLOOKUP($E263,Preenchimento!$A$2:$BV$1048576,6,0),"")</f>
        <v/>
      </c>
      <c r="L263" s="96" t="str">
        <f>IF(IFERROR(VLOOKUP($E263,Preenchimento!$A$2:$BV$1048576,53,0),"")=0,"",IFERROR(VLOOKUP($E263,Preenchimento!$A$2:$BV$1048576,53,0),""))</f>
        <v/>
      </c>
      <c r="M263" s="96" t="str">
        <f>IFERROR(VLOOKUP($E263,Preenchimento!$A$2:$BV$1048576,74,0),"")</f>
        <v/>
      </c>
    </row>
    <row r="264" spans="1:13" x14ac:dyDescent="0.2">
      <c r="A264" s="96">
        <f>Sitio!$E$3</f>
        <v>0</v>
      </c>
      <c r="B264" s="96" t="str">
        <f>IFERROR(VLOOKUP($E264,Preenchimento!$A$2:$BV$1048576,2,0),"")</f>
        <v/>
      </c>
      <c r="C264" s="96" t="str">
        <f>IFERROR(VLOOKUP($E264,Preenchimento!$A$2:$BV$1048576,4,0),"")</f>
        <v/>
      </c>
      <c r="D264" s="96" t="str">
        <f>IFERROR(VLOOKUP($E264,Preenchimento!$A$2:$BV$1048576,3,0),"")</f>
        <v/>
      </c>
      <c r="E264" s="96">
        <v>262</v>
      </c>
      <c r="F264" s="96" t="str">
        <f>IFERROR(VLOOKUP($E264,Preenchimento!$A$2:$BV$1048576,7,0),"")</f>
        <v/>
      </c>
      <c r="G264" s="96" t="str">
        <f>IF(IFERROR(VLOOKUP($E264,Preenchimento!$A$2:$BV$1048576,8,0),"")=0,"",IFERROR(VLOOKUP($E264,Preenchimento!$A$2:$BV$1048576,8,0),""))</f>
        <v/>
      </c>
      <c r="H264" s="96" t="str">
        <f>IFERROR(VLOOKUP($E264,Preenchimento!$A$2:$BV$1048576,9,0),"")</f>
        <v/>
      </c>
      <c r="I264" s="96" t="str">
        <f>IFERROR(VLOOKUP($E264,Preenchimento!$A$2:$BV$1048576,10,0),"")</f>
        <v/>
      </c>
      <c r="J264" s="96" t="str">
        <f>IFERROR(VLOOKUP($E264,Preenchimento!$A$2:$BV$1048576,12,0),"")</f>
        <v/>
      </c>
      <c r="K264" s="96" t="str">
        <f>IFERROR(VLOOKUP($E264,Preenchimento!$A$2:$BV$1048576,6,0),"")</f>
        <v/>
      </c>
      <c r="L264" s="96" t="str">
        <f>IF(IFERROR(VLOOKUP($E264,Preenchimento!$A$2:$BV$1048576,53,0),"")=0,"",IFERROR(VLOOKUP($E264,Preenchimento!$A$2:$BV$1048576,53,0),""))</f>
        <v/>
      </c>
      <c r="M264" s="96" t="str">
        <f>IFERROR(VLOOKUP($E264,Preenchimento!$A$2:$BV$1048576,74,0),"")</f>
        <v/>
      </c>
    </row>
    <row r="265" spans="1:13" x14ac:dyDescent="0.2">
      <c r="A265" s="96">
        <f>Sitio!$E$3</f>
        <v>0</v>
      </c>
      <c r="B265" s="96" t="str">
        <f>IFERROR(VLOOKUP($E265,Preenchimento!$A$2:$BV$1048576,2,0),"")</f>
        <v/>
      </c>
      <c r="C265" s="96" t="str">
        <f>IFERROR(VLOOKUP($E265,Preenchimento!$A$2:$BV$1048576,4,0),"")</f>
        <v/>
      </c>
      <c r="D265" s="96" t="str">
        <f>IFERROR(VLOOKUP($E265,Preenchimento!$A$2:$BV$1048576,3,0),"")</f>
        <v/>
      </c>
      <c r="E265" s="96">
        <v>263</v>
      </c>
      <c r="F265" s="96" t="str">
        <f>IFERROR(VLOOKUP($E265,Preenchimento!$A$2:$BV$1048576,7,0),"")</f>
        <v/>
      </c>
      <c r="G265" s="96" t="str">
        <f>IF(IFERROR(VLOOKUP($E265,Preenchimento!$A$2:$BV$1048576,8,0),"")=0,"",IFERROR(VLOOKUP($E265,Preenchimento!$A$2:$BV$1048576,8,0),""))</f>
        <v/>
      </c>
      <c r="H265" s="96" t="str">
        <f>IFERROR(VLOOKUP($E265,Preenchimento!$A$2:$BV$1048576,9,0),"")</f>
        <v/>
      </c>
      <c r="I265" s="96" t="str">
        <f>IFERROR(VLOOKUP($E265,Preenchimento!$A$2:$BV$1048576,10,0),"")</f>
        <v/>
      </c>
      <c r="J265" s="96" t="str">
        <f>IFERROR(VLOOKUP($E265,Preenchimento!$A$2:$BV$1048576,12,0),"")</f>
        <v/>
      </c>
      <c r="K265" s="96" t="str">
        <f>IFERROR(VLOOKUP($E265,Preenchimento!$A$2:$BV$1048576,6,0),"")</f>
        <v/>
      </c>
      <c r="L265" s="96" t="str">
        <f>IF(IFERROR(VLOOKUP($E265,Preenchimento!$A$2:$BV$1048576,53,0),"")=0,"",IFERROR(VLOOKUP($E265,Preenchimento!$A$2:$BV$1048576,53,0),""))</f>
        <v/>
      </c>
      <c r="M265" s="96" t="str">
        <f>IFERROR(VLOOKUP($E265,Preenchimento!$A$2:$BV$1048576,74,0),"")</f>
        <v/>
      </c>
    </row>
    <row r="266" spans="1:13" x14ac:dyDescent="0.2">
      <c r="A266" s="96">
        <f>Sitio!$E$3</f>
        <v>0</v>
      </c>
      <c r="B266" s="96" t="str">
        <f>IFERROR(VLOOKUP($E266,Preenchimento!$A$2:$BV$1048576,2,0),"")</f>
        <v/>
      </c>
      <c r="C266" s="96" t="str">
        <f>IFERROR(VLOOKUP($E266,Preenchimento!$A$2:$BV$1048576,4,0),"")</f>
        <v/>
      </c>
      <c r="D266" s="96" t="str">
        <f>IFERROR(VLOOKUP($E266,Preenchimento!$A$2:$BV$1048576,3,0),"")</f>
        <v/>
      </c>
      <c r="E266" s="96">
        <v>264</v>
      </c>
      <c r="F266" s="96" t="str">
        <f>IFERROR(VLOOKUP($E266,Preenchimento!$A$2:$BV$1048576,7,0),"")</f>
        <v/>
      </c>
      <c r="G266" s="96" t="str">
        <f>IF(IFERROR(VLOOKUP($E266,Preenchimento!$A$2:$BV$1048576,8,0),"")=0,"",IFERROR(VLOOKUP($E266,Preenchimento!$A$2:$BV$1048576,8,0),""))</f>
        <v/>
      </c>
      <c r="H266" s="96" t="str">
        <f>IFERROR(VLOOKUP($E266,Preenchimento!$A$2:$BV$1048576,9,0),"")</f>
        <v/>
      </c>
      <c r="I266" s="96" t="str">
        <f>IFERROR(VLOOKUP($E266,Preenchimento!$A$2:$BV$1048576,10,0),"")</f>
        <v/>
      </c>
      <c r="J266" s="96" t="str">
        <f>IFERROR(VLOOKUP($E266,Preenchimento!$A$2:$BV$1048576,12,0),"")</f>
        <v/>
      </c>
      <c r="K266" s="96" t="str">
        <f>IFERROR(VLOOKUP($E266,Preenchimento!$A$2:$BV$1048576,6,0),"")</f>
        <v/>
      </c>
      <c r="L266" s="96" t="str">
        <f>IF(IFERROR(VLOOKUP($E266,Preenchimento!$A$2:$BV$1048576,53,0),"")=0,"",IFERROR(VLOOKUP($E266,Preenchimento!$A$2:$BV$1048576,53,0),""))</f>
        <v/>
      </c>
      <c r="M266" s="96" t="str">
        <f>IFERROR(VLOOKUP($E266,Preenchimento!$A$2:$BV$1048576,74,0),"")</f>
        <v/>
      </c>
    </row>
    <row r="267" spans="1:13" x14ac:dyDescent="0.2">
      <c r="A267" s="96">
        <f>Sitio!$E$3</f>
        <v>0</v>
      </c>
      <c r="B267" s="96" t="str">
        <f>IFERROR(VLOOKUP($E267,Preenchimento!$A$2:$BV$1048576,2,0),"")</f>
        <v/>
      </c>
      <c r="C267" s="96" t="str">
        <f>IFERROR(VLOOKUP($E267,Preenchimento!$A$2:$BV$1048576,4,0),"")</f>
        <v/>
      </c>
      <c r="D267" s="96" t="str">
        <f>IFERROR(VLOOKUP($E267,Preenchimento!$A$2:$BV$1048576,3,0),"")</f>
        <v/>
      </c>
      <c r="E267" s="96">
        <v>265</v>
      </c>
      <c r="F267" s="96" t="str">
        <f>IFERROR(VLOOKUP($E267,Preenchimento!$A$2:$BV$1048576,7,0),"")</f>
        <v/>
      </c>
      <c r="G267" s="96" t="str">
        <f>IF(IFERROR(VLOOKUP($E267,Preenchimento!$A$2:$BV$1048576,8,0),"")=0,"",IFERROR(VLOOKUP($E267,Preenchimento!$A$2:$BV$1048576,8,0),""))</f>
        <v/>
      </c>
      <c r="H267" s="96" t="str">
        <f>IFERROR(VLOOKUP($E267,Preenchimento!$A$2:$BV$1048576,9,0),"")</f>
        <v/>
      </c>
      <c r="I267" s="96" t="str">
        <f>IFERROR(VLOOKUP($E267,Preenchimento!$A$2:$BV$1048576,10,0),"")</f>
        <v/>
      </c>
      <c r="J267" s="96" t="str">
        <f>IFERROR(VLOOKUP($E267,Preenchimento!$A$2:$BV$1048576,12,0),"")</f>
        <v/>
      </c>
      <c r="K267" s="96" t="str">
        <f>IFERROR(VLOOKUP($E267,Preenchimento!$A$2:$BV$1048576,6,0),"")</f>
        <v/>
      </c>
      <c r="L267" s="96" t="str">
        <f>IF(IFERROR(VLOOKUP($E267,Preenchimento!$A$2:$BV$1048576,53,0),"")=0,"",IFERROR(VLOOKUP($E267,Preenchimento!$A$2:$BV$1048576,53,0),""))</f>
        <v/>
      </c>
      <c r="M267" s="96" t="str">
        <f>IFERROR(VLOOKUP($E267,Preenchimento!$A$2:$BV$1048576,74,0),"")</f>
        <v/>
      </c>
    </row>
    <row r="268" spans="1:13" x14ac:dyDescent="0.2">
      <c r="A268" s="96">
        <f>Sitio!$E$3</f>
        <v>0</v>
      </c>
      <c r="B268" s="96" t="str">
        <f>IFERROR(VLOOKUP($E268,Preenchimento!$A$2:$BV$1048576,2,0),"")</f>
        <v/>
      </c>
      <c r="C268" s="96" t="str">
        <f>IFERROR(VLOOKUP($E268,Preenchimento!$A$2:$BV$1048576,4,0),"")</f>
        <v/>
      </c>
      <c r="D268" s="96" t="str">
        <f>IFERROR(VLOOKUP($E268,Preenchimento!$A$2:$BV$1048576,3,0),"")</f>
        <v/>
      </c>
      <c r="E268" s="96">
        <v>266</v>
      </c>
      <c r="F268" s="96" t="str">
        <f>IFERROR(VLOOKUP($E268,Preenchimento!$A$2:$BV$1048576,7,0),"")</f>
        <v/>
      </c>
      <c r="G268" s="96" t="str">
        <f>IF(IFERROR(VLOOKUP($E268,Preenchimento!$A$2:$BV$1048576,8,0),"")=0,"",IFERROR(VLOOKUP($E268,Preenchimento!$A$2:$BV$1048576,8,0),""))</f>
        <v/>
      </c>
      <c r="H268" s="96" t="str">
        <f>IFERROR(VLOOKUP($E268,Preenchimento!$A$2:$BV$1048576,9,0),"")</f>
        <v/>
      </c>
      <c r="I268" s="96" t="str">
        <f>IFERROR(VLOOKUP($E268,Preenchimento!$A$2:$BV$1048576,10,0),"")</f>
        <v/>
      </c>
      <c r="J268" s="96" t="str">
        <f>IFERROR(VLOOKUP($E268,Preenchimento!$A$2:$BV$1048576,12,0),"")</f>
        <v/>
      </c>
      <c r="K268" s="96" t="str">
        <f>IFERROR(VLOOKUP($E268,Preenchimento!$A$2:$BV$1048576,6,0),"")</f>
        <v/>
      </c>
      <c r="L268" s="96" t="str">
        <f>IF(IFERROR(VLOOKUP($E268,Preenchimento!$A$2:$BV$1048576,53,0),"")=0,"",IFERROR(VLOOKUP($E268,Preenchimento!$A$2:$BV$1048576,53,0),""))</f>
        <v/>
      </c>
      <c r="M268" s="96" t="str">
        <f>IFERROR(VLOOKUP($E268,Preenchimento!$A$2:$BV$1048576,74,0),"")</f>
        <v/>
      </c>
    </row>
    <row r="269" spans="1:13" x14ac:dyDescent="0.2">
      <c r="A269" s="96">
        <f>Sitio!$E$3</f>
        <v>0</v>
      </c>
      <c r="B269" s="96" t="str">
        <f>IFERROR(VLOOKUP($E269,Preenchimento!$A$2:$BV$1048576,2,0),"")</f>
        <v/>
      </c>
      <c r="C269" s="96" t="str">
        <f>IFERROR(VLOOKUP($E269,Preenchimento!$A$2:$BV$1048576,4,0),"")</f>
        <v/>
      </c>
      <c r="D269" s="96" t="str">
        <f>IFERROR(VLOOKUP($E269,Preenchimento!$A$2:$BV$1048576,3,0),"")</f>
        <v/>
      </c>
      <c r="E269" s="96">
        <v>267</v>
      </c>
      <c r="F269" s="96" t="str">
        <f>IFERROR(VLOOKUP($E269,Preenchimento!$A$2:$BV$1048576,7,0),"")</f>
        <v/>
      </c>
      <c r="G269" s="96" t="str">
        <f>IF(IFERROR(VLOOKUP($E269,Preenchimento!$A$2:$BV$1048576,8,0),"")=0,"",IFERROR(VLOOKUP($E269,Preenchimento!$A$2:$BV$1048576,8,0),""))</f>
        <v/>
      </c>
      <c r="H269" s="96" t="str">
        <f>IFERROR(VLOOKUP($E269,Preenchimento!$A$2:$BV$1048576,9,0),"")</f>
        <v/>
      </c>
      <c r="I269" s="96" t="str">
        <f>IFERROR(VLOOKUP($E269,Preenchimento!$A$2:$BV$1048576,10,0),"")</f>
        <v/>
      </c>
      <c r="J269" s="96" t="str">
        <f>IFERROR(VLOOKUP($E269,Preenchimento!$A$2:$BV$1048576,12,0),"")</f>
        <v/>
      </c>
      <c r="K269" s="96" t="str">
        <f>IFERROR(VLOOKUP($E269,Preenchimento!$A$2:$BV$1048576,6,0),"")</f>
        <v/>
      </c>
      <c r="L269" s="96" t="str">
        <f>IF(IFERROR(VLOOKUP($E269,Preenchimento!$A$2:$BV$1048576,53,0),"")=0,"",IFERROR(VLOOKUP($E269,Preenchimento!$A$2:$BV$1048576,53,0),""))</f>
        <v/>
      </c>
      <c r="M269" s="96" t="str">
        <f>IFERROR(VLOOKUP($E269,Preenchimento!$A$2:$BV$1048576,74,0),"")</f>
        <v/>
      </c>
    </row>
    <row r="270" spans="1:13" x14ac:dyDescent="0.2">
      <c r="A270" s="96">
        <f>Sitio!$E$3</f>
        <v>0</v>
      </c>
      <c r="B270" s="96" t="str">
        <f>IFERROR(VLOOKUP($E270,Preenchimento!$A$2:$BV$1048576,2,0),"")</f>
        <v/>
      </c>
      <c r="C270" s="96" t="str">
        <f>IFERROR(VLOOKUP($E270,Preenchimento!$A$2:$BV$1048576,4,0),"")</f>
        <v/>
      </c>
      <c r="D270" s="96" t="str">
        <f>IFERROR(VLOOKUP($E270,Preenchimento!$A$2:$BV$1048576,3,0),"")</f>
        <v/>
      </c>
      <c r="E270" s="96">
        <v>268</v>
      </c>
      <c r="F270" s="96" t="str">
        <f>IFERROR(VLOOKUP($E270,Preenchimento!$A$2:$BV$1048576,7,0),"")</f>
        <v/>
      </c>
      <c r="G270" s="96" t="str">
        <f>IF(IFERROR(VLOOKUP($E270,Preenchimento!$A$2:$BV$1048576,8,0),"")=0,"",IFERROR(VLOOKUP($E270,Preenchimento!$A$2:$BV$1048576,8,0),""))</f>
        <v/>
      </c>
      <c r="H270" s="96" t="str">
        <f>IFERROR(VLOOKUP($E270,Preenchimento!$A$2:$BV$1048576,9,0),"")</f>
        <v/>
      </c>
      <c r="I270" s="96" t="str">
        <f>IFERROR(VLOOKUP($E270,Preenchimento!$A$2:$BV$1048576,10,0),"")</f>
        <v/>
      </c>
      <c r="J270" s="96" t="str">
        <f>IFERROR(VLOOKUP($E270,Preenchimento!$A$2:$BV$1048576,12,0),"")</f>
        <v/>
      </c>
      <c r="K270" s="96" t="str">
        <f>IFERROR(VLOOKUP($E270,Preenchimento!$A$2:$BV$1048576,6,0),"")</f>
        <v/>
      </c>
      <c r="L270" s="96" t="str">
        <f>IF(IFERROR(VLOOKUP($E270,Preenchimento!$A$2:$BV$1048576,53,0),"")=0,"",IFERROR(VLOOKUP($E270,Preenchimento!$A$2:$BV$1048576,53,0),""))</f>
        <v/>
      </c>
      <c r="M270" s="96" t="str">
        <f>IFERROR(VLOOKUP($E270,Preenchimento!$A$2:$BV$1048576,74,0),"")</f>
        <v/>
      </c>
    </row>
    <row r="271" spans="1:13" x14ac:dyDescent="0.2">
      <c r="A271" s="96">
        <f>Sitio!$E$3</f>
        <v>0</v>
      </c>
      <c r="B271" s="96" t="str">
        <f>IFERROR(VLOOKUP($E271,Preenchimento!$A$2:$BV$1048576,2,0),"")</f>
        <v/>
      </c>
      <c r="C271" s="96" t="str">
        <f>IFERROR(VLOOKUP($E271,Preenchimento!$A$2:$BV$1048576,4,0),"")</f>
        <v/>
      </c>
      <c r="D271" s="96" t="str">
        <f>IFERROR(VLOOKUP($E271,Preenchimento!$A$2:$BV$1048576,3,0),"")</f>
        <v/>
      </c>
      <c r="E271" s="96">
        <v>269</v>
      </c>
      <c r="F271" s="96" t="str">
        <f>IFERROR(VLOOKUP($E271,Preenchimento!$A$2:$BV$1048576,7,0),"")</f>
        <v/>
      </c>
      <c r="G271" s="96" t="str">
        <f>IF(IFERROR(VLOOKUP($E271,Preenchimento!$A$2:$BV$1048576,8,0),"")=0,"",IFERROR(VLOOKUP($E271,Preenchimento!$A$2:$BV$1048576,8,0),""))</f>
        <v/>
      </c>
      <c r="H271" s="96" t="str">
        <f>IFERROR(VLOOKUP($E271,Preenchimento!$A$2:$BV$1048576,9,0),"")</f>
        <v/>
      </c>
      <c r="I271" s="96" t="str">
        <f>IFERROR(VLOOKUP($E271,Preenchimento!$A$2:$BV$1048576,10,0),"")</f>
        <v/>
      </c>
      <c r="J271" s="96" t="str">
        <f>IFERROR(VLOOKUP($E271,Preenchimento!$A$2:$BV$1048576,12,0),"")</f>
        <v/>
      </c>
      <c r="K271" s="96" t="str">
        <f>IFERROR(VLOOKUP($E271,Preenchimento!$A$2:$BV$1048576,6,0),"")</f>
        <v/>
      </c>
      <c r="L271" s="96" t="str">
        <f>IF(IFERROR(VLOOKUP($E271,Preenchimento!$A$2:$BV$1048576,53,0),"")=0,"",IFERROR(VLOOKUP($E271,Preenchimento!$A$2:$BV$1048576,53,0),""))</f>
        <v/>
      </c>
      <c r="M271" s="96" t="str">
        <f>IFERROR(VLOOKUP($E271,Preenchimento!$A$2:$BV$1048576,74,0),"")</f>
        <v/>
      </c>
    </row>
    <row r="272" spans="1:13" x14ac:dyDescent="0.2">
      <c r="A272" s="96">
        <f>Sitio!$E$3</f>
        <v>0</v>
      </c>
      <c r="B272" s="96" t="str">
        <f>IFERROR(VLOOKUP($E272,Preenchimento!$A$2:$BV$1048576,2,0),"")</f>
        <v/>
      </c>
      <c r="C272" s="96" t="str">
        <f>IFERROR(VLOOKUP($E272,Preenchimento!$A$2:$BV$1048576,4,0),"")</f>
        <v/>
      </c>
      <c r="D272" s="96" t="str">
        <f>IFERROR(VLOOKUP($E272,Preenchimento!$A$2:$BV$1048576,3,0),"")</f>
        <v/>
      </c>
      <c r="E272" s="96">
        <v>270</v>
      </c>
      <c r="F272" s="96" t="str">
        <f>IFERROR(VLOOKUP($E272,Preenchimento!$A$2:$BV$1048576,7,0),"")</f>
        <v/>
      </c>
      <c r="G272" s="96" t="str">
        <f>IF(IFERROR(VLOOKUP($E272,Preenchimento!$A$2:$BV$1048576,8,0),"")=0,"",IFERROR(VLOOKUP($E272,Preenchimento!$A$2:$BV$1048576,8,0),""))</f>
        <v/>
      </c>
      <c r="H272" s="96" t="str">
        <f>IFERROR(VLOOKUP($E272,Preenchimento!$A$2:$BV$1048576,9,0),"")</f>
        <v/>
      </c>
      <c r="I272" s="96" t="str">
        <f>IFERROR(VLOOKUP($E272,Preenchimento!$A$2:$BV$1048576,10,0),"")</f>
        <v/>
      </c>
      <c r="J272" s="96" t="str">
        <f>IFERROR(VLOOKUP($E272,Preenchimento!$A$2:$BV$1048576,12,0),"")</f>
        <v/>
      </c>
      <c r="K272" s="96" t="str">
        <f>IFERROR(VLOOKUP($E272,Preenchimento!$A$2:$BV$1048576,6,0),"")</f>
        <v/>
      </c>
      <c r="L272" s="96" t="str">
        <f>IF(IFERROR(VLOOKUP($E272,Preenchimento!$A$2:$BV$1048576,53,0),"")=0,"",IFERROR(VLOOKUP($E272,Preenchimento!$A$2:$BV$1048576,53,0),""))</f>
        <v/>
      </c>
      <c r="M272" s="96" t="str">
        <f>IFERROR(VLOOKUP($E272,Preenchimento!$A$2:$BV$1048576,74,0),"")</f>
        <v/>
      </c>
    </row>
    <row r="273" spans="1:13" x14ac:dyDescent="0.2">
      <c r="A273" s="96">
        <f>Sitio!$E$3</f>
        <v>0</v>
      </c>
      <c r="B273" s="96" t="str">
        <f>IFERROR(VLOOKUP($E273,Preenchimento!$A$2:$BV$1048576,2,0),"")</f>
        <v/>
      </c>
      <c r="C273" s="96" t="str">
        <f>IFERROR(VLOOKUP($E273,Preenchimento!$A$2:$BV$1048576,4,0),"")</f>
        <v/>
      </c>
      <c r="D273" s="96" t="str">
        <f>IFERROR(VLOOKUP($E273,Preenchimento!$A$2:$BV$1048576,3,0),"")</f>
        <v/>
      </c>
      <c r="E273" s="96">
        <v>271</v>
      </c>
      <c r="F273" s="96" t="str">
        <f>IFERROR(VLOOKUP($E273,Preenchimento!$A$2:$BV$1048576,7,0),"")</f>
        <v/>
      </c>
      <c r="G273" s="96" t="str">
        <f>IF(IFERROR(VLOOKUP($E273,Preenchimento!$A$2:$BV$1048576,8,0),"")=0,"",IFERROR(VLOOKUP($E273,Preenchimento!$A$2:$BV$1048576,8,0),""))</f>
        <v/>
      </c>
      <c r="H273" s="96" t="str">
        <f>IFERROR(VLOOKUP($E273,Preenchimento!$A$2:$BV$1048576,9,0),"")</f>
        <v/>
      </c>
      <c r="I273" s="96" t="str">
        <f>IFERROR(VLOOKUP($E273,Preenchimento!$A$2:$BV$1048576,10,0),"")</f>
        <v/>
      </c>
      <c r="J273" s="96" t="str">
        <f>IFERROR(VLOOKUP($E273,Preenchimento!$A$2:$BV$1048576,12,0),"")</f>
        <v/>
      </c>
      <c r="K273" s="96" t="str">
        <f>IFERROR(VLOOKUP($E273,Preenchimento!$A$2:$BV$1048576,6,0),"")</f>
        <v/>
      </c>
      <c r="L273" s="96" t="str">
        <f>IF(IFERROR(VLOOKUP($E273,Preenchimento!$A$2:$BV$1048576,53,0),"")=0,"",IFERROR(VLOOKUP($E273,Preenchimento!$A$2:$BV$1048576,53,0),""))</f>
        <v/>
      </c>
      <c r="M273" s="96" t="str">
        <f>IFERROR(VLOOKUP($E273,Preenchimento!$A$2:$BV$1048576,74,0),"")</f>
        <v/>
      </c>
    </row>
    <row r="274" spans="1:13" x14ac:dyDescent="0.2">
      <c r="A274" s="96">
        <f>Sitio!$E$3</f>
        <v>0</v>
      </c>
      <c r="B274" s="96" t="str">
        <f>IFERROR(VLOOKUP($E274,Preenchimento!$A$2:$BV$1048576,2,0),"")</f>
        <v/>
      </c>
      <c r="C274" s="96" t="str">
        <f>IFERROR(VLOOKUP($E274,Preenchimento!$A$2:$BV$1048576,4,0),"")</f>
        <v/>
      </c>
      <c r="D274" s="96" t="str">
        <f>IFERROR(VLOOKUP($E274,Preenchimento!$A$2:$BV$1048576,3,0),"")</f>
        <v/>
      </c>
      <c r="E274" s="96">
        <v>272</v>
      </c>
      <c r="F274" s="96" t="str">
        <f>IFERROR(VLOOKUP($E274,Preenchimento!$A$2:$BV$1048576,7,0),"")</f>
        <v/>
      </c>
      <c r="G274" s="96" t="str">
        <f>IF(IFERROR(VLOOKUP($E274,Preenchimento!$A$2:$BV$1048576,8,0),"")=0,"",IFERROR(VLOOKUP($E274,Preenchimento!$A$2:$BV$1048576,8,0),""))</f>
        <v/>
      </c>
      <c r="H274" s="96" t="str">
        <f>IFERROR(VLOOKUP($E274,Preenchimento!$A$2:$BV$1048576,9,0),"")</f>
        <v/>
      </c>
      <c r="I274" s="96" t="str">
        <f>IFERROR(VLOOKUP($E274,Preenchimento!$A$2:$BV$1048576,10,0),"")</f>
        <v/>
      </c>
      <c r="J274" s="96" t="str">
        <f>IFERROR(VLOOKUP($E274,Preenchimento!$A$2:$BV$1048576,12,0),"")</f>
        <v/>
      </c>
      <c r="K274" s="96" t="str">
        <f>IFERROR(VLOOKUP($E274,Preenchimento!$A$2:$BV$1048576,6,0),"")</f>
        <v/>
      </c>
      <c r="L274" s="96" t="str">
        <f>IF(IFERROR(VLOOKUP($E274,Preenchimento!$A$2:$BV$1048576,53,0),"")=0,"",IFERROR(VLOOKUP($E274,Preenchimento!$A$2:$BV$1048576,53,0),""))</f>
        <v/>
      </c>
      <c r="M274" s="96" t="str">
        <f>IFERROR(VLOOKUP($E274,Preenchimento!$A$2:$BV$1048576,74,0),"")</f>
        <v/>
      </c>
    </row>
    <row r="275" spans="1:13" x14ac:dyDescent="0.2">
      <c r="A275" s="96">
        <f>Sitio!$E$3</f>
        <v>0</v>
      </c>
      <c r="B275" s="96" t="str">
        <f>IFERROR(VLOOKUP($E275,Preenchimento!$A$2:$BV$1048576,2,0),"")</f>
        <v/>
      </c>
      <c r="C275" s="96" t="str">
        <f>IFERROR(VLOOKUP($E275,Preenchimento!$A$2:$BV$1048576,4,0),"")</f>
        <v/>
      </c>
      <c r="D275" s="96" t="str">
        <f>IFERROR(VLOOKUP($E275,Preenchimento!$A$2:$BV$1048576,3,0),"")</f>
        <v/>
      </c>
      <c r="E275" s="96">
        <v>273</v>
      </c>
      <c r="F275" s="96" t="str">
        <f>IFERROR(VLOOKUP($E275,Preenchimento!$A$2:$BV$1048576,7,0),"")</f>
        <v/>
      </c>
      <c r="G275" s="96" t="str">
        <f>IF(IFERROR(VLOOKUP($E275,Preenchimento!$A$2:$BV$1048576,8,0),"")=0,"",IFERROR(VLOOKUP($E275,Preenchimento!$A$2:$BV$1048576,8,0),""))</f>
        <v/>
      </c>
      <c r="H275" s="96" t="str">
        <f>IFERROR(VLOOKUP($E275,Preenchimento!$A$2:$BV$1048576,9,0),"")</f>
        <v/>
      </c>
      <c r="I275" s="96" t="str">
        <f>IFERROR(VLOOKUP($E275,Preenchimento!$A$2:$BV$1048576,10,0),"")</f>
        <v/>
      </c>
      <c r="J275" s="96" t="str">
        <f>IFERROR(VLOOKUP($E275,Preenchimento!$A$2:$BV$1048576,12,0),"")</f>
        <v/>
      </c>
      <c r="K275" s="96" t="str">
        <f>IFERROR(VLOOKUP($E275,Preenchimento!$A$2:$BV$1048576,6,0),"")</f>
        <v/>
      </c>
      <c r="L275" s="96" t="str">
        <f>IF(IFERROR(VLOOKUP($E275,Preenchimento!$A$2:$BV$1048576,53,0),"")=0,"",IFERROR(VLOOKUP($E275,Preenchimento!$A$2:$BV$1048576,53,0),""))</f>
        <v/>
      </c>
      <c r="M275" s="96" t="str">
        <f>IFERROR(VLOOKUP($E275,Preenchimento!$A$2:$BV$1048576,74,0),"")</f>
        <v/>
      </c>
    </row>
    <row r="276" spans="1:13" x14ac:dyDescent="0.2">
      <c r="A276" s="96">
        <f>Sitio!$E$3</f>
        <v>0</v>
      </c>
      <c r="B276" s="96" t="str">
        <f>IFERROR(VLOOKUP($E276,Preenchimento!$A$2:$BV$1048576,2,0),"")</f>
        <v/>
      </c>
      <c r="C276" s="96" t="str">
        <f>IFERROR(VLOOKUP($E276,Preenchimento!$A$2:$BV$1048576,4,0),"")</f>
        <v/>
      </c>
      <c r="D276" s="96" t="str">
        <f>IFERROR(VLOOKUP($E276,Preenchimento!$A$2:$BV$1048576,3,0),"")</f>
        <v/>
      </c>
      <c r="E276" s="96">
        <v>274</v>
      </c>
      <c r="F276" s="96" t="str">
        <f>IFERROR(VLOOKUP($E276,Preenchimento!$A$2:$BV$1048576,7,0),"")</f>
        <v/>
      </c>
      <c r="G276" s="96" t="str">
        <f>IF(IFERROR(VLOOKUP($E276,Preenchimento!$A$2:$BV$1048576,8,0),"")=0,"",IFERROR(VLOOKUP($E276,Preenchimento!$A$2:$BV$1048576,8,0),""))</f>
        <v/>
      </c>
      <c r="H276" s="96" t="str">
        <f>IFERROR(VLOOKUP($E276,Preenchimento!$A$2:$BV$1048576,9,0),"")</f>
        <v/>
      </c>
      <c r="I276" s="96" t="str">
        <f>IFERROR(VLOOKUP($E276,Preenchimento!$A$2:$BV$1048576,10,0),"")</f>
        <v/>
      </c>
      <c r="J276" s="96" t="str">
        <f>IFERROR(VLOOKUP($E276,Preenchimento!$A$2:$BV$1048576,12,0),"")</f>
        <v/>
      </c>
      <c r="K276" s="96" t="str">
        <f>IFERROR(VLOOKUP($E276,Preenchimento!$A$2:$BV$1048576,6,0),"")</f>
        <v/>
      </c>
      <c r="L276" s="96" t="str">
        <f>IF(IFERROR(VLOOKUP($E276,Preenchimento!$A$2:$BV$1048576,53,0),"")=0,"",IFERROR(VLOOKUP($E276,Preenchimento!$A$2:$BV$1048576,53,0),""))</f>
        <v/>
      </c>
      <c r="M276" s="96" t="str">
        <f>IFERROR(VLOOKUP($E276,Preenchimento!$A$2:$BV$1048576,74,0),"")</f>
        <v/>
      </c>
    </row>
    <row r="277" spans="1:13" x14ac:dyDescent="0.2">
      <c r="A277" s="96">
        <f>Sitio!$E$3</f>
        <v>0</v>
      </c>
      <c r="B277" s="96" t="str">
        <f>IFERROR(VLOOKUP($E277,Preenchimento!$A$2:$BV$1048576,2,0),"")</f>
        <v/>
      </c>
      <c r="C277" s="96" t="str">
        <f>IFERROR(VLOOKUP($E277,Preenchimento!$A$2:$BV$1048576,4,0),"")</f>
        <v/>
      </c>
      <c r="D277" s="96" t="str">
        <f>IFERROR(VLOOKUP($E277,Preenchimento!$A$2:$BV$1048576,3,0),"")</f>
        <v/>
      </c>
      <c r="E277" s="96">
        <v>275</v>
      </c>
      <c r="F277" s="96" t="str">
        <f>IFERROR(VLOOKUP($E277,Preenchimento!$A$2:$BV$1048576,7,0),"")</f>
        <v/>
      </c>
      <c r="G277" s="96" t="str">
        <f>IF(IFERROR(VLOOKUP($E277,Preenchimento!$A$2:$BV$1048576,8,0),"")=0,"",IFERROR(VLOOKUP($E277,Preenchimento!$A$2:$BV$1048576,8,0),""))</f>
        <v/>
      </c>
      <c r="H277" s="96" t="str">
        <f>IFERROR(VLOOKUP($E277,Preenchimento!$A$2:$BV$1048576,9,0),"")</f>
        <v/>
      </c>
      <c r="I277" s="96" t="str">
        <f>IFERROR(VLOOKUP($E277,Preenchimento!$A$2:$BV$1048576,10,0),"")</f>
        <v/>
      </c>
      <c r="J277" s="96" t="str">
        <f>IFERROR(VLOOKUP($E277,Preenchimento!$A$2:$BV$1048576,12,0),"")</f>
        <v/>
      </c>
      <c r="K277" s="96" t="str">
        <f>IFERROR(VLOOKUP($E277,Preenchimento!$A$2:$BV$1048576,6,0),"")</f>
        <v/>
      </c>
      <c r="L277" s="96" t="str">
        <f>IF(IFERROR(VLOOKUP($E277,Preenchimento!$A$2:$BV$1048576,53,0),"")=0,"",IFERROR(VLOOKUP($E277,Preenchimento!$A$2:$BV$1048576,53,0),""))</f>
        <v/>
      </c>
      <c r="M277" s="96" t="str">
        <f>IFERROR(VLOOKUP($E277,Preenchimento!$A$2:$BV$1048576,74,0),"")</f>
        <v/>
      </c>
    </row>
    <row r="278" spans="1:13" x14ac:dyDescent="0.2">
      <c r="A278" s="96">
        <f>Sitio!$E$3</f>
        <v>0</v>
      </c>
      <c r="B278" s="96" t="str">
        <f>IFERROR(VLOOKUP($E278,Preenchimento!$A$2:$BV$1048576,2,0),"")</f>
        <v/>
      </c>
      <c r="C278" s="96" t="str">
        <f>IFERROR(VLOOKUP($E278,Preenchimento!$A$2:$BV$1048576,4,0),"")</f>
        <v/>
      </c>
      <c r="D278" s="96" t="str">
        <f>IFERROR(VLOOKUP($E278,Preenchimento!$A$2:$BV$1048576,3,0),"")</f>
        <v/>
      </c>
      <c r="E278" s="96">
        <v>276</v>
      </c>
      <c r="F278" s="96" t="str">
        <f>IFERROR(VLOOKUP($E278,Preenchimento!$A$2:$BV$1048576,7,0),"")</f>
        <v/>
      </c>
      <c r="G278" s="96" t="str">
        <f>IF(IFERROR(VLOOKUP($E278,Preenchimento!$A$2:$BV$1048576,8,0),"")=0,"",IFERROR(VLOOKUP($E278,Preenchimento!$A$2:$BV$1048576,8,0),""))</f>
        <v/>
      </c>
      <c r="H278" s="96" t="str">
        <f>IFERROR(VLOOKUP($E278,Preenchimento!$A$2:$BV$1048576,9,0),"")</f>
        <v/>
      </c>
      <c r="I278" s="96" t="str">
        <f>IFERROR(VLOOKUP($E278,Preenchimento!$A$2:$BV$1048576,10,0),"")</f>
        <v/>
      </c>
      <c r="J278" s="96" t="str">
        <f>IFERROR(VLOOKUP($E278,Preenchimento!$A$2:$BV$1048576,12,0),"")</f>
        <v/>
      </c>
      <c r="K278" s="96" t="str">
        <f>IFERROR(VLOOKUP($E278,Preenchimento!$A$2:$BV$1048576,6,0),"")</f>
        <v/>
      </c>
      <c r="L278" s="96" t="str">
        <f>IF(IFERROR(VLOOKUP($E278,Preenchimento!$A$2:$BV$1048576,53,0),"")=0,"",IFERROR(VLOOKUP($E278,Preenchimento!$A$2:$BV$1048576,53,0),""))</f>
        <v/>
      </c>
      <c r="M278" s="96" t="str">
        <f>IFERROR(VLOOKUP($E278,Preenchimento!$A$2:$BV$1048576,74,0),"")</f>
        <v/>
      </c>
    </row>
    <row r="279" spans="1:13" x14ac:dyDescent="0.2">
      <c r="A279" s="96">
        <f>Sitio!$E$3</f>
        <v>0</v>
      </c>
      <c r="B279" s="96" t="str">
        <f>IFERROR(VLOOKUP($E279,Preenchimento!$A$2:$BV$1048576,2,0),"")</f>
        <v/>
      </c>
      <c r="C279" s="96" t="str">
        <f>IFERROR(VLOOKUP($E279,Preenchimento!$A$2:$BV$1048576,4,0),"")</f>
        <v/>
      </c>
      <c r="D279" s="96" t="str">
        <f>IFERROR(VLOOKUP($E279,Preenchimento!$A$2:$BV$1048576,3,0),"")</f>
        <v/>
      </c>
      <c r="E279" s="96">
        <v>277</v>
      </c>
      <c r="F279" s="96" t="str">
        <f>IFERROR(VLOOKUP($E279,Preenchimento!$A$2:$BV$1048576,7,0),"")</f>
        <v/>
      </c>
      <c r="G279" s="96" t="str">
        <f>IF(IFERROR(VLOOKUP($E279,Preenchimento!$A$2:$BV$1048576,8,0),"")=0,"",IFERROR(VLOOKUP($E279,Preenchimento!$A$2:$BV$1048576,8,0),""))</f>
        <v/>
      </c>
      <c r="H279" s="96" t="str">
        <f>IFERROR(VLOOKUP($E279,Preenchimento!$A$2:$BV$1048576,9,0),"")</f>
        <v/>
      </c>
      <c r="I279" s="96" t="str">
        <f>IFERROR(VLOOKUP($E279,Preenchimento!$A$2:$BV$1048576,10,0),"")</f>
        <v/>
      </c>
      <c r="J279" s="96" t="str">
        <f>IFERROR(VLOOKUP($E279,Preenchimento!$A$2:$BV$1048576,12,0),"")</f>
        <v/>
      </c>
      <c r="K279" s="96" t="str">
        <f>IFERROR(VLOOKUP($E279,Preenchimento!$A$2:$BV$1048576,6,0),"")</f>
        <v/>
      </c>
      <c r="L279" s="96" t="str">
        <f>IF(IFERROR(VLOOKUP($E279,Preenchimento!$A$2:$BV$1048576,53,0),"")=0,"",IFERROR(VLOOKUP($E279,Preenchimento!$A$2:$BV$1048576,53,0),""))</f>
        <v/>
      </c>
      <c r="M279" s="96" t="str">
        <f>IFERROR(VLOOKUP($E279,Preenchimento!$A$2:$BV$1048576,74,0),"")</f>
        <v/>
      </c>
    </row>
    <row r="280" spans="1:13" x14ac:dyDescent="0.2">
      <c r="A280" s="96">
        <f>Sitio!$E$3</f>
        <v>0</v>
      </c>
      <c r="B280" s="96" t="str">
        <f>IFERROR(VLOOKUP($E280,Preenchimento!$A$2:$BV$1048576,2,0),"")</f>
        <v/>
      </c>
      <c r="C280" s="96" t="str">
        <f>IFERROR(VLOOKUP($E280,Preenchimento!$A$2:$BV$1048576,4,0),"")</f>
        <v/>
      </c>
      <c r="D280" s="96" t="str">
        <f>IFERROR(VLOOKUP($E280,Preenchimento!$A$2:$BV$1048576,3,0),"")</f>
        <v/>
      </c>
      <c r="E280" s="96">
        <v>278</v>
      </c>
      <c r="F280" s="96" t="str">
        <f>IFERROR(VLOOKUP($E280,Preenchimento!$A$2:$BV$1048576,7,0),"")</f>
        <v/>
      </c>
      <c r="G280" s="96" t="str">
        <f>IF(IFERROR(VLOOKUP($E280,Preenchimento!$A$2:$BV$1048576,8,0),"")=0,"",IFERROR(VLOOKUP($E280,Preenchimento!$A$2:$BV$1048576,8,0),""))</f>
        <v/>
      </c>
      <c r="H280" s="96" t="str">
        <f>IFERROR(VLOOKUP($E280,Preenchimento!$A$2:$BV$1048576,9,0),"")</f>
        <v/>
      </c>
      <c r="I280" s="96" t="str">
        <f>IFERROR(VLOOKUP($E280,Preenchimento!$A$2:$BV$1048576,10,0),"")</f>
        <v/>
      </c>
      <c r="J280" s="96" t="str">
        <f>IFERROR(VLOOKUP($E280,Preenchimento!$A$2:$BV$1048576,12,0),"")</f>
        <v/>
      </c>
      <c r="K280" s="96" t="str">
        <f>IFERROR(VLOOKUP($E280,Preenchimento!$A$2:$BV$1048576,6,0),"")</f>
        <v/>
      </c>
      <c r="L280" s="96" t="str">
        <f>IF(IFERROR(VLOOKUP($E280,Preenchimento!$A$2:$BV$1048576,53,0),"")=0,"",IFERROR(VLOOKUP($E280,Preenchimento!$A$2:$BV$1048576,53,0),""))</f>
        <v/>
      </c>
      <c r="M280" s="96" t="str">
        <f>IFERROR(VLOOKUP($E280,Preenchimento!$A$2:$BV$1048576,74,0),"")</f>
        <v/>
      </c>
    </row>
    <row r="281" spans="1:13" x14ac:dyDescent="0.2">
      <c r="A281" s="96">
        <f>Sitio!$E$3</f>
        <v>0</v>
      </c>
      <c r="B281" s="96" t="str">
        <f>IFERROR(VLOOKUP($E281,Preenchimento!$A$2:$BV$1048576,2,0),"")</f>
        <v/>
      </c>
      <c r="C281" s="96" t="str">
        <f>IFERROR(VLOOKUP($E281,Preenchimento!$A$2:$BV$1048576,4,0),"")</f>
        <v/>
      </c>
      <c r="D281" s="96" t="str">
        <f>IFERROR(VLOOKUP($E281,Preenchimento!$A$2:$BV$1048576,3,0),"")</f>
        <v/>
      </c>
      <c r="E281" s="96">
        <v>279</v>
      </c>
      <c r="F281" s="96" t="str">
        <f>IFERROR(VLOOKUP($E281,Preenchimento!$A$2:$BV$1048576,7,0),"")</f>
        <v/>
      </c>
      <c r="G281" s="96" t="str">
        <f>IF(IFERROR(VLOOKUP($E281,Preenchimento!$A$2:$BV$1048576,8,0),"")=0,"",IFERROR(VLOOKUP($E281,Preenchimento!$A$2:$BV$1048576,8,0),""))</f>
        <v/>
      </c>
      <c r="H281" s="96" t="str">
        <f>IFERROR(VLOOKUP($E281,Preenchimento!$A$2:$BV$1048576,9,0),"")</f>
        <v/>
      </c>
      <c r="I281" s="96" t="str">
        <f>IFERROR(VLOOKUP($E281,Preenchimento!$A$2:$BV$1048576,10,0),"")</f>
        <v/>
      </c>
      <c r="J281" s="96" t="str">
        <f>IFERROR(VLOOKUP($E281,Preenchimento!$A$2:$BV$1048576,12,0),"")</f>
        <v/>
      </c>
      <c r="K281" s="96" t="str">
        <f>IFERROR(VLOOKUP($E281,Preenchimento!$A$2:$BV$1048576,6,0),"")</f>
        <v/>
      </c>
      <c r="L281" s="96" t="str">
        <f>IF(IFERROR(VLOOKUP($E281,Preenchimento!$A$2:$BV$1048576,53,0),"")=0,"",IFERROR(VLOOKUP($E281,Preenchimento!$A$2:$BV$1048576,53,0),""))</f>
        <v/>
      </c>
      <c r="M281" s="96" t="str">
        <f>IFERROR(VLOOKUP($E281,Preenchimento!$A$2:$BV$1048576,74,0),"")</f>
        <v/>
      </c>
    </row>
    <row r="282" spans="1:13" x14ac:dyDescent="0.2">
      <c r="A282" s="96">
        <f>Sitio!$E$3</f>
        <v>0</v>
      </c>
      <c r="B282" s="96" t="str">
        <f>IFERROR(VLOOKUP($E282,Preenchimento!$A$2:$BV$1048576,2,0),"")</f>
        <v/>
      </c>
      <c r="C282" s="96" t="str">
        <f>IFERROR(VLOOKUP($E282,Preenchimento!$A$2:$BV$1048576,4,0),"")</f>
        <v/>
      </c>
      <c r="D282" s="96" t="str">
        <f>IFERROR(VLOOKUP($E282,Preenchimento!$A$2:$BV$1048576,3,0),"")</f>
        <v/>
      </c>
      <c r="E282" s="96">
        <v>280</v>
      </c>
      <c r="F282" s="96" t="str">
        <f>IFERROR(VLOOKUP($E282,Preenchimento!$A$2:$BV$1048576,7,0),"")</f>
        <v/>
      </c>
      <c r="G282" s="96" t="str">
        <f>IF(IFERROR(VLOOKUP($E282,Preenchimento!$A$2:$BV$1048576,8,0),"")=0,"",IFERROR(VLOOKUP($E282,Preenchimento!$A$2:$BV$1048576,8,0),""))</f>
        <v/>
      </c>
      <c r="H282" s="96" t="str">
        <f>IFERROR(VLOOKUP($E282,Preenchimento!$A$2:$BV$1048576,9,0),"")</f>
        <v/>
      </c>
      <c r="I282" s="96" t="str">
        <f>IFERROR(VLOOKUP($E282,Preenchimento!$A$2:$BV$1048576,10,0),"")</f>
        <v/>
      </c>
      <c r="J282" s="96" t="str">
        <f>IFERROR(VLOOKUP($E282,Preenchimento!$A$2:$BV$1048576,12,0),"")</f>
        <v/>
      </c>
      <c r="K282" s="96" t="str">
        <f>IFERROR(VLOOKUP($E282,Preenchimento!$A$2:$BV$1048576,6,0),"")</f>
        <v/>
      </c>
      <c r="L282" s="96" t="str">
        <f>IF(IFERROR(VLOOKUP($E282,Preenchimento!$A$2:$BV$1048576,53,0),"")=0,"",IFERROR(VLOOKUP($E282,Preenchimento!$A$2:$BV$1048576,53,0),""))</f>
        <v/>
      </c>
      <c r="M282" s="96" t="str">
        <f>IFERROR(VLOOKUP($E282,Preenchimento!$A$2:$BV$1048576,74,0),"")</f>
        <v/>
      </c>
    </row>
    <row r="283" spans="1:13" x14ac:dyDescent="0.2">
      <c r="A283" s="96">
        <f>Sitio!$E$3</f>
        <v>0</v>
      </c>
      <c r="B283" s="96" t="str">
        <f>IFERROR(VLOOKUP($E283,Preenchimento!$A$2:$BV$1048576,2,0),"")</f>
        <v/>
      </c>
      <c r="C283" s="96" t="str">
        <f>IFERROR(VLOOKUP($E283,Preenchimento!$A$2:$BV$1048576,4,0),"")</f>
        <v/>
      </c>
      <c r="D283" s="96" t="str">
        <f>IFERROR(VLOOKUP($E283,Preenchimento!$A$2:$BV$1048576,3,0),"")</f>
        <v/>
      </c>
      <c r="E283" s="96">
        <v>281</v>
      </c>
      <c r="F283" s="96" t="str">
        <f>IFERROR(VLOOKUP($E283,Preenchimento!$A$2:$BV$1048576,7,0),"")</f>
        <v/>
      </c>
      <c r="G283" s="96" t="str">
        <f>IF(IFERROR(VLOOKUP($E283,Preenchimento!$A$2:$BV$1048576,8,0),"")=0,"",IFERROR(VLOOKUP($E283,Preenchimento!$A$2:$BV$1048576,8,0),""))</f>
        <v/>
      </c>
      <c r="H283" s="96" t="str">
        <f>IFERROR(VLOOKUP($E283,Preenchimento!$A$2:$BV$1048576,9,0),"")</f>
        <v/>
      </c>
      <c r="I283" s="96" t="str">
        <f>IFERROR(VLOOKUP($E283,Preenchimento!$A$2:$BV$1048576,10,0),"")</f>
        <v/>
      </c>
      <c r="J283" s="96" t="str">
        <f>IFERROR(VLOOKUP($E283,Preenchimento!$A$2:$BV$1048576,12,0),"")</f>
        <v/>
      </c>
      <c r="K283" s="96" t="str">
        <f>IFERROR(VLOOKUP($E283,Preenchimento!$A$2:$BV$1048576,6,0),"")</f>
        <v/>
      </c>
      <c r="L283" s="96" t="str">
        <f>IF(IFERROR(VLOOKUP($E283,Preenchimento!$A$2:$BV$1048576,53,0),"")=0,"",IFERROR(VLOOKUP($E283,Preenchimento!$A$2:$BV$1048576,53,0),""))</f>
        <v/>
      </c>
      <c r="M283" s="96" t="str">
        <f>IFERROR(VLOOKUP($E283,Preenchimento!$A$2:$BV$1048576,74,0),"")</f>
        <v/>
      </c>
    </row>
    <row r="284" spans="1:13" x14ac:dyDescent="0.2">
      <c r="A284" s="96">
        <f>Sitio!$E$3</f>
        <v>0</v>
      </c>
      <c r="B284" s="96" t="str">
        <f>IFERROR(VLOOKUP($E284,Preenchimento!$A$2:$BV$1048576,2,0),"")</f>
        <v/>
      </c>
      <c r="C284" s="96" t="str">
        <f>IFERROR(VLOOKUP($E284,Preenchimento!$A$2:$BV$1048576,4,0),"")</f>
        <v/>
      </c>
      <c r="D284" s="96" t="str">
        <f>IFERROR(VLOOKUP($E284,Preenchimento!$A$2:$BV$1048576,3,0),"")</f>
        <v/>
      </c>
      <c r="E284" s="96">
        <v>282</v>
      </c>
      <c r="F284" s="96" t="str">
        <f>IFERROR(VLOOKUP($E284,Preenchimento!$A$2:$BV$1048576,7,0),"")</f>
        <v/>
      </c>
      <c r="G284" s="96" t="str">
        <f>IF(IFERROR(VLOOKUP($E284,Preenchimento!$A$2:$BV$1048576,8,0),"")=0,"",IFERROR(VLOOKUP($E284,Preenchimento!$A$2:$BV$1048576,8,0),""))</f>
        <v/>
      </c>
      <c r="H284" s="96" t="str">
        <f>IFERROR(VLOOKUP($E284,Preenchimento!$A$2:$BV$1048576,9,0),"")</f>
        <v/>
      </c>
      <c r="I284" s="96" t="str">
        <f>IFERROR(VLOOKUP($E284,Preenchimento!$A$2:$BV$1048576,10,0),"")</f>
        <v/>
      </c>
      <c r="J284" s="96" t="str">
        <f>IFERROR(VLOOKUP($E284,Preenchimento!$A$2:$BV$1048576,12,0),"")</f>
        <v/>
      </c>
      <c r="K284" s="96" t="str">
        <f>IFERROR(VLOOKUP($E284,Preenchimento!$A$2:$BV$1048576,6,0),"")</f>
        <v/>
      </c>
      <c r="L284" s="96" t="str">
        <f>IF(IFERROR(VLOOKUP($E284,Preenchimento!$A$2:$BV$1048576,53,0),"")=0,"",IFERROR(VLOOKUP($E284,Preenchimento!$A$2:$BV$1048576,53,0),""))</f>
        <v/>
      </c>
      <c r="M284" s="96" t="str">
        <f>IFERROR(VLOOKUP($E284,Preenchimento!$A$2:$BV$1048576,74,0),"")</f>
        <v/>
      </c>
    </row>
    <row r="285" spans="1:13" x14ac:dyDescent="0.2">
      <c r="A285" s="96">
        <f>Sitio!$E$3</f>
        <v>0</v>
      </c>
      <c r="B285" s="96" t="str">
        <f>IFERROR(VLOOKUP($E285,Preenchimento!$A$2:$BV$1048576,2,0),"")</f>
        <v/>
      </c>
      <c r="C285" s="96" t="str">
        <f>IFERROR(VLOOKUP($E285,Preenchimento!$A$2:$BV$1048576,4,0),"")</f>
        <v/>
      </c>
      <c r="D285" s="96" t="str">
        <f>IFERROR(VLOOKUP($E285,Preenchimento!$A$2:$BV$1048576,3,0),"")</f>
        <v/>
      </c>
      <c r="E285" s="96">
        <v>283</v>
      </c>
      <c r="F285" s="96" t="str">
        <f>IFERROR(VLOOKUP($E285,Preenchimento!$A$2:$BV$1048576,7,0),"")</f>
        <v/>
      </c>
      <c r="G285" s="96" t="str">
        <f>IF(IFERROR(VLOOKUP($E285,Preenchimento!$A$2:$BV$1048576,8,0),"")=0,"",IFERROR(VLOOKUP($E285,Preenchimento!$A$2:$BV$1048576,8,0),""))</f>
        <v/>
      </c>
      <c r="H285" s="96" t="str">
        <f>IFERROR(VLOOKUP($E285,Preenchimento!$A$2:$BV$1048576,9,0),"")</f>
        <v/>
      </c>
      <c r="I285" s="96" t="str">
        <f>IFERROR(VLOOKUP($E285,Preenchimento!$A$2:$BV$1048576,10,0),"")</f>
        <v/>
      </c>
      <c r="J285" s="96" t="str">
        <f>IFERROR(VLOOKUP($E285,Preenchimento!$A$2:$BV$1048576,12,0),"")</f>
        <v/>
      </c>
      <c r="K285" s="96" t="str">
        <f>IFERROR(VLOOKUP($E285,Preenchimento!$A$2:$BV$1048576,6,0),"")</f>
        <v/>
      </c>
      <c r="L285" s="96" t="str">
        <f>IF(IFERROR(VLOOKUP($E285,Preenchimento!$A$2:$BV$1048576,53,0),"")=0,"",IFERROR(VLOOKUP($E285,Preenchimento!$A$2:$BV$1048576,53,0),""))</f>
        <v/>
      </c>
      <c r="M285" s="96" t="str">
        <f>IFERROR(VLOOKUP($E285,Preenchimento!$A$2:$BV$1048576,74,0),"")</f>
        <v/>
      </c>
    </row>
    <row r="286" spans="1:13" x14ac:dyDescent="0.2">
      <c r="A286" s="96">
        <f>Sitio!$E$3</f>
        <v>0</v>
      </c>
      <c r="B286" s="96" t="str">
        <f>IFERROR(VLOOKUP($E286,Preenchimento!$A$2:$BV$1048576,2,0),"")</f>
        <v/>
      </c>
      <c r="C286" s="96" t="str">
        <f>IFERROR(VLOOKUP($E286,Preenchimento!$A$2:$BV$1048576,4,0),"")</f>
        <v/>
      </c>
      <c r="D286" s="96" t="str">
        <f>IFERROR(VLOOKUP($E286,Preenchimento!$A$2:$BV$1048576,3,0),"")</f>
        <v/>
      </c>
      <c r="E286" s="96">
        <v>284</v>
      </c>
      <c r="F286" s="96" t="str">
        <f>IFERROR(VLOOKUP($E286,Preenchimento!$A$2:$BV$1048576,7,0),"")</f>
        <v/>
      </c>
      <c r="G286" s="96" t="str">
        <f>IF(IFERROR(VLOOKUP($E286,Preenchimento!$A$2:$BV$1048576,8,0),"")=0,"",IFERROR(VLOOKUP($E286,Preenchimento!$A$2:$BV$1048576,8,0),""))</f>
        <v/>
      </c>
      <c r="H286" s="96" t="str">
        <f>IFERROR(VLOOKUP($E286,Preenchimento!$A$2:$BV$1048576,9,0),"")</f>
        <v/>
      </c>
      <c r="I286" s="96" t="str">
        <f>IFERROR(VLOOKUP($E286,Preenchimento!$A$2:$BV$1048576,10,0),"")</f>
        <v/>
      </c>
      <c r="J286" s="96" t="str">
        <f>IFERROR(VLOOKUP($E286,Preenchimento!$A$2:$BV$1048576,12,0),"")</f>
        <v/>
      </c>
      <c r="K286" s="96" t="str">
        <f>IFERROR(VLOOKUP($E286,Preenchimento!$A$2:$BV$1048576,6,0),"")</f>
        <v/>
      </c>
      <c r="L286" s="96" t="str">
        <f>IF(IFERROR(VLOOKUP($E286,Preenchimento!$A$2:$BV$1048576,53,0),"")=0,"",IFERROR(VLOOKUP($E286,Preenchimento!$A$2:$BV$1048576,53,0),""))</f>
        <v/>
      </c>
      <c r="M286" s="96" t="str">
        <f>IFERROR(VLOOKUP($E286,Preenchimento!$A$2:$BV$1048576,74,0),"")</f>
        <v/>
      </c>
    </row>
    <row r="287" spans="1:13" x14ac:dyDescent="0.2">
      <c r="A287" s="96">
        <f>Sitio!$E$3</f>
        <v>0</v>
      </c>
      <c r="B287" s="96" t="str">
        <f>IFERROR(VLOOKUP($E287,Preenchimento!$A$2:$BV$1048576,2,0),"")</f>
        <v/>
      </c>
      <c r="C287" s="96" t="str">
        <f>IFERROR(VLOOKUP($E287,Preenchimento!$A$2:$BV$1048576,4,0),"")</f>
        <v/>
      </c>
      <c r="D287" s="96" t="str">
        <f>IFERROR(VLOOKUP($E287,Preenchimento!$A$2:$BV$1048576,3,0),"")</f>
        <v/>
      </c>
      <c r="E287" s="96">
        <v>285</v>
      </c>
      <c r="F287" s="96" t="str">
        <f>IFERROR(VLOOKUP($E287,Preenchimento!$A$2:$BV$1048576,7,0),"")</f>
        <v/>
      </c>
      <c r="G287" s="96" t="str">
        <f>IF(IFERROR(VLOOKUP($E287,Preenchimento!$A$2:$BV$1048576,8,0),"")=0,"",IFERROR(VLOOKUP($E287,Preenchimento!$A$2:$BV$1048576,8,0),""))</f>
        <v/>
      </c>
      <c r="H287" s="96" t="str">
        <f>IFERROR(VLOOKUP($E287,Preenchimento!$A$2:$BV$1048576,9,0),"")</f>
        <v/>
      </c>
      <c r="I287" s="96" t="str">
        <f>IFERROR(VLOOKUP($E287,Preenchimento!$A$2:$BV$1048576,10,0),"")</f>
        <v/>
      </c>
      <c r="J287" s="96" t="str">
        <f>IFERROR(VLOOKUP($E287,Preenchimento!$A$2:$BV$1048576,12,0),"")</f>
        <v/>
      </c>
      <c r="K287" s="96" t="str">
        <f>IFERROR(VLOOKUP($E287,Preenchimento!$A$2:$BV$1048576,6,0),"")</f>
        <v/>
      </c>
      <c r="L287" s="96" t="str">
        <f>IF(IFERROR(VLOOKUP($E287,Preenchimento!$A$2:$BV$1048576,53,0),"")=0,"",IFERROR(VLOOKUP($E287,Preenchimento!$A$2:$BV$1048576,53,0),""))</f>
        <v/>
      </c>
      <c r="M287" s="96" t="str">
        <f>IFERROR(VLOOKUP($E287,Preenchimento!$A$2:$BV$1048576,74,0),"")</f>
        <v/>
      </c>
    </row>
    <row r="288" spans="1:13" x14ac:dyDescent="0.2">
      <c r="A288" s="96">
        <f>Sitio!$E$3</f>
        <v>0</v>
      </c>
      <c r="B288" s="96" t="str">
        <f>IFERROR(VLOOKUP($E288,Preenchimento!$A$2:$BV$1048576,2,0),"")</f>
        <v/>
      </c>
      <c r="C288" s="96" t="str">
        <f>IFERROR(VLOOKUP($E288,Preenchimento!$A$2:$BV$1048576,4,0),"")</f>
        <v/>
      </c>
      <c r="D288" s="96" t="str">
        <f>IFERROR(VLOOKUP($E288,Preenchimento!$A$2:$BV$1048576,3,0),"")</f>
        <v/>
      </c>
      <c r="E288" s="96">
        <v>286</v>
      </c>
      <c r="F288" s="96" t="str">
        <f>IFERROR(VLOOKUP($E288,Preenchimento!$A$2:$BV$1048576,7,0),"")</f>
        <v/>
      </c>
      <c r="G288" s="96" t="str">
        <f>IF(IFERROR(VLOOKUP($E288,Preenchimento!$A$2:$BV$1048576,8,0),"")=0,"",IFERROR(VLOOKUP($E288,Preenchimento!$A$2:$BV$1048576,8,0),""))</f>
        <v/>
      </c>
      <c r="H288" s="96" t="str">
        <f>IFERROR(VLOOKUP($E288,Preenchimento!$A$2:$BV$1048576,9,0),"")</f>
        <v/>
      </c>
      <c r="I288" s="96" t="str">
        <f>IFERROR(VLOOKUP($E288,Preenchimento!$A$2:$BV$1048576,10,0),"")</f>
        <v/>
      </c>
      <c r="J288" s="96" t="str">
        <f>IFERROR(VLOOKUP($E288,Preenchimento!$A$2:$BV$1048576,12,0),"")</f>
        <v/>
      </c>
      <c r="K288" s="96" t="str">
        <f>IFERROR(VLOOKUP($E288,Preenchimento!$A$2:$BV$1048576,6,0),"")</f>
        <v/>
      </c>
      <c r="L288" s="96" t="str">
        <f>IF(IFERROR(VLOOKUP($E288,Preenchimento!$A$2:$BV$1048576,53,0),"")=0,"",IFERROR(VLOOKUP($E288,Preenchimento!$A$2:$BV$1048576,53,0),""))</f>
        <v/>
      </c>
      <c r="M288" s="96" t="str">
        <f>IFERROR(VLOOKUP($E288,Preenchimento!$A$2:$BV$1048576,74,0),"")</f>
        <v/>
      </c>
    </row>
    <row r="289" spans="1:13" x14ac:dyDescent="0.2">
      <c r="A289" s="96">
        <f>Sitio!$E$3</f>
        <v>0</v>
      </c>
      <c r="B289" s="96" t="str">
        <f>IFERROR(VLOOKUP($E289,Preenchimento!$A$2:$BV$1048576,2,0),"")</f>
        <v/>
      </c>
      <c r="C289" s="96" t="str">
        <f>IFERROR(VLOOKUP($E289,Preenchimento!$A$2:$BV$1048576,4,0),"")</f>
        <v/>
      </c>
      <c r="D289" s="96" t="str">
        <f>IFERROR(VLOOKUP($E289,Preenchimento!$A$2:$BV$1048576,3,0),"")</f>
        <v/>
      </c>
      <c r="E289" s="96">
        <v>287</v>
      </c>
      <c r="F289" s="96" t="str">
        <f>IFERROR(VLOOKUP($E289,Preenchimento!$A$2:$BV$1048576,7,0),"")</f>
        <v/>
      </c>
      <c r="G289" s="96" t="str">
        <f>IF(IFERROR(VLOOKUP($E289,Preenchimento!$A$2:$BV$1048576,8,0),"")=0,"",IFERROR(VLOOKUP($E289,Preenchimento!$A$2:$BV$1048576,8,0),""))</f>
        <v/>
      </c>
      <c r="H289" s="96" t="str">
        <f>IFERROR(VLOOKUP($E289,Preenchimento!$A$2:$BV$1048576,9,0),"")</f>
        <v/>
      </c>
      <c r="I289" s="96" t="str">
        <f>IFERROR(VLOOKUP($E289,Preenchimento!$A$2:$BV$1048576,10,0),"")</f>
        <v/>
      </c>
      <c r="J289" s="96" t="str">
        <f>IFERROR(VLOOKUP($E289,Preenchimento!$A$2:$BV$1048576,12,0),"")</f>
        <v/>
      </c>
      <c r="K289" s="96" t="str">
        <f>IFERROR(VLOOKUP($E289,Preenchimento!$A$2:$BV$1048576,6,0),"")</f>
        <v/>
      </c>
      <c r="L289" s="96" t="str">
        <f>IF(IFERROR(VLOOKUP($E289,Preenchimento!$A$2:$BV$1048576,53,0),"")=0,"",IFERROR(VLOOKUP($E289,Preenchimento!$A$2:$BV$1048576,53,0),""))</f>
        <v/>
      </c>
      <c r="M289" s="96" t="str">
        <f>IFERROR(VLOOKUP($E289,Preenchimento!$A$2:$BV$1048576,74,0),"")</f>
        <v/>
      </c>
    </row>
    <row r="290" spans="1:13" x14ac:dyDescent="0.2">
      <c r="A290" s="96">
        <f>Sitio!$E$3</f>
        <v>0</v>
      </c>
      <c r="B290" s="96" t="str">
        <f>IFERROR(VLOOKUP($E290,Preenchimento!$A$2:$BV$1048576,2,0),"")</f>
        <v/>
      </c>
      <c r="C290" s="96" t="str">
        <f>IFERROR(VLOOKUP($E290,Preenchimento!$A$2:$BV$1048576,4,0),"")</f>
        <v/>
      </c>
      <c r="D290" s="96" t="str">
        <f>IFERROR(VLOOKUP($E290,Preenchimento!$A$2:$BV$1048576,3,0),"")</f>
        <v/>
      </c>
      <c r="E290" s="96">
        <v>288</v>
      </c>
      <c r="F290" s="96" t="str">
        <f>IFERROR(VLOOKUP($E290,Preenchimento!$A$2:$BV$1048576,7,0),"")</f>
        <v/>
      </c>
      <c r="G290" s="96" t="str">
        <f>IF(IFERROR(VLOOKUP($E290,Preenchimento!$A$2:$BV$1048576,8,0),"")=0,"",IFERROR(VLOOKUP($E290,Preenchimento!$A$2:$BV$1048576,8,0),""))</f>
        <v/>
      </c>
      <c r="H290" s="96" t="str">
        <f>IFERROR(VLOOKUP($E290,Preenchimento!$A$2:$BV$1048576,9,0),"")</f>
        <v/>
      </c>
      <c r="I290" s="96" t="str">
        <f>IFERROR(VLOOKUP($E290,Preenchimento!$A$2:$BV$1048576,10,0),"")</f>
        <v/>
      </c>
      <c r="J290" s="96" t="str">
        <f>IFERROR(VLOOKUP($E290,Preenchimento!$A$2:$BV$1048576,12,0),"")</f>
        <v/>
      </c>
      <c r="K290" s="96" t="str">
        <f>IFERROR(VLOOKUP($E290,Preenchimento!$A$2:$BV$1048576,6,0),"")</f>
        <v/>
      </c>
      <c r="L290" s="96" t="str">
        <f>IF(IFERROR(VLOOKUP($E290,Preenchimento!$A$2:$BV$1048576,53,0),"")=0,"",IFERROR(VLOOKUP($E290,Preenchimento!$A$2:$BV$1048576,53,0),""))</f>
        <v/>
      </c>
      <c r="M290" s="96" t="str">
        <f>IFERROR(VLOOKUP($E290,Preenchimento!$A$2:$BV$1048576,74,0),"")</f>
        <v/>
      </c>
    </row>
    <row r="291" spans="1:13" x14ac:dyDescent="0.2">
      <c r="A291" s="96">
        <f>Sitio!$E$3</f>
        <v>0</v>
      </c>
      <c r="B291" s="96" t="str">
        <f>IFERROR(VLOOKUP($E291,Preenchimento!$A$2:$BV$1048576,2,0),"")</f>
        <v/>
      </c>
      <c r="C291" s="96" t="str">
        <f>IFERROR(VLOOKUP($E291,Preenchimento!$A$2:$BV$1048576,4,0),"")</f>
        <v/>
      </c>
      <c r="D291" s="96" t="str">
        <f>IFERROR(VLOOKUP($E291,Preenchimento!$A$2:$BV$1048576,3,0),"")</f>
        <v/>
      </c>
      <c r="E291" s="96">
        <v>289</v>
      </c>
      <c r="F291" s="96" t="str">
        <f>IFERROR(VLOOKUP($E291,Preenchimento!$A$2:$BV$1048576,7,0),"")</f>
        <v/>
      </c>
      <c r="G291" s="96" t="str">
        <f>IF(IFERROR(VLOOKUP($E291,Preenchimento!$A$2:$BV$1048576,8,0),"")=0,"",IFERROR(VLOOKUP($E291,Preenchimento!$A$2:$BV$1048576,8,0),""))</f>
        <v/>
      </c>
      <c r="H291" s="96" t="str">
        <f>IFERROR(VLOOKUP($E291,Preenchimento!$A$2:$BV$1048576,9,0),"")</f>
        <v/>
      </c>
      <c r="I291" s="96" t="str">
        <f>IFERROR(VLOOKUP($E291,Preenchimento!$A$2:$BV$1048576,10,0),"")</f>
        <v/>
      </c>
      <c r="J291" s="96" t="str">
        <f>IFERROR(VLOOKUP($E291,Preenchimento!$A$2:$BV$1048576,12,0),"")</f>
        <v/>
      </c>
      <c r="K291" s="96" t="str">
        <f>IFERROR(VLOOKUP($E291,Preenchimento!$A$2:$BV$1048576,6,0),"")</f>
        <v/>
      </c>
      <c r="L291" s="96" t="str">
        <f>IF(IFERROR(VLOOKUP($E291,Preenchimento!$A$2:$BV$1048576,53,0),"")=0,"",IFERROR(VLOOKUP($E291,Preenchimento!$A$2:$BV$1048576,53,0),""))</f>
        <v/>
      </c>
      <c r="M291" s="96" t="str">
        <f>IFERROR(VLOOKUP($E291,Preenchimento!$A$2:$BV$1048576,74,0),"")</f>
        <v/>
      </c>
    </row>
    <row r="292" spans="1:13" x14ac:dyDescent="0.2">
      <c r="A292" s="96">
        <f>Sitio!$E$3</f>
        <v>0</v>
      </c>
      <c r="B292" s="96" t="str">
        <f>IFERROR(VLOOKUP($E292,Preenchimento!$A$2:$BV$1048576,2,0),"")</f>
        <v/>
      </c>
      <c r="C292" s="96" t="str">
        <f>IFERROR(VLOOKUP($E292,Preenchimento!$A$2:$BV$1048576,4,0),"")</f>
        <v/>
      </c>
      <c r="D292" s="96" t="str">
        <f>IFERROR(VLOOKUP($E292,Preenchimento!$A$2:$BV$1048576,3,0),"")</f>
        <v/>
      </c>
      <c r="E292" s="96">
        <v>290</v>
      </c>
      <c r="F292" s="96" t="str">
        <f>IFERROR(VLOOKUP($E292,Preenchimento!$A$2:$BV$1048576,7,0),"")</f>
        <v/>
      </c>
      <c r="G292" s="96" t="str">
        <f>IF(IFERROR(VLOOKUP($E292,Preenchimento!$A$2:$BV$1048576,8,0),"")=0,"",IFERROR(VLOOKUP($E292,Preenchimento!$A$2:$BV$1048576,8,0),""))</f>
        <v/>
      </c>
      <c r="H292" s="96" t="str">
        <f>IFERROR(VLOOKUP($E292,Preenchimento!$A$2:$BV$1048576,9,0),"")</f>
        <v/>
      </c>
      <c r="I292" s="96" t="str">
        <f>IFERROR(VLOOKUP($E292,Preenchimento!$A$2:$BV$1048576,10,0),"")</f>
        <v/>
      </c>
      <c r="J292" s="96" t="str">
        <f>IFERROR(VLOOKUP($E292,Preenchimento!$A$2:$BV$1048576,12,0),"")</f>
        <v/>
      </c>
      <c r="K292" s="96" t="str">
        <f>IFERROR(VLOOKUP($E292,Preenchimento!$A$2:$BV$1048576,6,0),"")</f>
        <v/>
      </c>
      <c r="L292" s="96" t="str">
        <f>IF(IFERROR(VLOOKUP($E292,Preenchimento!$A$2:$BV$1048576,53,0),"")=0,"",IFERROR(VLOOKUP($E292,Preenchimento!$A$2:$BV$1048576,53,0),""))</f>
        <v/>
      </c>
      <c r="M292" s="96" t="str">
        <f>IFERROR(VLOOKUP($E292,Preenchimento!$A$2:$BV$1048576,74,0),"")</f>
        <v/>
      </c>
    </row>
    <row r="293" spans="1:13" x14ac:dyDescent="0.2">
      <c r="A293" s="96">
        <f>Sitio!$E$3</f>
        <v>0</v>
      </c>
      <c r="B293" s="96" t="str">
        <f>IFERROR(VLOOKUP($E293,Preenchimento!$A$2:$BV$1048576,2,0),"")</f>
        <v/>
      </c>
      <c r="C293" s="96" t="str">
        <f>IFERROR(VLOOKUP($E293,Preenchimento!$A$2:$BV$1048576,4,0),"")</f>
        <v/>
      </c>
      <c r="D293" s="96" t="str">
        <f>IFERROR(VLOOKUP($E293,Preenchimento!$A$2:$BV$1048576,3,0),"")</f>
        <v/>
      </c>
      <c r="E293" s="96">
        <v>291</v>
      </c>
      <c r="F293" s="96" t="str">
        <f>IFERROR(VLOOKUP($E293,Preenchimento!$A$2:$BV$1048576,7,0),"")</f>
        <v/>
      </c>
      <c r="G293" s="96" t="str">
        <f>IF(IFERROR(VLOOKUP($E293,Preenchimento!$A$2:$BV$1048576,8,0),"")=0,"",IFERROR(VLOOKUP($E293,Preenchimento!$A$2:$BV$1048576,8,0),""))</f>
        <v/>
      </c>
      <c r="H293" s="96" t="str">
        <f>IFERROR(VLOOKUP($E293,Preenchimento!$A$2:$BV$1048576,9,0),"")</f>
        <v/>
      </c>
      <c r="I293" s="96" t="str">
        <f>IFERROR(VLOOKUP($E293,Preenchimento!$A$2:$BV$1048576,10,0),"")</f>
        <v/>
      </c>
      <c r="J293" s="96" t="str">
        <f>IFERROR(VLOOKUP($E293,Preenchimento!$A$2:$BV$1048576,12,0),"")</f>
        <v/>
      </c>
      <c r="K293" s="96" t="str">
        <f>IFERROR(VLOOKUP($E293,Preenchimento!$A$2:$BV$1048576,6,0),"")</f>
        <v/>
      </c>
      <c r="L293" s="96" t="str">
        <f>IF(IFERROR(VLOOKUP($E293,Preenchimento!$A$2:$BV$1048576,53,0),"")=0,"",IFERROR(VLOOKUP($E293,Preenchimento!$A$2:$BV$1048576,53,0),""))</f>
        <v/>
      </c>
      <c r="M293" s="96" t="str">
        <f>IFERROR(VLOOKUP($E293,Preenchimento!$A$2:$BV$1048576,74,0),"")</f>
        <v/>
      </c>
    </row>
    <row r="294" spans="1:13" x14ac:dyDescent="0.2">
      <c r="A294" s="96">
        <f>Sitio!$E$3</f>
        <v>0</v>
      </c>
      <c r="B294" s="96" t="str">
        <f>IFERROR(VLOOKUP($E294,Preenchimento!$A$2:$BV$1048576,2,0),"")</f>
        <v/>
      </c>
      <c r="C294" s="96" t="str">
        <f>IFERROR(VLOOKUP($E294,Preenchimento!$A$2:$BV$1048576,4,0),"")</f>
        <v/>
      </c>
      <c r="D294" s="96" t="str">
        <f>IFERROR(VLOOKUP($E294,Preenchimento!$A$2:$BV$1048576,3,0),"")</f>
        <v/>
      </c>
      <c r="E294" s="96">
        <v>292</v>
      </c>
      <c r="F294" s="96" t="str">
        <f>IFERROR(VLOOKUP($E294,Preenchimento!$A$2:$BV$1048576,7,0),"")</f>
        <v/>
      </c>
      <c r="G294" s="96" t="str">
        <f>IF(IFERROR(VLOOKUP($E294,Preenchimento!$A$2:$BV$1048576,8,0),"")=0,"",IFERROR(VLOOKUP($E294,Preenchimento!$A$2:$BV$1048576,8,0),""))</f>
        <v/>
      </c>
      <c r="H294" s="96" t="str">
        <f>IFERROR(VLOOKUP($E294,Preenchimento!$A$2:$BV$1048576,9,0),"")</f>
        <v/>
      </c>
      <c r="I294" s="96" t="str">
        <f>IFERROR(VLOOKUP($E294,Preenchimento!$A$2:$BV$1048576,10,0),"")</f>
        <v/>
      </c>
      <c r="J294" s="96" t="str">
        <f>IFERROR(VLOOKUP($E294,Preenchimento!$A$2:$BV$1048576,12,0),"")</f>
        <v/>
      </c>
      <c r="K294" s="96" t="str">
        <f>IFERROR(VLOOKUP($E294,Preenchimento!$A$2:$BV$1048576,6,0),"")</f>
        <v/>
      </c>
      <c r="L294" s="96" t="str">
        <f>IF(IFERROR(VLOOKUP($E294,Preenchimento!$A$2:$BV$1048576,53,0),"")=0,"",IFERROR(VLOOKUP($E294,Preenchimento!$A$2:$BV$1048576,53,0),""))</f>
        <v/>
      </c>
      <c r="M294" s="96" t="str">
        <f>IFERROR(VLOOKUP($E294,Preenchimento!$A$2:$BV$1048576,74,0),"")</f>
        <v/>
      </c>
    </row>
    <row r="295" spans="1:13" x14ac:dyDescent="0.2">
      <c r="A295" s="96">
        <f>Sitio!$E$3</f>
        <v>0</v>
      </c>
      <c r="B295" s="96" t="str">
        <f>IFERROR(VLOOKUP($E295,Preenchimento!$A$2:$BV$1048576,2,0),"")</f>
        <v/>
      </c>
      <c r="C295" s="96" t="str">
        <f>IFERROR(VLOOKUP($E295,Preenchimento!$A$2:$BV$1048576,4,0),"")</f>
        <v/>
      </c>
      <c r="D295" s="96" t="str">
        <f>IFERROR(VLOOKUP($E295,Preenchimento!$A$2:$BV$1048576,3,0),"")</f>
        <v/>
      </c>
      <c r="E295" s="96">
        <v>293</v>
      </c>
      <c r="F295" s="96" t="str">
        <f>IFERROR(VLOOKUP($E295,Preenchimento!$A$2:$BV$1048576,7,0),"")</f>
        <v/>
      </c>
      <c r="G295" s="96" t="str">
        <f>IF(IFERROR(VLOOKUP($E295,Preenchimento!$A$2:$BV$1048576,8,0),"")=0,"",IFERROR(VLOOKUP($E295,Preenchimento!$A$2:$BV$1048576,8,0),""))</f>
        <v/>
      </c>
      <c r="H295" s="96" t="str">
        <f>IFERROR(VLOOKUP($E295,Preenchimento!$A$2:$BV$1048576,9,0),"")</f>
        <v/>
      </c>
      <c r="I295" s="96" t="str">
        <f>IFERROR(VLOOKUP($E295,Preenchimento!$A$2:$BV$1048576,10,0),"")</f>
        <v/>
      </c>
      <c r="J295" s="96" t="str">
        <f>IFERROR(VLOOKUP($E295,Preenchimento!$A$2:$BV$1048576,12,0),"")</f>
        <v/>
      </c>
      <c r="K295" s="96" t="str">
        <f>IFERROR(VLOOKUP($E295,Preenchimento!$A$2:$BV$1048576,6,0),"")</f>
        <v/>
      </c>
      <c r="L295" s="96" t="str">
        <f>IF(IFERROR(VLOOKUP($E295,Preenchimento!$A$2:$BV$1048576,53,0),"")=0,"",IFERROR(VLOOKUP($E295,Preenchimento!$A$2:$BV$1048576,53,0),""))</f>
        <v/>
      </c>
      <c r="M295" s="96" t="str">
        <f>IFERROR(VLOOKUP($E295,Preenchimento!$A$2:$BV$1048576,74,0),"")</f>
        <v/>
      </c>
    </row>
    <row r="296" spans="1:13" x14ac:dyDescent="0.2">
      <c r="A296" s="96">
        <f>Sitio!$E$3</f>
        <v>0</v>
      </c>
      <c r="B296" s="96" t="str">
        <f>IFERROR(VLOOKUP($E296,Preenchimento!$A$2:$BV$1048576,2,0),"")</f>
        <v/>
      </c>
      <c r="C296" s="96" t="str">
        <f>IFERROR(VLOOKUP($E296,Preenchimento!$A$2:$BV$1048576,4,0),"")</f>
        <v/>
      </c>
      <c r="D296" s="96" t="str">
        <f>IFERROR(VLOOKUP($E296,Preenchimento!$A$2:$BV$1048576,3,0),"")</f>
        <v/>
      </c>
      <c r="E296" s="96">
        <v>294</v>
      </c>
      <c r="F296" s="96" t="str">
        <f>IFERROR(VLOOKUP($E296,Preenchimento!$A$2:$BV$1048576,7,0),"")</f>
        <v/>
      </c>
      <c r="G296" s="96" t="str">
        <f>IF(IFERROR(VLOOKUP($E296,Preenchimento!$A$2:$BV$1048576,8,0),"")=0,"",IFERROR(VLOOKUP($E296,Preenchimento!$A$2:$BV$1048576,8,0),""))</f>
        <v/>
      </c>
      <c r="H296" s="96" t="str">
        <f>IFERROR(VLOOKUP($E296,Preenchimento!$A$2:$BV$1048576,9,0),"")</f>
        <v/>
      </c>
      <c r="I296" s="96" t="str">
        <f>IFERROR(VLOOKUP($E296,Preenchimento!$A$2:$BV$1048576,10,0),"")</f>
        <v/>
      </c>
      <c r="J296" s="96" t="str">
        <f>IFERROR(VLOOKUP($E296,Preenchimento!$A$2:$BV$1048576,12,0),"")</f>
        <v/>
      </c>
      <c r="K296" s="96" t="str">
        <f>IFERROR(VLOOKUP($E296,Preenchimento!$A$2:$BV$1048576,6,0),"")</f>
        <v/>
      </c>
      <c r="L296" s="96" t="str">
        <f>IF(IFERROR(VLOOKUP($E296,Preenchimento!$A$2:$BV$1048576,53,0),"")=0,"",IFERROR(VLOOKUP($E296,Preenchimento!$A$2:$BV$1048576,53,0),""))</f>
        <v/>
      </c>
      <c r="M296" s="96" t="str">
        <f>IFERROR(VLOOKUP($E296,Preenchimento!$A$2:$BV$1048576,74,0),"")</f>
        <v/>
      </c>
    </row>
    <row r="297" spans="1:13" x14ac:dyDescent="0.2">
      <c r="A297" s="96">
        <f>Sitio!$E$3</f>
        <v>0</v>
      </c>
      <c r="B297" s="96" t="str">
        <f>IFERROR(VLOOKUP($E297,Preenchimento!$A$2:$BV$1048576,2,0),"")</f>
        <v/>
      </c>
      <c r="C297" s="96" t="str">
        <f>IFERROR(VLOOKUP($E297,Preenchimento!$A$2:$BV$1048576,4,0),"")</f>
        <v/>
      </c>
      <c r="D297" s="96" t="str">
        <f>IFERROR(VLOOKUP($E297,Preenchimento!$A$2:$BV$1048576,3,0),"")</f>
        <v/>
      </c>
      <c r="E297" s="96">
        <v>295</v>
      </c>
      <c r="F297" s="96" t="str">
        <f>IFERROR(VLOOKUP($E297,Preenchimento!$A$2:$BV$1048576,7,0),"")</f>
        <v/>
      </c>
      <c r="G297" s="96" t="str">
        <f>IF(IFERROR(VLOOKUP($E297,Preenchimento!$A$2:$BV$1048576,8,0),"")=0,"",IFERROR(VLOOKUP($E297,Preenchimento!$A$2:$BV$1048576,8,0),""))</f>
        <v/>
      </c>
      <c r="H297" s="96" t="str">
        <f>IFERROR(VLOOKUP($E297,Preenchimento!$A$2:$BV$1048576,9,0),"")</f>
        <v/>
      </c>
      <c r="I297" s="96" t="str">
        <f>IFERROR(VLOOKUP($E297,Preenchimento!$A$2:$BV$1048576,10,0),"")</f>
        <v/>
      </c>
      <c r="J297" s="96" t="str">
        <f>IFERROR(VLOOKUP($E297,Preenchimento!$A$2:$BV$1048576,12,0),"")</f>
        <v/>
      </c>
      <c r="K297" s="96" t="str">
        <f>IFERROR(VLOOKUP($E297,Preenchimento!$A$2:$BV$1048576,6,0),"")</f>
        <v/>
      </c>
      <c r="L297" s="96" t="str">
        <f>IF(IFERROR(VLOOKUP($E297,Preenchimento!$A$2:$BV$1048576,53,0),"")=0,"",IFERROR(VLOOKUP($E297,Preenchimento!$A$2:$BV$1048576,53,0),""))</f>
        <v/>
      </c>
      <c r="M297" s="96" t="str">
        <f>IFERROR(VLOOKUP($E297,Preenchimento!$A$2:$BV$1048576,74,0),"")</f>
        <v/>
      </c>
    </row>
    <row r="298" spans="1:13" x14ac:dyDescent="0.2">
      <c r="A298" s="96">
        <f>Sitio!$E$3</f>
        <v>0</v>
      </c>
      <c r="B298" s="96" t="str">
        <f>IFERROR(VLOOKUP($E298,Preenchimento!$A$2:$BV$1048576,2,0),"")</f>
        <v/>
      </c>
      <c r="C298" s="96" t="str">
        <f>IFERROR(VLOOKUP($E298,Preenchimento!$A$2:$BV$1048576,4,0),"")</f>
        <v/>
      </c>
      <c r="D298" s="96" t="str">
        <f>IFERROR(VLOOKUP($E298,Preenchimento!$A$2:$BV$1048576,3,0),"")</f>
        <v/>
      </c>
      <c r="E298" s="96">
        <v>296</v>
      </c>
      <c r="F298" s="96" t="str">
        <f>IFERROR(VLOOKUP($E298,Preenchimento!$A$2:$BV$1048576,7,0),"")</f>
        <v/>
      </c>
      <c r="G298" s="96" t="str">
        <f>IF(IFERROR(VLOOKUP($E298,Preenchimento!$A$2:$BV$1048576,8,0),"")=0,"",IFERROR(VLOOKUP($E298,Preenchimento!$A$2:$BV$1048576,8,0),""))</f>
        <v/>
      </c>
      <c r="H298" s="96" t="str">
        <f>IFERROR(VLOOKUP($E298,Preenchimento!$A$2:$BV$1048576,9,0),"")</f>
        <v/>
      </c>
      <c r="I298" s="96" t="str">
        <f>IFERROR(VLOOKUP($E298,Preenchimento!$A$2:$BV$1048576,10,0),"")</f>
        <v/>
      </c>
      <c r="J298" s="96" t="str">
        <f>IFERROR(VLOOKUP($E298,Preenchimento!$A$2:$BV$1048576,12,0),"")</f>
        <v/>
      </c>
      <c r="K298" s="96" t="str">
        <f>IFERROR(VLOOKUP($E298,Preenchimento!$A$2:$BV$1048576,6,0),"")</f>
        <v/>
      </c>
      <c r="L298" s="96" t="str">
        <f>IF(IFERROR(VLOOKUP($E298,Preenchimento!$A$2:$BV$1048576,53,0),"")=0,"",IFERROR(VLOOKUP($E298,Preenchimento!$A$2:$BV$1048576,53,0),""))</f>
        <v/>
      </c>
      <c r="M298" s="96" t="str">
        <f>IFERROR(VLOOKUP($E298,Preenchimento!$A$2:$BV$1048576,74,0),"")</f>
        <v/>
      </c>
    </row>
    <row r="299" spans="1:13" x14ac:dyDescent="0.2">
      <c r="A299" s="96">
        <f>Sitio!$E$3</f>
        <v>0</v>
      </c>
      <c r="B299" s="96" t="str">
        <f>IFERROR(VLOOKUP($E299,Preenchimento!$A$2:$BV$1048576,2,0),"")</f>
        <v/>
      </c>
      <c r="C299" s="96" t="str">
        <f>IFERROR(VLOOKUP($E299,Preenchimento!$A$2:$BV$1048576,4,0),"")</f>
        <v/>
      </c>
      <c r="D299" s="96" t="str">
        <f>IFERROR(VLOOKUP($E299,Preenchimento!$A$2:$BV$1048576,3,0),"")</f>
        <v/>
      </c>
      <c r="E299" s="96">
        <v>297</v>
      </c>
      <c r="F299" s="96" t="str">
        <f>IFERROR(VLOOKUP($E299,Preenchimento!$A$2:$BV$1048576,7,0),"")</f>
        <v/>
      </c>
      <c r="G299" s="96" t="str">
        <f>IF(IFERROR(VLOOKUP($E299,Preenchimento!$A$2:$BV$1048576,8,0),"")=0,"",IFERROR(VLOOKUP($E299,Preenchimento!$A$2:$BV$1048576,8,0),""))</f>
        <v/>
      </c>
      <c r="H299" s="96" t="str">
        <f>IFERROR(VLOOKUP($E299,Preenchimento!$A$2:$BV$1048576,9,0),"")</f>
        <v/>
      </c>
      <c r="I299" s="96" t="str">
        <f>IFERROR(VLOOKUP($E299,Preenchimento!$A$2:$BV$1048576,10,0),"")</f>
        <v/>
      </c>
      <c r="J299" s="96" t="str">
        <f>IFERROR(VLOOKUP($E299,Preenchimento!$A$2:$BV$1048576,12,0),"")</f>
        <v/>
      </c>
      <c r="K299" s="96" t="str">
        <f>IFERROR(VLOOKUP($E299,Preenchimento!$A$2:$BV$1048576,6,0),"")</f>
        <v/>
      </c>
      <c r="L299" s="96" t="str">
        <f>IF(IFERROR(VLOOKUP($E299,Preenchimento!$A$2:$BV$1048576,53,0),"")=0,"",IFERROR(VLOOKUP($E299,Preenchimento!$A$2:$BV$1048576,53,0),""))</f>
        <v/>
      </c>
      <c r="M299" s="96" t="str">
        <f>IFERROR(VLOOKUP($E299,Preenchimento!$A$2:$BV$1048576,74,0),"")</f>
        <v/>
      </c>
    </row>
    <row r="300" spans="1:13" x14ac:dyDescent="0.2">
      <c r="A300" s="96">
        <f>Sitio!$E$3</f>
        <v>0</v>
      </c>
      <c r="B300" s="96" t="str">
        <f>IFERROR(VLOOKUP($E300,Preenchimento!$A$2:$BV$1048576,2,0),"")</f>
        <v/>
      </c>
      <c r="C300" s="96" t="str">
        <f>IFERROR(VLOOKUP($E300,Preenchimento!$A$2:$BV$1048576,4,0),"")</f>
        <v/>
      </c>
      <c r="D300" s="96" t="str">
        <f>IFERROR(VLOOKUP($E300,Preenchimento!$A$2:$BV$1048576,3,0),"")</f>
        <v/>
      </c>
      <c r="E300" s="96">
        <v>298</v>
      </c>
      <c r="F300" s="96" t="str">
        <f>IFERROR(VLOOKUP($E300,Preenchimento!$A$2:$BV$1048576,7,0),"")</f>
        <v/>
      </c>
      <c r="G300" s="96" t="str">
        <f>IF(IFERROR(VLOOKUP($E300,Preenchimento!$A$2:$BV$1048576,8,0),"")=0,"",IFERROR(VLOOKUP($E300,Preenchimento!$A$2:$BV$1048576,8,0),""))</f>
        <v/>
      </c>
      <c r="H300" s="96" t="str">
        <f>IFERROR(VLOOKUP($E300,Preenchimento!$A$2:$BV$1048576,9,0),"")</f>
        <v/>
      </c>
      <c r="I300" s="96" t="str">
        <f>IFERROR(VLOOKUP($E300,Preenchimento!$A$2:$BV$1048576,10,0),"")</f>
        <v/>
      </c>
      <c r="J300" s="96" t="str">
        <f>IFERROR(VLOOKUP($E300,Preenchimento!$A$2:$BV$1048576,12,0),"")</f>
        <v/>
      </c>
      <c r="K300" s="96" t="str">
        <f>IFERROR(VLOOKUP($E300,Preenchimento!$A$2:$BV$1048576,6,0),"")</f>
        <v/>
      </c>
      <c r="L300" s="96" t="str">
        <f>IF(IFERROR(VLOOKUP($E300,Preenchimento!$A$2:$BV$1048576,53,0),"")=0,"",IFERROR(VLOOKUP($E300,Preenchimento!$A$2:$BV$1048576,53,0),""))</f>
        <v/>
      </c>
      <c r="M300" s="96" t="str">
        <f>IFERROR(VLOOKUP($E300,Preenchimento!$A$2:$BV$1048576,74,0),"")</f>
        <v/>
      </c>
    </row>
    <row r="301" spans="1:13" x14ac:dyDescent="0.2">
      <c r="A301" s="96">
        <f>Sitio!$E$3</f>
        <v>0</v>
      </c>
      <c r="B301" s="96" t="str">
        <f>IFERROR(VLOOKUP($E301,Preenchimento!$A$2:$BV$1048576,2,0),"")</f>
        <v/>
      </c>
      <c r="C301" s="96" t="str">
        <f>IFERROR(VLOOKUP($E301,Preenchimento!$A$2:$BV$1048576,4,0),"")</f>
        <v/>
      </c>
      <c r="D301" s="96" t="str">
        <f>IFERROR(VLOOKUP($E301,Preenchimento!$A$2:$BV$1048576,3,0),"")</f>
        <v/>
      </c>
      <c r="E301" s="96">
        <v>299</v>
      </c>
      <c r="F301" s="96" t="str">
        <f>IFERROR(VLOOKUP($E301,Preenchimento!$A$2:$BV$1048576,7,0),"")</f>
        <v/>
      </c>
      <c r="G301" s="96" t="str">
        <f>IF(IFERROR(VLOOKUP($E301,Preenchimento!$A$2:$BV$1048576,8,0),"")=0,"",IFERROR(VLOOKUP($E301,Preenchimento!$A$2:$BV$1048576,8,0),""))</f>
        <v/>
      </c>
      <c r="H301" s="96" t="str">
        <f>IFERROR(VLOOKUP($E301,Preenchimento!$A$2:$BV$1048576,9,0),"")</f>
        <v/>
      </c>
      <c r="I301" s="96" t="str">
        <f>IFERROR(VLOOKUP($E301,Preenchimento!$A$2:$BV$1048576,10,0),"")</f>
        <v/>
      </c>
      <c r="J301" s="96" t="str">
        <f>IFERROR(VLOOKUP($E301,Preenchimento!$A$2:$BV$1048576,12,0),"")</f>
        <v/>
      </c>
      <c r="K301" s="96" t="str">
        <f>IFERROR(VLOOKUP($E301,Preenchimento!$A$2:$BV$1048576,6,0),"")</f>
        <v/>
      </c>
      <c r="L301" s="96" t="str">
        <f>IF(IFERROR(VLOOKUP($E301,Preenchimento!$A$2:$BV$1048576,53,0),"")=0,"",IFERROR(VLOOKUP($E301,Preenchimento!$A$2:$BV$1048576,53,0),""))</f>
        <v/>
      </c>
      <c r="M301" s="96" t="str">
        <f>IFERROR(VLOOKUP($E301,Preenchimento!$A$2:$BV$1048576,74,0),"")</f>
        <v/>
      </c>
    </row>
    <row r="302" spans="1:13" x14ac:dyDescent="0.2">
      <c r="A302" s="96">
        <f>Sitio!$E$3</f>
        <v>0</v>
      </c>
      <c r="B302" s="96" t="str">
        <f>IFERROR(VLOOKUP($E302,Preenchimento!$A$2:$BV$1048576,2,0),"")</f>
        <v/>
      </c>
      <c r="C302" s="96" t="str">
        <f>IFERROR(VLOOKUP($E302,Preenchimento!$A$2:$BV$1048576,4,0),"")</f>
        <v/>
      </c>
      <c r="D302" s="96" t="str">
        <f>IFERROR(VLOOKUP($E302,Preenchimento!$A$2:$BV$1048576,3,0),"")</f>
        <v/>
      </c>
      <c r="E302" s="96">
        <v>300</v>
      </c>
      <c r="F302" s="96" t="str">
        <f>IFERROR(VLOOKUP($E302,Preenchimento!$A$2:$BV$1048576,7,0),"")</f>
        <v/>
      </c>
      <c r="G302" s="96" t="str">
        <f>IF(IFERROR(VLOOKUP($E302,Preenchimento!$A$2:$BV$1048576,8,0),"")=0,"",IFERROR(VLOOKUP($E302,Preenchimento!$A$2:$BV$1048576,8,0),""))</f>
        <v/>
      </c>
      <c r="H302" s="96" t="str">
        <f>IFERROR(VLOOKUP($E302,Preenchimento!$A$2:$BV$1048576,9,0),"")</f>
        <v/>
      </c>
      <c r="I302" s="96" t="str">
        <f>IFERROR(VLOOKUP($E302,Preenchimento!$A$2:$BV$1048576,10,0),"")</f>
        <v/>
      </c>
      <c r="J302" s="96" t="str">
        <f>IFERROR(VLOOKUP($E302,Preenchimento!$A$2:$BV$1048576,12,0),"")</f>
        <v/>
      </c>
      <c r="K302" s="96" t="str">
        <f>IFERROR(VLOOKUP($E302,Preenchimento!$A$2:$BV$1048576,6,0),"")</f>
        <v/>
      </c>
      <c r="L302" s="96" t="str">
        <f>IF(IFERROR(VLOOKUP($E302,Preenchimento!$A$2:$BV$1048576,53,0),"")=0,"",IFERROR(VLOOKUP($E302,Preenchimento!$A$2:$BV$1048576,53,0),""))</f>
        <v/>
      </c>
      <c r="M302" s="96" t="str">
        <f>IFERROR(VLOOKUP($E302,Preenchimento!$A$2:$BV$1048576,74,0),"")</f>
        <v/>
      </c>
    </row>
    <row r="303" spans="1:13" x14ac:dyDescent="0.2">
      <c r="A303" s="96">
        <f>Sitio!$E$3</f>
        <v>0</v>
      </c>
      <c r="B303" s="96" t="str">
        <f>IFERROR(VLOOKUP($E303,Preenchimento!$A$2:$BV$1048576,2,0),"")</f>
        <v/>
      </c>
      <c r="C303" s="96" t="str">
        <f>IFERROR(VLOOKUP($E303,Preenchimento!$A$2:$BV$1048576,4,0),"")</f>
        <v/>
      </c>
      <c r="D303" s="96" t="str">
        <f>IFERROR(VLOOKUP($E303,Preenchimento!$A$2:$BV$1048576,3,0),"")</f>
        <v/>
      </c>
      <c r="E303" s="96">
        <v>301</v>
      </c>
      <c r="F303" s="96" t="str">
        <f>IFERROR(VLOOKUP($E303,Preenchimento!$A$2:$BV$1048576,7,0),"")</f>
        <v/>
      </c>
      <c r="G303" s="96" t="str">
        <f>IF(IFERROR(VLOOKUP($E303,Preenchimento!$A$2:$BV$1048576,8,0),"")=0,"",IFERROR(VLOOKUP($E303,Preenchimento!$A$2:$BV$1048576,8,0),""))</f>
        <v/>
      </c>
      <c r="H303" s="96" t="str">
        <f>IFERROR(VLOOKUP($E303,Preenchimento!$A$2:$BV$1048576,9,0),"")</f>
        <v/>
      </c>
      <c r="I303" s="96" t="str">
        <f>IFERROR(VLOOKUP($E303,Preenchimento!$A$2:$BV$1048576,10,0),"")</f>
        <v/>
      </c>
      <c r="J303" s="96" t="str">
        <f>IFERROR(VLOOKUP($E303,Preenchimento!$A$2:$BV$1048576,12,0),"")</f>
        <v/>
      </c>
      <c r="K303" s="96" t="str">
        <f>IFERROR(VLOOKUP($E303,Preenchimento!$A$2:$BV$1048576,6,0),"")</f>
        <v/>
      </c>
      <c r="L303" s="96" t="str">
        <f>IF(IFERROR(VLOOKUP($E303,Preenchimento!$A$2:$BV$1048576,53,0),"")=0,"",IFERROR(VLOOKUP($E303,Preenchimento!$A$2:$BV$1048576,53,0),""))</f>
        <v/>
      </c>
      <c r="M303" s="96" t="str">
        <f>IFERROR(VLOOKUP($E303,Preenchimento!$A$2:$BV$1048576,74,0),"")</f>
        <v/>
      </c>
    </row>
    <row r="304" spans="1:13" x14ac:dyDescent="0.2">
      <c r="A304" s="96">
        <f>Sitio!$E$3</f>
        <v>0</v>
      </c>
      <c r="B304" s="96" t="str">
        <f>IFERROR(VLOOKUP($E304,Preenchimento!$A$2:$BV$1048576,2,0),"")</f>
        <v/>
      </c>
      <c r="C304" s="96" t="str">
        <f>IFERROR(VLOOKUP($E304,Preenchimento!$A$2:$BV$1048576,4,0),"")</f>
        <v/>
      </c>
      <c r="D304" s="96" t="str">
        <f>IFERROR(VLOOKUP($E304,Preenchimento!$A$2:$BV$1048576,3,0),"")</f>
        <v/>
      </c>
      <c r="E304" s="96">
        <v>302</v>
      </c>
      <c r="F304" s="96" t="str">
        <f>IFERROR(VLOOKUP($E304,Preenchimento!$A$2:$BV$1048576,7,0),"")</f>
        <v/>
      </c>
      <c r="G304" s="96" t="str">
        <f>IF(IFERROR(VLOOKUP($E304,Preenchimento!$A$2:$BV$1048576,8,0),"")=0,"",IFERROR(VLOOKUP($E304,Preenchimento!$A$2:$BV$1048576,8,0),""))</f>
        <v/>
      </c>
      <c r="H304" s="96" t="str">
        <f>IFERROR(VLOOKUP($E304,Preenchimento!$A$2:$BV$1048576,9,0),"")</f>
        <v/>
      </c>
      <c r="I304" s="96" t="str">
        <f>IFERROR(VLOOKUP($E304,Preenchimento!$A$2:$BV$1048576,10,0),"")</f>
        <v/>
      </c>
      <c r="J304" s="96" t="str">
        <f>IFERROR(VLOOKUP($E304,Preenchimento!$A$2:$BV$1048576,12,0),"")</f>
        <v/>
      </c>
      <c r="K304" s="96" t="str">
        <f>IFERROR(VLOOKUP($E304,Preenchimento!$A$2:$BV$1048576,6,0),"")</f>
        <v/>
      </c>
      <c r="L304" s="96" t="str">
        <f>IF(IFERROR(VLOOKUP($E304,Preenchimento!$A$2:$BV$1048576,53,0),"")=0,"",IFERROR(VLOOKUP($E304,Preenchimento!$A$2:$BV$1048576,53,0),""))</f>
        <v/>
      </c>
      <c r="M304" s="96" t="str">
        <f>IFERROR(VLOOKUP($E304,Preenchimento!$A$2:$BV$1048576,74,0),"")</f>
        <v/>
      </c>
    </row>
    <row r="305" spans="1:13" x14ac:dyDescent="0.2">
      <c r="A305" s="96">
        <f>Sitio!$E$3</f>
        <v>0</v>
      </c>
      <c r="B305" s="96" t="str">
        <f>IFERROR(VLOOKUP($E305,Preenchimento!$A$2:$BV$1048576,2,0),"")</f>
        <v/>
      </c>
      <c r="C305" s="96" t="str">
        <f>IFERROR(VLOOKUP($E305,Preenchimento!$A$2:$BV$1048576,4,0),"")</f>
        <v/>
      </c>
      <c r="D305" s="96" t="str">
        <f>IFERROR(VLOOKUP($E305,Preenchimento!$A$2:$BV$1048576,3,0),"")</f>
        <v/>
      </c>
      <c r="E305" s="96">
        <v>303</v>
      </c>
      <c r="F305" s="96" t="str">
        <f>IFERROR(VLOOKUP($E305,Preenchimento!$A$2:$BV$1048576,7,0),"")</f>
        <v/>
      </c>
      <c r="G305" s="96" t="str">
        <f>IF(IFERROR(VLOOKUP($E305,Preenchimento!$A$2:$BV$1048576,8,0),"")=0,"",IFERROR(VLOOKUP($E305,Preenchimento!$A$2:$BV$1048576,8,0),""))</f>
        <v/>
      </c>
      <c r="H305" s="96" t="str">
        <f>IFERROR(VLOOKUP($E305,Preenchimento!$A$2:$BV$1048576,9,0),"")</f>
        <v/>
      </c>
      <c r="I305" s="96" t="str">
        <f>IFERROR(VLOOKUP($E305,Preenchimento!$A$2:$BV$1048576,10,0),"")</f>
        <v/>
      </c>
      <c r="J305" s="96" t="str">
        <f>IFERROR(VLOOKUP($E305,Preenchimento!$A$2:$BV$1048576,12,0),"")</f>
        <v/>
      </c>
      <c r="K305" s="96" t="str">
        <f>IFERROR(VLOOKUP($E305,Preenchimento!$A$2:$BV$1048576,6,0),"")</f>
        <v/>
      </c>
      <c r="L305" s="96" t="str">
        <f>IF(IFERROR(VLOOKUP($E305,Preenchimento!$A$2:$BV$1048576,53,0),"")=0,"",IFERROR(VLOOKUP($E305,Preenchimento!$A$2:$BV$1048576,53,0),""))</f>
        <v/>
      </c>
      <c r="M305" s="96" t="str">
        <f>IFERROR(VLOOKUP($E305,Preenchimento!$A$2:$BV$1048576,74,0),"")</f>
        <v/>
      </c>
    </row>
    <row r="306" spans="1:13" x14ac:dyDescent="0.2">
      <c r="A306" s="96">
        <f>Sitio!$E$3</f>
        <v>0</v>
      </c>
      <c r="B306" s="96" t="str">
        <f>IFERROR(VLOOKUP($E306,Preenchimento!$A$2:$BV$1048576,2,0),"")</f>
        <v/>
      </c>
      <c r="C306" s="96" t="str">
        <f>IFERROR(VLOOKUP($E306,Preenchimento!$A$2:$BV$1048576,4,0),"")</f>
        <v/>
      </c>
      <c r="D306" s="96" t="str">
        <f>IFERROR(VLOOKUP($E306,Preenchimento!$A$2:$BV$1048576,3,0),"")</f>
        <v/>
      </c>
      <c r="E306" s="96">
        <v>304</v>
      </c>
      <c r="F306" s="96" t="str">
        <f>IFERROR(VLOOKUP($E306,Preenchimento!$A$2:$BV$1048576,7,0),"")</f>
        <v/>
      </c>
      <c r="G306" s="96" t="str">
        <f>IF(IFERROR(VLOOKUP($E306,Preenchimento!$A$2:$BV$1048576,8,0),"")=0,"",IFERROR(VLOOKUP($E306,Preenchimento!$A$2:$BV$1048576,8,0),""))</f>
        <v/>
      </c>
      <c r="H306" s="96" t="str">
        <f>IFERROR(VLOOKUP($E306,Preenchimento!$A$2:$BV$1048576,9,0),"")</f>
        <v/>
      </c>
      <c r="I306" s="96" t="str">
        <f>IFERROR(VLOOKUP($E306,Preenchimento!$A$2:$BV$1048576,10,0),"")</f>
        <v/>
      </c>
      <c r="J306" s="96" t="str">
        <f>IFERROR(VLOOKUP($E306,Preenchimento!$A$2:$BV$1048576,12,0),"")</f>
        <v/>
      </c>
      <c r="K306" s="96" t="str">
        <f>IFERROR(VLOOKUP($E306,Preenchimento!$A$2:$BV$1048576,6,0),"")</f>
        <v/>
      </c>
      <c r="L306" s="96" t="str">
        <f>IF(IFERROR(VLOOKUP($E306,Preenchimento!$A$2:$BV$1048576,53,0),"")=0,"",IFERROR(VLOOKUP($E306,Preenchimento!$A$2:$BV$1048576,53,0),""))</f>
        <v/>
      </c>
      <c r="M306" s="96" t="str">
        <f>IFERROR(VLOOKUP($E306,Preenchimento!$A$2:$BV$1048576,74,0),"")</f>
        <v/>
      </c>
    </row>
    <row r="307" spans="1:13" x14ac:dyDescent="0.2">
      <c r="A307" s="96">
        <f>Sitio!$E$3</f>
        <v>0</v>
      </c>
      <c r="B307" s="96" t="str">
        <f>IFERROR(VLOOKUP($E307,Preenchimento!$A$2:$BV$1048576,2,0),"")</f>
        <v/>
      </c>
      <c r="C307" s="96" t="str">
        <f>IFERROR(VLOOKUP($E307,Preenchimento!$A$2:$BV$1048576,4,0),"")</f>
        <v/>
      </c>
      <c r="D307" s="96" t="str">
        <f>IFERROR(VLOOKUP($E307,Preenchimento!$A$2:$BV$1048576,3,0),"")</f>
        <v/>
      </c>
      <c r="E307" s="96">
        <v>305</v>
      </c>
      <c r="F307" s="96" t="str">
        <f>IFERROR(VLOOKUP($E307,Preenchimento!$A$2:$BV$1048576,7,0),"")</f>
        <v/>
      </c>
      <c r="G307" s="96" t="str">
        <f>IF(IFERROR(VLOOKUP($E307,Preenchimento!$A$2:$BV$1048576,8,0),"")=0,"",IFERROR(VLOOKUP($E307,Preenchimento!$A$2:$BV$1048576,8,0),""))</f>
        <v/>
      </c>
      <c r="H307" s="96" t="str">
        <f>IFERROR(VLOOKUP($E307,Preenchimento!$A$2:$BV$1048576,9,0),"")</f>
        <v/>
      </c>
      <c r="I307" s="96" t="str">
        <f>IFERROR(VLOOKUP($E307,Preenchimento!$A$2:$BV$1048576,10,0),"")</f>
        <v/>
      </c>
      <c r="J307" s="96" t="str">
        <f>IFERROR(VLOOKUP($E307,Preenchimento!$A$2:$BV$1048576,12,0),"")</f>
        <v/>
      </c>
      <c r="K307" s="96" t="str">
        <f>IFERROR(VLOOKUP($E307,Preenchimento!$A$2:$BV$1048576,6,0),"")</f>
        <v/>
      </c>
      <c r="L307" s="96" t="str">
        <f>IF(IFERROR(VLOOKUP($E307,Preenchimento!$A$2:$BV$1048576,53,0),"")=0,"",IFERROR(VLOOKUP($E307,Preenchimento!$A$2:$BV$1048576,53,0),""))</f>
        <v/>
      </c>
      <c r="M307" s="96" t="str">
        <f>IFERROR(VLOOKUP($E307,Preenchimento!$A$2:$BV$1048576,74,0),"")</f>
        <v/>
      </c>
    </row>
    <row r="308" spans="1:13" x14ac:dyDescent="0.2">
      <c r="A308" s="96">
        <f>Sitio!$E$3</f>
        <v>0</v>
      </c>
      <c r="B308" s="96" t="str">
        <f>IFERROR(VLOOKUP($E308,Preenchimento!$A$2:$BV$1048576,2,0),"")</f>
        <v/>
      </c>
      <c r="C308" s="96" t="str">
        <f>IFERROR(VLOOKUP($E308,Preenchimento!$A$2:$BV$1048576,4,0),"")</f>
        <v/>
      </c>
      <c r="D308" s="96" t="str">
        <f>IFERROR(VLOOKUP($E308,Preenchimento!$A$2:$BV$1048576,3,0),"")</f>
        <v/>
      </c>
      <c r="E308" s="96">
        <v>306</v>
      </c>
      <c r="F308" s="96" t="str">
        <f>IFERROR(VLOOKUP($E308,Preenchimento!$A$2:$BV$1048576,7,0),"")</f>
        <v/>
      </c>
      <c r="G308" s="96" t="str">
        <f>IF(IFERROR(VLOOKUP($E308,Preenchimento!$A$2:$BV$1048576,8,0),"")=0,"",IFERROR(VLOOKUP($E308,Preenchimento!$A$2:$BV$1048576,8,0),""))</f>
        <v/>
      </c>
      <c r="H308" s="96" t="str">
        <f>IFERROR(VLOOKUP($E308,Preenchimento!$A$2:$BV$1048576,9,0),"")</f>
        <v/>
      </c>
      <c r="I308" s="96" t="str">
        <f>IFERROR(VLOOKUP($E308,Preenchimento!$A$2:$BV$1048576,10,0),"")</f>
        <v/>
      </c>
      <c r="J308" s="96" t="str">
        <f>IFERROR(VLOOKUP($E308,Preenchimento!$A$2:$BV$1048576,12,0),"")</f>
        <v/>
      </c>
      <c r="K308" s="96" t="str">
        <f>IFERROR(VLOOKUP($E308,Preenchimento!$A$2:$BV$1048576,6,0),"")</f>
        <v/>
      </c>
      <c r="L308" s="96" t="str">
        <f>IF(IFERROR(VLOOKUP($E308,Preenchimento!$A$2:$BV$1048576,53,0),"")=0,"",IFERROR(VLOOKUP($E308,Preenchimento!$A$2:$BV$1048576,53,0),""))</f>
        <v/>
      </c>
      <c r="M308" s="96" t="str">
        <f>IFERROR(VLOOKUP($E308,Preenchimento!$A$2:$BV$1048576,74,0),"")</f>
        <v/>
      </c>
    </row>
    <row r="309" spans="1:13" x14ac:dyDescent="0.2">
      <c r="A309" s="96">
        <f>Sitio!$E$3</f>
        <v>0</v>
      </c>
      <c r="B309" s="96" t="str">
        <f>IFERROR(VLOOKUP($E309,Preenchimento!$A$2:$BV$1048576,2,0),"")</f>
        <v/>
      </c>
      <c r="C309" s="96" t="str">
        <f>IFERROR(VLOOKUP($E309,Preenchimento!$A$2:$BV$1048576,4,0),"")</f>
        <v/>
      </c>
      <c r="D309" s="96" t="str">
        <f>IFERROR(VLOOKUP($E309,Preenchimento!$A$2:$BV$1048576,3,0),"")</f>
        <v/>
      </c>
      <c r="E309" s="96">
        <v>307</v>
      </c>
      <c r="F309" s="96" t="str">
        <f>IFERROR(VLOOKUP($E309,Preenchimento!$A$2:$BV$1048576,7,0),"")</f>
        <v/>
      </c>
      <c r="G309" s="96" t="str">
        <f>IF(IFERROR(VLOOKUP($E309,Preenchimento!$A$2:$BV$1048576,8,0),"")=0,"",IFERROR(VLOOKUP($E309,Preenchimento!$A$2:$BV$1048576,8,0),""))</f>
        <v/>
      </c>
      <c r="H309" s="96" t="str">
        <f>IFERROR(VLOOKUP($E309,Preenchimento!$A$2:$BV$1048576,9,0),"")</f>
        <v/>
      </c>
      <c r="I309" s="96" t="str">
        <f>IFERROR(VLOOKUP($E309,Preenchimento!$A$2:$BV$1048576,10,0),"")</f>
        <v/>
      </c>
      <c r="J309" s="96" t="str">
        <f>IFERROR(VLOOKUP($E309,Preenchimento!$A$2:$BV$1048576,12,0),"")</f>
        <v/>
      </c>
      <c r="K309" s="96" t="str">
        <f>IFERROR(VLOOKUP($E309,Preenchimento!$A$2:$BV$1048576,6,0),"")</f>
        <v/>
      </c>
      <c r="L309" s="96" t="str">
        <f>IF(IFERROR(VLOOKUP($E309,Preenchimento!$A$2:$BV$1048576,53,0),"")=0,"",IFERROR(VLOOKUP($E309,Preenchimento!$A$2:$BV$1048576,53,0),""))</f>
        <v/>
      </c>
      <c r="M309" s="96" t="str">
        <f>IFERROR(VLOOKUP($E309,Preenchimento!$A$2:$BV$1048576,74,0),"")</f>
        <v/>
      </c>
    </row>
    <row r="310" spans="1:13" x14ac:dyDescent="0.2">
      <c r="A310" s="96">
        <f>Sitio!$E$3</f>
        <v>0</v>
      </c>
      <c r="B310" s="96" t="str">
        <f>IFERROR(VLOOKUP($E310,Preenchimento!$A$2:$BV$1048576,2,0),"")</f>
        <v/>
      </c>
      <c r="C310" s="96" t="str">
        <f>IFERROR(VLOOKUP($E310,Preenchimento!$A$2:$BV$1048576,4,0),"")</f>
        <v/>
      </c>
      <c r="D310" s="96" t="str">
        <f>IFERROR(VLOOKUP($E310,Preenchimento!$A$2:$BV$1048576,3,0),"")</f>
        <v/>
      </c>
      <c r="E310" s="96">
        <v>308</v>
      </c>
      <c r="F310" s="96" t="str">
        <f>IFERROR(VLOOKUP($E310,Preenchimento!$A$2:$BV$1048576,7,0),"")</f>
        <v/>
      </c>
      <c r="G310" s="96" t="str">
        <f>IF(IFERROR(VLOOKUP($E310,Preenchimento!$A$2:$BV$1048576,8,0),"")=0,"",IFERROR(VLOOKUP($E310,Preenchimento!$A$2:$BV$1048576,8,0),""))</f>
        <v/>
      </c>
      <c r="H310" s="96" t="str">
        <f>IFERROR(VLOOKUP($E310,Preenchimento!$A$2:$BV$1048576,9,0),"")</f>
        <v/>
      </c>
      <c r="I310" s="96" t="str">
        <f>IFERROR(VLOOKUP($E310,Preenchimento!$A$2:$BV$1048576,10,0),"")</f>
        <v/>
      </c>
      <c r="J310" s="96" t="str">
        <f>IFERROR(VLOOKUP($E310,Preenchimento!$A$2:$BV$1048576,12,0),"")</f>
        <v/>
      </c>
      <c r="K310" s="96" t="str">
        <f>IFERROR(VLOOKUP($E310,Preenchimento!$A$2:$BV$1048576,6,0),"")</f>
        <v/>
      </c>
      <c r="L310" s="96" t="str">
        <f>IF(IFERROR(VLOOKUP($E310,Preenchimento!$A$2:$BV$1048576,53,0),"")=0,"",IFERROR(VLOOKUP($E310,Preenchimento!$A$2:$BV$1048576,53,0),""))</f>
        <v/>
      </c>
      <c r="M310" s="96" t="str">
        <f>IFERROR(VLOOKUP($E310,Preenchimento!$A$2:$BV$1048576,74,0),"")</f>
        <v/>
      </c>
    </row>
  </sheetData>
  <sheetProtection algorithmName="SHA-512" hashValue="zDPfhmBmXg+c/2FsNJrGv+xdVJ63L6qwkrLa7yhIaM88Nd3Ie1XvoM8wKg6bVBfBJ191od73pC42fWfS807CEA==" saltValue="rSKyxVa9S+ZqYFcleOTXig==" spinCount="100000" sheet="1" objects="1" scenarios="1"/>
  <mergeCells count="11">
    <mergeCell ref="J1:J2"/>
    <mergeCell ref="L1:L2"/>
    <mergeCell ref="M1:M2"/>
    <mergeCell ref="A1:A2"/>
    <mergeCell ref="B1:B2"/>
    <mergeCell ref="D1:D2"/>
    <mergeCell ref="E1:E2"/>
    <mergeCell ref="F1:H1"/>
    <mergeCell ref="I1:I2"/>
    <mergeCell ref="C1:C2"/>
    <mergeCell ref="K1:K2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00B050"/>
  </sheetPr>
  <dimension ref="A2:J79"/>
  <sheetViews>
    <sheetView showGridLines="0" showZeros="0" topLeftCell="A69" zoomScaleNormal="100" workbookViewId="0">
      <selection activeCell="H61" sqref="H61:I62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>
        <f>VLOOKUP($D$71,Preenchimento!$A:$BV,9)</f>
        <v>3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 t="str">
        <f>VLOOKUP($D$71,Preenchimento!$A:$BV,10)</f>
        <v xml:space="preserve"> -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/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/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/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/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/>
      <c r="C30" s="48" t="s">
        <v>192</v>
      </c>
      <c r="D30" s="37"/>
      <c r="E30" s="49" t="s">
        <v>191</v>
      </c>
      <c r="F30" s="37"/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/>
      <c r="C33" s="55" t="s">
        <v>193</v>
      </c>
      <c r="D33" s="37"/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/>
      <c r="C38" s="48" t="s">
        <v>204</v>
      </c>
      <c r="D38" s="37"/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/>
      <c r="C44" s="48" t="s">
        <v>218</v>
      </c>
      <c r="D44" s="37"/>
      <c r="E44" s="63" t="s">
        <v>219</v>
      </c>
      <c r="F44" s="37"/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/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/>
      <c r="C47" s="63" t="s">
        <v>228</v>
      </c>
      <c r="G47" s="272"/>
      <c r="H47" s="272"/>
      <c r="I47" s="225"/>
    </row>
    <row r="48" spans="2:9" ht="11.25" customHeight="1" x14ac:dyDescent="0.2">
      <c r="B48" s="37"/>
      <c r="C48" s="27" t="s">
        <v>229</v>
      </c>
      <c r="G48" s="272"/>
      <c r="H48" s="272"/>
      <c r="I48" s="225"/>
    </row>
    <row r="49" spans="2:9" ht="11.25" customHeight="1" x14ac:dyDescent="0.2">
      <c r="B49" s="42"/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/>
      <c r="C51" s="55" t="s">
        <v>231</v>
      </c>
      <c r="D51" s="37"/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/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/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/>
      <c r="C58" s="63" t="s">
        <v>234</v>
      </c>
      <c r="D58" s="37"/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/>
      <c r="E59" s="27" t="s">
        <v>236</v>
      </c>
      <c r="F59" s="37"/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/>
      <c r="C61" s="55" t="s">
        <v>19</v>
      </c>
      <c r="D61" s="37"/>
      <c r="E61" s="55" t="s">
        <v>21</v>
      </c>
      <c r="F61" s="37"/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/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Histórico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17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UUE 2</v>
      </c>
      <c r="E75" s="236"/>
      <c r="F75" s="237"/>
      <c r="G75" s="85" t="s">
        <v>116</v>
      </c>
      <c r="H75" s="240" t="str">
        <f>VLOOKUP($D$71,Preenchimento!$A:$BV,3)</f>
        <v>30-40cm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/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Alimentação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17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sheetProtection algorithmName="SHA-512" hashValue="w4CUP9O0WNE0KgS1Ub7X9of4/XQbbTA9YM0evmQVvBjaI1d8tmJOphudBBcbBUvO8fcr5ATJc++oJSdgjOkgWg==" saltValue="fFnj2Xr/FNuBVNPaOhI7vw==" spinCount="100000" sheet="1" objects="1" scenarios="1"/>
  <mergeCells count="40">
    <mergeCell ref="G47:I49"/>
    <mergeCell ref="B77:C77"/>
    <mergeCell ref="B72:C72"/>
    <mergeCell ref="D72:I72"/>
    <mergeCell ref="D66:I66"/>
    <mergeCell ref="B2:I2"/>
    <mergeCell ref="D4:I4"/>
    <mergeCell ref="D6:I6"/>
    <mergeCell ref="D7:I7"/>
    <mergeCell ref="D8:I8"/>
    <mergeCell ref="D11:I11"/>
    <mergeCell ref="D12:I12"/>
    <mergeCell ref="B13:I13"/>
    <mergeCell ref="B43:I43"/>
    <mergeCell ref="B45:I45"/>
    <mergeCell ref="I26:I28"/>
    <mergeCell ref="G16:I16"/>
    <mergeCell ref="D10:E10"/>
    <mergeCell ref="D5:I5"/>
    <mergeCell ref="D73:I73"/>
    <mergeCell ref="D75:F75"/>
    <mergeCell ref="H75:I75"/>
    <mergeCell ref="B50:I50"/>
    <mergeCell ref="B55:I55"/>
    <mergeCell ref="B56:I56"/>
    <mergeCell ref="B60:I60"/>
    <mergeCell ref="D63:I63"/>
    <mergeCell ref="D64:I64"/>
    <mergeCell ref="D69:I69"/>
    <mergeCell ref="B70:I70"/>
    <mergeCell ref="D65:I65"/>
    <mergeCell ref="B73:C73"/>
    <mergeCell ref="D74:I74"/>
    <mergeCell ref="D78:G78"/>
    <mergeCell ref="I58:I59"/>
    <mergeCell ref="I52:I53"/>
    <mergeCell ref="H61:I62"/>
    <mergeCell ref="F79:G79"/>
    <mergeCell ref="H79:I79"/>
    <mergeCell ref="D76:I76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D0AC1-D96D-4CE7-92A9-6CF9EEA269A7}">
  <sheetPr codeName="Planilha8">
    <tabColor rgb="FF00B050"/>
  </sheetPr>
  <dimension ref="A2:J79"/>
  <sheetViews>
    <sheetView showGridLines="0" showZeros="0" zoomScaleNormal="100" workbookViewId="0">
      <selection activeCell="E88" sqref="E88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>
        <f>VLOOKUP($D$71,Preenchimento!$A:$BV,9)</f>
        <v>1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>
        <f>VLOOKUP($D$71,Preenchimento!$A:$BV,10)</f>
        <v>9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 t="s">
        <v>355</v>
      </c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 t="s">
        <v>355</v>
      </c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 t="s">
        <v>355</v>
      </c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/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 t="s">
        <v>355</v>
      </c>
      <c r="C30" s="48" t="s">
        <v>192</v>
      </c>
      <c r="D30" s="37"/>
      <c r="E30" s="49" t="s">
        <v>191</v>
      </c>
      <c r="F30" s="37"/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 t="s">
        <v>355</v>
      </c>
      <c r="C33" s="55" t="s">
        <v>193</v>
      </c>
      <c r="D33" s="37"/>
      <c r="E33" s="56" t="s">
        <v>45</v>
      </c>
      <c r="F33" s="37"/>
      <c r="G33" s="55" t="s">
        <v>199</v>
      </c>
      <c r="H33" s="37" t="s">
        <v>355</v>
      </c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 t="s">
        <v>355</v>
      </c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 t="s">
        <v>355</v>
      </c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 t="s">
        <v>355</v>
      </c>
      <c r="C38" s="48" t="s">
        <v>204</v>
      </c>
      <c r="D38" s="37"/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 t="s">
        <v>355</v>
      </c>
      <c r="C39" s="63" t="s">
        <v>205</v>
      </c>
      <c r="D39" s="37"/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 t="s">
        <v>355</v>
      </c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 t="s">
        <v>355</v>
      </c>
      <c r="C44" s="48" t="s">
        <v>218</v>
      </c>
      <c r="D44" s="37"/>
      <c r="E44" s="63" t="s">
        <v>219</v>
      </c>
      <c r="F44" s="37"/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 t="s">
        <v>355</v>
      </c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/>
      <c r="C47" s="63" t="s">
        <v>228</v>
      </c>
      <c r="G47" s="272"/>
      <c r="H47" s="272"/>
      <c r="I47" s="225"/>
    </row>
    <row r="48" spans="2:9" ht="11.25" customHeight="1" x14ac:dyDescent="0.2">
      <c r="B48" s="37"/>
      <c r="C48" s="27" t="s">
        <v>229</v>
      </c>
      <c r="G48" s="272"/>
      <c r="H48" s="272"/>
      <c r="I48" s="225"/>
    </row>
    <row r="49" spans="2:9" ht="11.25" customHeight="1" x14ac:dyDescent="0.2">
      <c r="B49" s="42"/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/>
      <c r="C51" s="55" t="s">
        <v>231</v>
      </c>
      <c r="D51" s="37"/>
      <c r="E51" s="55" t="s">
        <v>226</v>
      </c>
      <c r="F51" s="37" t="s">
        <v>355</v>
      </c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 t="s">
        <v>355</v>
      </c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 t="s">
        <v>355</v>
      </c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 t="str">
        <f>VLOOKUP($D$71,Preenchimento!$A:$BV,64)</f>
        <v>Dessalinização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/>
      <c r="C57" s="55" t="s">
        <v>233</v>
      </c>
      <c r="D57" s="42"/>
      <c r="E57" s="55" t="s">
        <v>108</v>
      </c>
      <c r="F57" s="42" t="s">
        <v>355</v>
      </c>
      <c r="G57" s="63" t="s">
        <v>237</v>
      </c>
      <c r="H57" s="67"/>
      <c r="I57" s="73" t="s">
        <v>59</v>
      </c>
    </row>
    <row r="58" spans="2:9" ht="11.25" customHeight="1" x14ac:dyDescent="0.2">
      <c r="B58" s="37"/>
      <c r="C58" s="63" t="s">
        <v>234</v>
      </c>
      <c r="D58" s="37"/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/>
      <c r="E59" s="27" t="s">
        <v>236</v>
      </c>
      <c r="F59" s="37"/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 t="s">
        <v>355</v>
      </c>
      <c r="C61" s="55" t="s">
        <v>19</v>
      </c>
      <c r="D61" s="37"/>
      <c r="E61" s="55" t="s">
        <v>21</v>
      </c>
      <c r="F61" s="37"/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/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Histórico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1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Col. Sup 4</v>
      </c>
      <c r="E75" s="236"/>
      <c r="F75" s="237"/>
      <c r="G75" s="85" t="s">
        <v>116</v>
      </c>
      <c r="H75" s="240" t="str">
        <f>VLOOKUP($D$71,Preenchimento!$A:$BV,3)</f>
        <v>Superfície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Alimentação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1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A12D6-2AAC-4243-AC2C-28E813D6EF07}">
  <sheetPr codeName="Planilha9">
    <tabColor rgb="FF00B050"/>
  </sheetPr>
  <dimension ref="A2:J79"/>
  <sheetViews>
    <sheetView showGridLines="0" showZeros="0" topLeftCell="A69" zoomScaleNormal="100" workbookViewId="0">
      <selection activeCell="D67" sqref="D67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>
        <f>VLOOKUP($D$71,Preenchimento!$A:$BV,9)</f>
        <v>1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 t="str">
        <f>VLOOKUP($D$71,Preenchimento!$A:$BV,10)</f>
        <v>10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/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 t="s">
        <v>355</v>
      </c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 t="s">
        <v>355</v>
      </c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/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 t="s">
        <v>355</v>
      </c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/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/>
      <c r="C30" s="48" t="s">
        <v>192</v>
      </c>
      <c r="D30" s="37" t="s">
        <v>355</v>
      </c>
      <c r="E30" s="49" t="s">
        <v>191</v>
      </c>
      <c r="F30" s="37"/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/>
      <c r="C33" s="55" t="s">
        <v>193</v>
      </c>
      <c r="D33" s="37" t="s">
        <v>355</v>
      </c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 t="s">
        <v>355</v>
      </c>
      <c r="C36" s="58" t="s">
        <v>12</v>
      </c>
      <c r="D36" s="37" t="s">
        <v>355</v>
      </c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/>
      <c r="C38" s="48" t="s">
        <v>204</v>
      </c>
      <c r="D38" s="37"/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 t="s">
        <v>355</v>
      </c>
      <c r="C40" s="63" t="s">
        <v>206</v>
      </c>
      <c r="D40" s="37"/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 t="s">
        <v>355</v>
      </c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/>
      <c r="C44" s="48" t="s">
        <v>218</v>
      </c>
      <c r="D44" s="37" t="s">
        <v>355</v>
      </c>
      <c r="E44" s="63" t="s">
        <v>219</v>
      </c>
      <c r="F44" s="37"/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/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 t="s">
        <v>355</v>
      </c>
      <c r="C47" s="63" t="s">
        <v>228</v>
      </c>
      <c r="G47" s="272"/>
      <c r="H47" s="272"/>
      <c r="I47" s="225"/>
    </row>
    <row r="48" spans="2:9" ht="11.25" customHeight="1" x14ac:dyDescent="0.2">
      <c r="B48" s="37"/>
      <c r="C48" s="27" t="s">
        <v>229</v>
      </c>
      <c r="G48" s="272"/>
      <c r="H48" s="272"/>
      <c r="I48" s="225"/>
    </row>
    <row r="49" spans="2:9" ht="11.25" customHeight="1" x14ac:dyDescent="0.2">
      <c r="B49" s="42"/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/>
      <c r="C51" s="55" t="s">
        <v>231</v>
      </c>
      <c r="D51" s="37"/>
      <c r="E51" s="55" t="s">
        <v>226</v>
      </c>
      <c r="F51" s="37" t="s">
        <v>355</v>
      </c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 t="s">
        <v>355</v>
      </c>
      <c r="G52" s="63" t="s">
        <v>222</v>
      </c>
      <c r="I52" s="225"/>
    </row>
    <row r="53" spans="2:9" ht="11.25" customHeight="1" x14ac:dyDescent="0.2">
      <c r="B53" s="37"/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/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/>
      <c r="C58" s="63" t="s">
        <v>234</v>
      </c>
      <c r="D58" s="37" t="s">
        <v>355</v>
      </c>
      <c r="E58" s="27" t="s">
        <v>37</v>
      </c>
      <c r="F58" s="37" t="s">
        <v>355</v>
      </c>
      <c r="G58" s="63" t="s">
        <v>238</v>
      </c>
      <c r="I58" s="225"/>
    </row>
    <row r="59" spans="2:9" ht="11.25" customHeight="1" x14ac:dyDescent="0.2">
      <c r="B59" s="37" t="s">
        <v>355</v>
      </c>
      <c r="C59" s="74" t="s">
        <v>235</v>
      </c>
      <c r="D59" s="75"/>
      <c r="E59" s="27" t="s">
        <v>236</v>
      </c>
      <c r="F59" s="37"/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/>
      <c r="C61" s="55" t="s">
        <v>19</v>
      </c>
      <c r="D61" s="37" t="s">
        <v>355</v>
      </c>
      <c r="E61" s="55" t="s">
        <v>21</v>
      </c>
      <c r="F61" s="37"/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/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Pré-Colonial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2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Quadra de coleta 7</v>
      </c>
      <c r="E75" s="236"/>
      <c r="F75" s="237"/>
      <c r="G75" s="85" t="s">
        <v>116</v>
      </c>
      <c r="H75" s="240" t="str">
        <f>VLOOKUP($D$71,Preenchimento!$A:$BV,3)</f>
        <v>Superfície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Amostras/Fragmentos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2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AA0D-6FC1-4FA7-ACCD-578E6AACDA74}">
  <sheetPr codeName="Planilha10">
    <tabColor rgb="FF00B050"/>
  </sheetPr>
  <dimension ref="A2:J79"/>
  <sheetViews>
    <sheetView showGridLines="0" showZeros="0" topLeftCell="A69" zoomScaleNormal="100" workbookViewId="0">
      <selection activeCell="D67" sqref="D67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>
        <f>VLOOKUP($D$71,Preenchimento!$A:$BV,9)</f>
        <v>5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 t="str">
        <f>VLOOKUP($D$71,Preenchimento!$A:$BV,10)</f>
        <v>11-15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/>
      <c r="C14" s="27" t="s">
        <v>175</v>
      </c>
      <c r="D14" s="26" t="s">
        <v>355</v>
      </c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 t="s">
        <v>355</v>
      </c>
      <c r="E19" s="27" t="s">
        <v>183</v>
      </c>
      <c r="F19" s="38"/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 t="s">
        <v>355</v>
      </c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/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/>
      <c r="C30" s="48" t="s">
        <v>192</v>
      </c>
      <c r="D30" s="37"/>
      <c r="E30" s="49" t="s">
        <v>191</v>
      </c>
      <c r="F30" s="37" t="s">
        <v>355</v>
      </c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/>
      <c r="C33" s="55" t="s">
        <v>193</v>
      </c>
      <c r="D33" s="37"/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 t="s">
        <v>355</v>
      </c>
      <c r="C34" s="56" t="s">
        <v>194</v>
      </c>
      <c r="D34" s="37"/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 t="s">
        <v>355</v>
      </c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/>
      <c r="C38" s="48" t="s">
        <v>204</v>
      </c>
      <c r="D38" s="37"/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/>
      <c r="G39" s="27" t="s">
        <v>212</v>
      </c>
      <c r="H39" s="37" t="s">
        <v>355</v>
      </c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/>
      <c r="C44" s="48" t="s">
        <v>218</v>
      </c>
      <c r="D44" s="37"/>
      <c r="E44" s="63" t="s">
        <v>219</v>
      </c>
      <c r="F44" s="37" t="s">
        <v>355</v>
      </c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/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/>
      <c r="C47" s="63" t="s">
        <v>228</v>
      </c>
      <c r="G47" s="272"/>
      <c r="H47" s="272"/>
      <c r="I47" s="225"/>
    </row>
    <row r="48" spans="2:9" ht="11.25" customHeight="1" x14ac:dyDescent="0.2">
      <c r="B48" s="37" t="s">
        <v>355</v>
      </c>
      <c r="C48" s="27" t="s">
        <v>229</v>
      </c>
      <c r="G48" s="272"/>
      <c r="H48" s="272"/>
      <c r="I48" s="225"/>
    </row>
    <row r="49" spans="2:9" ht="11.25" customHeight="1" x14ac:dyDescent="0.2">
      <c r="B49" s="42"/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/>
      <c r="C51" s="55" t="s">
        <v>231</v>
      </c>
      <c r="D51" s="37"/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 t="s">
        <v>355</v>
      </c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/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/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/>
      <c r="C58" s="63" t="s">
        <v>234</v>
      </c>
      <c r="D58" s="37" t="s">
        <v>355</v>
      </c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 t="s">
        <v>355</v>
      </c>
      <c r="C59" s="74" t="s">
        <v>235</v>
      </c>
      <c r="D59" s="75" t="s">
        <v>355</v>
      </c>
      <c r="E59" s="27" t="s">
        <v>236</v>
      </c>
      <c r="F59" s="37"/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/>
      <c r="C61" s="55" t="s">
        <v>19</v>
      </c>
      <c r="D61" s="37" t="s">
        <v>355</v>
      </c>
      <c r="E61" s="55" t="s">
        <v>21</v>
      </c>
      <c r="F61" s="37"/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 t="s">
        <v>355</v>
      </c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Multicomponencial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3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Quadra de coleta 8</v>
      </c>
      <c r="E75" s="236"/>
      <c r="F75" s="237"/>
      <c r="G75" s="85" t="s">
        <v>116</v>
      </c>
      <c r="H75" s="240" t="str">
        <f>VLOOKUP($D$71,Preenchimento!$A:$BV,3)</f>
        <v>Superfície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Armamentos/Munição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3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BA8CD-3526-412C-9E93-E722E3646D27}">
  <sheetPr codeName="Planilha11">
    <tabColor rgb="FF00B050"/>
  </sheetPr>
  <dimension ref="A2:J79"/>
  <sheetViews>
    <sheetView showGridLines="0" showZeros="0" topLeftCell="A69" zoomScaleNormal="100" workbookViewId="0">
      <selection activeCell="D67" sqref="D67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 t="str">
        <f>VLOOKUP($D$71,Preenchimento!$A:$BV,9)</f>
        <v>33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 t="str">
        <f>VLOOKUP($D$71,Preenchimento!$A:$BV,10)</f>
        <v>16-40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/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 t="s">
        <v>355</v>
      </c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 t="s">
        <v>355</v>
      </c>
      <c r="C18" s="27" t="s">
        <v>25</v>
      </c>
      <c r="D18" s="33"/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/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/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 t="s">
        <v>355</v>
      </c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 t="s">
        <v>355</v>
      </c>
      <c r="C30" s="48" t="s">
        <v>192</v>
      </c>
      <c r="D30" s="37"/>
      <c r="E30" s="49" t="s">
        <v>191</v>
      </c>
      <c r="F30" s="37"/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/>
      <c r="C33" s="55" t="s">
        <v>193</v>
      </c>
      <c r="D33" s="37"/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 t="s">
        <v>355</v>
      </c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/>
      <c r="C38" s="48" t="s">
        <v>204</v>
      </c>
      <c r="D38" s="37"/>
      <c r="E38" s="49" t="s">
        <v>208</v>
      </c>
      <c r="F38" s="37"/>
      <c r="G38" s="49" t="s">
        <v>47</v>
      </c>
      <c r="H38" s="37" t="s">
        <v>355</v>
      </c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 t="s">
        <v>355</v>
      </c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 t="s">
        <v>355</v>
      </c>
      <c r="C44" s="48" t="s">
        <v>218</v>
      </c>
      <c r="D44" s="37"/>
      <c r="E44" s="63" t="s">
        <v>219</v>
      </c>
      <c r="F44" s="37"/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/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/>
      <c r="C47" s="63" t="s">
        <v>228</v>
      </c>
      <c r="G47" s="272"/>
      <c r="H47" s="272"/>
      <c r="I47" s="225"/>
    </row>
    <row r="48" spans="2:9" ht="11.25" customHeight="1" x14ac:dyDescent="0.2">
      <c r="B48" s="37"/>
      <c r="C48" s="27" t="s">
        <v>229</v>
      </c>
      <c r="G48" s="272"/>
      <c r="H48" s="272"/>
      <c r="I48" s="225"/>
    </row>
    <row r="49" spans="2:9" ht="11.25" customHeight="1" x14ac:dyDescent="0.2">
      <c r="B49" s="42" t="s">
        <v>355</v>
      </c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 t="s">
        <v>355</v>
      </c>
      <c r="C51" s="55" t="s">
        <v>231</v>
      </c>
      <c r="D51" s="37"/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 t="s">
        <v>355</v>
      </c>
      <c r="G52" s="63" t="s">
        <v>222</v>
      </c>
      <c r="I52" s="225"/>
    </row>
    <row r="53" spans="2:9" ht="11.25" customHeight="1" x14ac:dyDescent="0.2">
      <c r="B53" s="37"/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/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/>
      <c r="C58" s="63" t="s">
        <v>234</v>
      </c>
      <c r="D58" s="37" t="s">
        <v>355</v>
      </c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 t="s">
        <v>355</v>
      </c>
      <c r="E59" s="27" t="s">
        <v>236</v>
      </c>
      <c r="F59" s="37"/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/>
      <c r="C61" s="55" t="s">
        <v>19</v>
      </c>
      <c r="D61" s="37"/>
      <c r="E61" s="55" t="s">
        <v>21</v>
      </c>
      <c r="F61" s="37" t="s">
        <v>355</v>
      </c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 t="s">
        <v>355</v>
      </c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Indeterminada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4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Quadra de coleta 8</v>
      </c>
      <c r="E75" s="236"/>
      <c r="F75" s="237"/>
      <c r="G75" s="85" t="s">
        <v>116</v>
      </c>
      <c r="H75" s="240" t="str">
        <f>VLOOKUP($D$71,Preenchimento!$A:$BV,3)</f>
        <v>Superfície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Escritório/Papelaria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4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A391-2ED6-41AE-925E-C48E11BDF2EE}">
  <sheetPr codeName="Planilha12">
    <tabColor rgb="FF00B050"/>
  </sheetPr>
  <dimension ref="A2:J79"/>
  <sheetViews>
    <sheetView showGridLines="0" showZeros="0" topLeftCell="A69" zoomScaleNormal="100" workbookViewId="0">
      <selection activeCell="D67" sqref="D67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 t="str">
        <f>VLOOKUP($D$71,Preenchimento!$A:$BV,9)</f>
        <v>5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 t="str">
        <f>VLOOKUP($D$71,Preenchimento!$A:$BV,10)</f>
        <v>41-45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/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 t="s">
        <v>355</v>
      </c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/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/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/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/>
      <c r="C30" s="48" t="s">
        <v>192</v>
      </c>
      <c r="D30" s="37" t="s">
        <v>355</v>
      </c>
      <c r="E30" s="49" t="s">
        <v>191</v>
      </c>
      <c r="F30" s="37"/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/>
      <c r="C33" s="55" t="s">
        <v>193</v>
      </c>
      <c r="D33" s="37"/>
      <c r="E33" s="56" t="s">
        <v>45</v>
      </c>
      <c r="F33" s="37" t="s">
        <v>355</v>
      </c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/>
      <c r="C38" s="48" t="s">
        <v>204</v>
      </c>
      <c r="D38" s="37"/>
      <c r="E38" s="49" t="s">
        <v>208</v>
      </c>
      <c r="F38" s="37" t="s">
        <v>355</v>
      </c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 t="s">
        <v>355</v>
      </c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 t="s">
        <v>355</v>
      </c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/>
      <c r="C44" s="48" t="s">
        <v>218</v>
      </c>
      <c r="D44" s="37" t="s">
        <v>355</v>
      </c>
      <c r="E44" s="63" t="s">
        <v>219</v>
      </c>
      <c r="F44" s="37"/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 t="s">
        <v>355</v>
      </c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/>
      <c r="C47" s="63" t="s">
        <v>228</v>
      </c>
      <c r="G47" s="272"/>
      <c r="H47" s="272"/>
      <c r="I47" s="225"/>
    </row>
    <row r="48" spans="2:9" ht="11.25" customHeight="1" x14ac:dyDescent="0.2">
      <c r="B48" s="37"/>
      <c r="C48" s="27" t="s">
        <v>229</v>
      </c>
      <c r="G48" s="272"/>
      <c r="H48" s="272"/>
      <c r="I48" s="225"/>
    </row>
    <row r="49" spans="2:9" ht="11.25" customHeight="1" x14ac:dyDescent="0.2">
      <c r="B49" s="42"/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 t="s">
        <v>355</v>
      </c>
      <c r="C51" s="55" t="s">
        <v>231</v>
      </c>
      <c r="D51" s="37"/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/>
      <c r="C53" s="56" t="s">
        <v>224</v>
      </c>
      <c r="D53" s="37" t="s">
        <v>355</v>
      </c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 t="s">
        <v>355</v>
      </c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/>
      <c r="C58" s="63" t="s">
        <v>234</v>
      </c>
      <c r="D58" s="37"/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 t="s">
        <v>355</v>
      </c>
      <c r="E59" s="27" t="s">
        <v>236</v>
      </c>
      <c r="F59" s="37"/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/>
      <c r="C61" s="55" t="s">
        <v>19</v>
      </c>
      <c r="D61" s="37"/>
      <c r="E61" s="55" t="s">
        <v>21</v>
      </c>
      <c r="F61" s="37" t="s">
        <v>355</v>
      </c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/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Histórico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5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Quadra de coleta 8</v>
      </c>
      <c r="E75" s="236"/>
      <c r="F75" s="237"/>
      <c r="G75" s="85" t="s">
        <v>116</v>
      </c>
      <c r="H75" s="240" t="str">
        <f>VLOOKUP($D$71,Preenchimento!$A:$BV,3)</f>
        <v>Superfície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Higiene pessoal, saúde e cuidados corporais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5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F7766-6C2C-4D7E-9923-79B68C399D99}">
  <sheetPr codeName="Planilha13">
    <tabColor rgb="FF00B050"/>
  </sheetPr>
  <dimension ref="A2:J79"/>
  <sheetViews>
    <sheetView showGridLines="0" showZeros="0" topLeftCell="A69" zoomScaleNormal="100" workbookViewId="0">
      <selection activeCell="D67" sqref="D67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 t="str">
        <f>VLOOKUP($D$71,Preenchimento!$A:$BV,9)</f>
        <v>3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 t="str">
        <f>VLOOKUP($D$71,Preenchimento!$A:$BV,10)</f>
        <v>46-48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/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 t="s">
        <v>355</v>
      </c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/>
      <c r="G18" s="27" t="s">
        <v>69</v>
      </c>
      <c r="H18" s="36" t="s">
        <v>355</v>
      </c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/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 t="s">
        <v>355</v>
      </c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/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/>
      <c r="C30" s="48" t="s">
        <v>192</v>
      </c>
      <c r="D30" s="37"/>
      <c r="E30" s="49" t="s">
        <v>191</v>
      </c>
      <c r="F30" s="37" t="s">
        <v>355</v>
      </c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/>
      <c r="C33" s="55" t="s">
        <v>193</v>
      </c>
      <c r="D33" s="37"/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 t="s">
        <v>355</v>
      </c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/>
      <c r="C38" s="48" t="s">
        <v>204</v>
      </c>
      <c r="D38" s="37" t="s">
        <v>355</v>
      </c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 t="s">
        <v>355</v>
      </c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/>
      <c r="C44" s="48" t="s">
        <v>218</v>
      </c>
      <c r="D44" s="37"/>
      <c r="E44" s="63" t="s">
        <v>219</v>
      </c>
      <c r="F44" s="37" t="s">
        <v>355</v>
      </c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/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 t="s">
        <v>355</v>
      </c>
      <c r="C47" s="63" t="s">
        <v>228</v>
      </c>
      <c r="G47" s="272"/>
      <c r="H47" s="272"/>
      <c r="I47" s="225"/>
    </row>
    <row r="48" spans="2:9" ht="11.25" customHeight="1" x14ac:dyDescent="0.2">
      <c r="B48" s="37"/>
      <c r="C48" s="27" t="s">
        <v>229</v>
      </c>
      <c r="G48" s="272"/>
      <c r="H48" s="272"/>
      <c r="I48" s="225"/>
    </row>
    <row r="49" spans="2:9" ht="11.25" customHeight="1" x14ac:dyDescent="0.2">
      <c r="B49" s="42"/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 t="s">
        <v>355</v>
      </c>
      <c r="C51" s="55" t="s">
        <v>231</v>
      </c>
      <c r="D51" s="37" t="s">
        <v>355</v>
      </c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/>
      <c r="C53" s="56" t="s">
        <v>224</v>
      </c>
      <c r="D53" s="37" t="s">
        <v>355</v>
      </c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 t="str">
        <f>VLOOKUP($D$71,Preenchimento!$A:$BV,64)</f>
        <v>Higienização a seco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 t="s">
        <v>355</v>
      </c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 t="s">
        <v>355</v>
      </c>
      <c r="C58" s="63" t="s">
        <v>234</v>
      </c>
      <c r="D58" s="37"/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/>
      <c r="E59" s="27" t="s">
        <v>236</v>
      </c>
      <c r="F59" s="37"/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 t="s">
        <v>355</v>
      </c>
      <c r="C61" s="55" t="s">
        <v>19</v>
      </c>
      <c r="D61" s="37"/>
      <c r="E61" s="55" t="s">
        <v>21</v>
      </c>
      <c r="F61" s="37"/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/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Pré-Colonial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6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UUE 1</v>
      </c>
      <c r="E75" s="236"/>
      <c r="F75" s="237"/>
      <c r="G75" s="85" t="s">
        <v>116</v>
      </c>
      <c r="H75" s="240" t="str">
        <f>VLOOKUP($D$71,Preenchimento!$A:$BV,3)</f>
        <v>Superfície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Lúdico/Lazer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6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37A2-B094-4108-A464-EDF7EF4037A2}">
  <sheetPr codeName="Planilha14">
    <tabColor rgb="FF00B050"/>
  </sheetPr>
  <dimension ref="A2:J79"/>
  <sheetViews>
    <sheetView showGridLines="0" showZeros="0" topLeftCell="A69" zoomScaleNormal="100" workbookViewId="0">
      <selection activeCell="D67" sqref="D67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 t="str">
        <f>VLOOKUP($D$71,Preenchimento!$A:$BV,9)</f>
        <v>3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 t="str">
        <f>VLOOKUP($D$71,Preenchimento!$A:$BV,10)</f>
        <v>49-51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/>
      <c r="C14" s="27" t="s">
        <v>175</v>
      </c>
      <c r="D14" s="26"/>
      <c r="E14" s="27" t="s">
        <v>177</v>
      </c>
      <c r="F14" s="26" t="s">
        <v>355</v>
      </c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 t="s">
        <v>355</v>
      </c>
      <c r="C19" s="27" t="s">
        <v>181</v>
      </c>
      <c r="D19" s="37"/>
      <c r="E19" s="27" t="s">
        <v>183</v>
      </c>
      <c r="F19" s="38"/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/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 t="s">
        <v>355</v>
      </c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 t="s">
        <v>355</v>
      </c>
      <c r="C30" s="48" t="s">
        <v>192</v>
      </c>
      <c r="D30" s="37"/>
      <c r="E30" s="49" t="s">
        <v>191</v>
      </c>
      <c r="F30" s="37"/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/>
      <c r="C33" s="55" t="s">
        <v>193</v>
      </c>
      <c r="D33" s="37"/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/>
      <c r="G34" s="56" t="s">
        <v>200</v>
      </c>
      <c r="H34" s="37" t="s">
        <v>355</v>
      </c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/>
      <c r="C38" s="48" t="s">
        <v>204</v>
      </c>
      <c r="D38" s="37"/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/>
      <c r="G40" s="27" t="s">
        <v>213</v>
      </c>
      <c r="H40" s="37" t="s">
        <v>355</v>
      </c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 t="s">
        <v>355</v>
      </c>
      <c r="C44" s="48" t="s">
        <v>218</v>
      </c>
      <c r="D44" s="37"/>
      <c r="E44" s="63" t="s">
        <v>219</v>
      </c>
      <c r="F44" s="37"/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/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/>
      <c r="C47" s="63" t="s">
        <v>228</v>
      </c>
      <c r="G47" s="272"/>
      <c r="H47" s="272"/>
      <c r="I47" s="225"/>
    </row>
    <row r="48" spans="2:9" ht="11.25" customHeight="1" x14ac:dyDescent="0.2">
      <c r="B48" s="37" t="s">
        <v>355</v>
      </c>
      <c r="C48" s="27" t="s">
        <v>229</v>
      </c>
      <c r="G48" s="272"/>
      <c r="H48" s="272"/>
      <c r="I48" s="225"/>
    </row>
    <row r="49" spans="2:9" ht="11.25" customHeight="1" x14ac:dyDescent="0.2">
      <c r="B49" s="42"/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/>
      <c r="C51" s="55" t="s">
        <v>231</v>
      </c>
      <c r="D51" s="37" t="s">
        <v>355</v>
      </c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/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 t="s">
        <v>355</v>
      </c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 t="s">
        <v>355</v>
      </c>
      <c r="C58" s="63" t="s">
        <v>234</v>
      </c>
      <c r="D58" s="37"/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/>
      <c r="E59" s="27" t="s">
        <v>236</v>
      </c>
      <c r="F59" s="37" t="s">
        <v>355</v>
      </c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/>
      <c r="C61" s="55" t="s">
        <v>19</v>
      </c>
      <c r="D61" s="37"/>
      <c r="E61" s="55" t="s">
        <v>21</v>
      </c>
      <c r="F61" s="37"/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/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Multicomponencial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7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UUE 1</v>
      </c>
      <c r="E75" s="236"/>
      <c r="F75" s="237"/>
      <c r="G75" s="85" t="s">
        <v>116</v>
      </c>
      <c r="H75" s="240" t="str">
        <f>VLOOKUP($D$71,Preenchimento!$A:$BV,3)</f>
        <v>Superfície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Numismática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7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507F6-765E-45C8-B1F4-B842743DE8C2}">
  <sheetPr codeName="Planilha15">
    <tabColor rgb="FF00B050"/>
  </sheetPr>
  <dimension ref="A2:J79"/>
  <sheetViews>
    <sheetView showGridLines="0" showZeros="0" topLeftCell="A69" zoomScaleNormal="100" workbookViewId="0">
      <selection activeCell="D67" sqref="D67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 t="str">
        <f>VLOOKUP($D$71,Preenchimento!$A:$BV,9)</f>
        <v>1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>
        <f>VLOOKUP($D$71,Preenchimento!$A:$BV,10)</f>
        <v>52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 t="s">
        <v>355</v>
      </c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/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 t="s">
        <v>355</v>
      </c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/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/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 t="s">
        <v>355</v>
      </c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/>
      <c r="C30" s="48" t="s">
        <v>192</v>
      </c>
      <c r="D30" s="37" t="s">
        <v>355</v>
      </c>
      <c r="E30" s="49" t="s">
        <v>191</v>
      </c>
      <c r="F30" s="37"/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 t="s">
        <v>355</v>
      </c>
      <c r="C33" s="55" t="s">
        <v>193</v>
      </c>
      <c r="D33" s="37"/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 t="s">
        <v>355</v>
      </c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 t="s">
        <v>355</v>
      </c>
      <c r="C38" s="48" t="s">
        <v>204</v>
      </c>
      <c r="D38" s="37"/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/>
      <c r="C44" s="48" t="s">
        <v>218</v>
      </c>
      <c r="D44" s="37" t="s">
        <v>355</v>
      </c>
      <c r="E44" s="63" t="s">
        <v>219</v>
      </c>
      <c r="F44" s="37"/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/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/>
      <c r="C47" s="63" t="s">
        <v>228</v>
      </c>
      <c r="G47" s="272"/>
      <c r="H47" s="272"/>
      <c r="I47" s="225"/>
    </row>
    <row r="48" spans="2:9" ht="11.25" customHeight="1" x14ac:dyDescent="0.2">
      <c r="B48" s="37"/>
      <c r="C48" s="27" t="s">
        <v>229</v>
      </c>
      <c r="G48" s="272"/>
      <c r="H48" s="272"/>
      <c r="I48" s="225"/>
    </row>
    <row r="49" spans="2:9" ht="11.25" customHeight="1" x14ac:dyDescent="0.2">
      <c r="B49" s="42" t="s">
        <v>355</v>
      </c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/>
      <c r="C51" s="55" t="s">
        <v>231</v>
      </c>
      <c r="D51" s="37"/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 t="s">
        <v>355</v>
      </c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/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 t="s">
        <v>355</v>
      </c>
      <c r="C58" s="63" t="s">
        <v>234</v>
      </c>
      <c r="D58" s="37"/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/>
      <c r="E59" s="27" t="s">
        <v>236</v>
      </c>
      <c r="F59" s="37" t="s">
        <v>355</v>
      </c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/>
      <c r="C61" s="55" t="s">
        <v>19</v>
      </c>
      <c r="D61" s="37" t="s">
        <v>355</v>
      </c>
      <c r="E61" s="55" t="s">
        <v>21</v>
      </c>
      <c r="F61" s="37"/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/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Indeterminada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8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UUE 1</v>
      </c>
      <c r="E75" s="236"/>
      <c r="F75" s="237"/>
      <c r="G75" s="85" t="s">
        <v>116</v>
      </c>
      <c r="H75" s="240" t="str">
        <f>VLOOKUP($D$71,Preenchimento!$A:$BV,3)</f>
        <v>Superfície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Objetos cerimoniais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8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72EC1-5028-4E95-AE4B-D5B905396CF3}">
  <sheetPr codeName="Planilha16">
    <tabColor rgb="FF00B050"/>
  </sheetPr>
  <dimension ref="A2:J79"/>
  <sheetViews>
    <sheetView showGridLines="0" showZeros="0" topLeftCell="A69" zoomScaleNormal="100" workbookViewId="0">
      <selection activeCell="D67" sqref="D67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 t="str">
        <f>VLOOKUP($D$71,Preenchimento!$A:$BV,9)</f>
        <v>30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 t="str">
        <f>VLOOKUP($D$71,Preenchimento!$A:$BV,10)</f>
        <v>53-73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 t="s">
        <v>355</v>
      </c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/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 t="s">
        <v>355</v>
      </c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/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 t="s">
        <v>355</v>
      </c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/>
      <c r="C30" s="48" t="s">
        <v>192</v>
      </c>
      <c r="D30" s="37"/>
      <c r="E30" s="49" t="s">
        <v>191</v>
      </c>
      <c r="F30" s="37" t="s">
        <v>355</v>
      </c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 t="s">
        <v>355</v>
      </c>
      <c r="C33" s="55" t="s">
        <v>193</v>
      </c>
      <c r="D33" s="37"/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 t="s">
        <v>355</v>
      </c>
      <c r="C38" s="48" t="s">
        <v>204</v>
      </c>
      <c r="D38" s="37"/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/>
      <c r="C44" s="48" t="s">
        <v>218</v>
      </c>
      <c r="D44" s="37"/>
      <c r="E44" s="63" t="s">
        <v>219</v>
      </c>
      <c r="F44" s="37" t="s">
        <v>355</v>
      </c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 t="s">
        <v>355</v>
      </c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/>
      <c r="C47" s="63" t="s">
        <v>228</v>
      </c>
      <c r="G47" s="272"/>
      <c r="H47" s="272"/>
      <c r="I47" s="225"/>
    </row>
    <row r="48" spans="2:9" ht="11.25" customHeight="1" x14ac:dyDescent="0.2">
      <c r="B48" s="37"/>
      <c r="C48" s="27" t="s">
        <v>229</v>
      </c>
      <c r="G48" s="272"/>
      <c r="H48" s="272"/>
      <c r="I48" s="225"/>
    </row>
    <row r="49" spans="2:9" ht="11.25" customHeight="1" x14ac:dyDescent="0.2">
      <c r="B49" s="42"/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/>
      <c r="C51" s="55" t="s">
        <v>231</v>
      </c>
      <c r="D51" s="37"/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 t="s">
        <v>355</v>
      </c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/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/>
      <c r="C58" s="63" t="s">
        <v>234</v>
      </c>
      <c r="D58" s="37"/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/>
      <c r="E59" s="27" t="s">
        <v>236</v>
      </c>
      <c r="F59" s="37" t="s">
        <v>355</v>
      </c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/>
      <c r="C61" s="55" t="s">
        <v>19</v>
      </c>
      <c r="D61" s="37"/>
      <c r="E61" s="55" t="s">
        <v>21</v>
      </c>
      <c r="F61" s="37"/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 t="s">
        <v>355</v>
      </c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Histórico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9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UUE 2</v>
      </c>
      <c r="E75" s="236"/>
      <c r="F75" s="237"/>
      <c r="G75" s="85" t="s">
        <v>116</v>
      </c>
      <c r="H75" s="240" t="str">
        <f>VLOOKUP($D$71,Preenchimento!$A:$BV,3)</f>
        <v>0-10cm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Utilidades domésticas, manutenção da casa e trabalho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9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CFFB-576D-4BB5-AE52-C40B91D0EAD3}">
  <sheetPr codeName="Planilha17">
    <tabColor rgb="FF00B050"/>
  </sheetPr>
  <dimension ref="A2:J79"/>
  <sheetViews>
    <sheetView showGridLines="0" showZeros="0" topLeftCell="A69" zoomScaleNormal="100" workbookViewId="0">
      <selection activeCell="D67" sqref="D67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>
        <f>VLOOKUP($D$71,Preenchimento!$A:$BV,9)</f>
        <v>4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>
        <f>VLOOKUP($D$71,Preenchimento!$A:$BV,10)</f>
        <v>74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 t="s">
        <v>355</v>
      </c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/>
      <c r="G19" s="27" t="s">
        <v>70</v>
      </c>
      <c r="H19" s="38"/>
      <c r="I19" s="31" t="s">
        <v>43</v>
      </c>
    </row>
    <row r="20" spans="2:9" ht="11.25" customHeight="1" x14ac:dyDescent="0.2">
      <c r="B20" s="37" t="s">
        <v>355</v>
      </c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/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/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 t="s">
        <v>355</v>
      </c>
      <c r="C30" s="48" t="s">
        <v>192</v>
      </c>
      <c r="D30" s="37"/>
      <c r="E30" s="49" t="s">
        <v>191</v>
      </c>
      <c r="F30" s="37"/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 t="s">
        <v>355</v>
      </c>
      <c r="C33" s="55" t="s">
        <v>193</v>
      </c>
      <c r="D33" s="37"/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 t="s">
        <v>355</v>
      </c>
      <c r="C38" s="48" t="s">
        <v>204</v>
      </c>
      <c r="D38" s="37"/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 t="s">
        <v>355</v>
      </c>
      <c r="C44" s="48" t="s">
        <v>218</v>
      </c>
      <c r="D44" s="37"/>
      <c r="E44" s="63" t="s">
        <v>219</v>
      </c>
      <c r="F44" s="37"/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/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 t="s">
        <v>355</v>
      </c>
      <c r="C47" s="63" t="s">
        <v>228</v>
      </c>
      <c r="G47" s="272"/>
      <c r="H47" s="272"/>
      <c r="I47" s="225"/>
    </row>
    <row r="48" spans="2:9" ht="11.25" customHeight="1" x14ac:dyDescent="0.2">
      <c r="B48" s="37"/>
      <c r="C48" s="27" t="s">
        <v>229</v>
      </c>
      <c r="G48" s="272"/>
      <c r="H48" s="272"/>
      <c r="I48" s="225"/>
    </row>
    <row r="49" spans="2:9" ht="11.25" customHeight="1" x14ac:dyDescent="0.2">
      <c r="B49" s="42"/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/>
      <c r="C51" s="55" t="s">
        <v>231</v>
      </c>
      <c r="D51" s="37"/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 t="s">
        <v>355</v>
      </c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/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/>
      <c r="C58" s="63" t="s">
        <v>234</v>
      </c>
      <c r="D58" s="37"/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/>
      <c r="E59" s="27" t="s">
        <v>236</v>
      </c>
      <c r="F59" s="37"/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/>
      <c r="C61" s="55" t="s">
        <v>19</v>
      </c>
      <c r="D61" s="37"/>
      <c r="E61" s="55" t="s">
        <v>21</v>
      </c>
      <c r="F61" s="37" t="s">
        <v>355</v>
      </c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/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Pré-Colonial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10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UUE 2</v>
      </c>
      <c r="E75" s="236"/>
      <c r="F75" s="237"/>
      <c r="G75" s="85" t="s">
        <v>116</v>
      </c>
      <c r="H75" s="240" t="str">
        <f>VLOOKUP($D$71,Preenchimento!$A:$BV,3)</f>
        <v>0-10cm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Vestuário e adornos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10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42BD9-7877-4E47-9418-E31CC63F8DE0}">
  <sheetPr codeName="Planilha18">
    <tabColor rgb="FF00B050"/>
  </sheetPr>
  <dimension ref="A2:J79"/>
  <sheetViews>
    <sheetView showGridLines="0" showZeros="0" topLeftCell="A69" zoomScaleNormal="100" workbookViewId="0">
      <selection activeCell="D67" sqref="D67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>
        <f>VLOOKUP($D$71,Preenchimento!$A:$BV,9)</f>
        <v>2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 t="str">
        <f>VLOOKUP($D$71,Preenchimento!$A:$BV,10)</f>
        <v xml:space="preserve"> -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 t="s">
        <v>355</v>
      </c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 t="s">
        <v>355</v>
      </c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/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/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/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 t="s">
        <v>355</v>
      </c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/>
      <c r="C30" s="48" t="s">
        <v>192</v>
      </c>
      <c r="D30" s="37" t="s">
        <v>355</v>
      </c>
      <c r="E30" s="49" t="s">
        <v>191</v>
      </c>
      <c r="F30" s="37"/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 t="s">
        <v>355</v>
      </c>
      <c r="C33" s="55" t="s">
        <v>193</v>
      </c>
      <c r="D33" s="37"/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 t="s">
        <v>355</v>
      </c>
      <c r="C38" s="48" t="s">
        <v>204</v>
      </c>
      <c r="D38" s="37"/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/>
      <c r="C44" s="48" t="s">
        <v>218</v>
      </c>
      <c r="D44" s="37" t="s">
        <v>355</v>
      </c>
      <c r="E44" s="63" t="s">
        <v>219</v>
      </c>
      <c r="F44" s="37"/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/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/>
      <c r="C47" s="63" t="s">
        <v>228</v>
      </c>
      <c r="G47" s="272"/>
      <c r="H47" s="272"/>
      <c r="I47" s="225"/>
    </row>
    <row r="48" spans="2:9" ht="11.25" customHeight="1" x14ac:dyDescent="0.2">
      <c r="B48" s="37" t="s">
        <v>355</v>
      </c>
      <c r="C48" s="27" t="s">
        <v>229</v>
      </c>
      <c r="G48" s="272"/>
      <c r="H48" s="272"/>
      <c r="I48" s="225"/>
    </row>
    <row r="49" spans="2:9" ht="11.25" customHeight="1" x14ac:dyDescent="0.2">
      <c r="B49" s="42"/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/>
      <c r="C51" s="55" t="s">
        <v>231</v>
      </c>
      <c r="D51" s="37"/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 t="s">
        <v>355</v>
      </c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/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/>
      <c r="C58" s="63" t="s">
        <v>234</v>
      </c>
      <c r="D58" s="37"/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/>
      <c r="E59" s="27" t="s">
        <v>236</v>
      </c>
      <c r="F59" s="37"/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 t="s">
        <v>355</v>
      </c>
      <c r="C61" s="55" t="s">
        <v>19</v>
      </c>
      <c r="D61" s="37"/>
      <c r="E61" s="55" t="s">
        <v>21</v>
      </c>
      <c r="F61" s="37"/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/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Multicomponencial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11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UUE 2</v>
      </c>
      <c r="E75" s="236"/>
      <c r="F75" s="237"/>
      <c r="G75" s="85" t="s">
        <v>116</v>
      </c>
      <c r="H75" s="240" t="str">
        <f>VLOOKUP($D$71,Preenchimento!$A:$BV,3)</f>
        <v>0-10cm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Indeterminado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11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92E3-414E-4924-AFE1-5B23E5BCD213}">
  <sheetPr codeName="Planilha19">
    <tabColor rgb="FF00B050"/>
  </sheetPr>
  <dimension ref="A2:J79"/>
  <sheetViews>
    <sheetView showGridLines="0" showZeros="0" topLeftCell="A69" zoomScaleNormal="100" workbookViewId="0">
      <selection activeCell="D67" sqref="D67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>
        <f>VLOOKUP($D$71,Preenchimento!$A:$BV,9)</f>
        <v>4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 t="str">
        <f>VLOOKUP($D$71,Preenchimento!$A:$BV,10)</f>
        <v>75-78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 t="s">
        <v>355</v>
      </c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/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 t="s">
        <v>355</v>
      </c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 t="s">
        <v>355</v>
      </c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/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/>
      <c r="C30" s="48" t="s">
        <v>192</v>
      </c>
      <c r="D30" s="37"/>
      <c r="E30" s="49" t="s">
        <v>191</v>
      </c>
      <c r="F30" s="37" t="s">
        <v>355</v>
      </c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 t="s">
        <v>355</v>
      </c>
      <c r="C33" s="55" t="s">
        <v>193</v>
      </c>
      <c r="D33" s="37"/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 t="s">
        <v>355</v>
      </c>
      <c r="C38" s="48" t="s">
        <v>204</v>
      </c>
      <c r="D38" s="37"/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/>
      <c r="C44" s="48" t="s">
        <v>218</v>
      </c>
      <c r="D44" s="37"/>
      <c r="E44" s="63" t="s">
        <v>219</v>
      </c>
      <c r="F44" s="37" t="s">
        <v>355</v>
      </c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/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/>
      <c r="C47" s="63" t="s">
        <v>228</v>
      </c>
      <c r="G47" s="272"/>
      <c r="H47" s="272"/>
      <c r="I47" s="225"/>
    </row>
    <row r="48" spans="2:9" ht="11.25" customHeight="1" x14ac:dyDescent="0.2">
      <c r="B48" s="37"/>
      <c r="C48" s="27" t="s">
        <v>229</v>
      </c>
      <c r="G48" s="272"/>
      <c r="H48" s="272"/>
      <c r="I48" s="225"/>
    </row>
    <row r="49" spans="2:9" ht="11.25" customHeight="1" x14ac:dyDescent="0.2">
      <c r="B49" s="42" t="s">
        <v>355</v>
      </c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/>
      <c r="C51" s="55" t="s">
        <v>231</v>
      </c>
      <c r="D51" s="37"/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 t="s">
        <v>355</v>
      </c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/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/>
      <c r="C58" s="63" t="s">
        <v>234</v>
      </c>
      <c r="D58" s="37"/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/>
      <c r="E59" s="27" t="s">
        <v>236</v>
      </c>
      <c r="F59" s="37"/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/>
      <c r="C61" s="55" t="s">
        <v>19</v>
      </c>
      <c r="D61" s="37"/>
      <c r="E61" s="55" t="s">
        <v>21</v>
      </c>
      <c r="F61" s="37"/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/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Indeterminada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12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UUE 2</v>
      </c>
      <c r="E75" s="236"/>
      <c r="F75" s="237"/>
      <c r="G75" s="85" t="s">
        <v>116</v>
      </c>
      <c r="H75" s="240" t="str">
        <f>VLOOKUP($D$71,Preenchimento!$A:$BV,3)</f>
        <v>10-20cm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Não se aplica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12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9B765-878A-4830-8F99-76AB25899F79}">
  <sheetPr codeName="Planilha20">
    <tabColor rgb="FF00B050"/>
  </sheetPr>
  <dimension ref="A2:J79"/>
  <sheetViews>
    <sheetView showGridLines="0" showZeros="0" topLeftCell="A69" zoomScaleNormal="100" workbookViewId="0">
      <selection activeCell="D67" sqref="D67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>
        <f>VLOOKUP($D$71,Preenchimento!$A:$BV,9)</f>
        <v>4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 t="str">
        <f>VLOOKUP($D$71,Preenchimento!$A:$BV,10)</f>
        <v>79-80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 t="s">
        <v>355</v>
      </c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/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 t="s">
        <v>355</v>
      </c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/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 t="s">
        <v>355</v>
      </c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 t="s">
        <v>355</v>
      </c>
      <c r="C30" s="48" t="s">
        <v>192</v>
      </c>
      <c r="D30" s="37"/>
      <c r="E30" s="49" t="s">
        <v>191</v>
      </c>
      <c r="F30" s="37"/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 t="s">
        <v>355</v>
      </c>
      <c r="C33" s="55" t="s">
        <v>193</v>
      </c>
      <c r="D33" s="37"/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 t="s">
        <v>355</v>
      </c>
      <c r="C38" s="48" t="s">
        <v>204</v>
      </c>
      <c r="D38" s="37"/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 t="s">
        <v>355</v>
      </c>
      <c r="C44" s="48" t="s">
        <v>218</v>
      </c>
      <c r="D44" s="37"/>
      <c r="E44" s="63" t="s">
        <v>219</v>
      </c>
      <c r="F44" s="37"/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 t="s">
        <v>355</v>
      </c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/>
      <c r="C47" s="63" t="s">
        <v>228</v>
      </c>
      <c r="G47" s="272"/>
      <c r="H47" s="272"/>
      <c r="I47" s="225"/>
    </row>
    <row r="48" spans="2:9" ht="11.25" customHeight="1" x14ac:dyDescent="0.2">
      <c r="B48" s="37"/>
      <c r="C48" s="27" t="s">
        <v>229</v>
      </c>
      <c r="G48" s="272"/>
      <c r="H48" s="272"/>
      <c r="I48" s="225"/>
    </row>
    <row r="49" spans="2:9" ht="11.25" customHeight="1" x14ac:dyDescent="0.2">
      <c r="B49" s="42"/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/>
      <c r="C51" s="55" t="s">
        <v>231</v>
      </c>
      <c r="D51" s="37"/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 t="s">
        <v>355</v>
      </c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/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/>
      <c r="C58" s="63" t="s">
        <v>234</v>
      </c>
      <c r="D58" s="37"/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/>
      <c r="E59" s="27" t="s">
        <v>236</v>
      </c>
      <c r="F59" s="37"/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/>
      <c r="C61" s="55" t="s">
        <v>19</v>
      </c>
      <c r="D61" s="37" t="s">
        <v>355</v>
      </c>
      <c r="E61" s="55" t="s">
        <v>21</v>
      </c>
      <c r="F61" s="37"/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/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Histórico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13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UUE 2</v>
      </c>
      <c r="E75" s="236"/>
      <c r="F75" s="237"/>
      <c r="G75" s="85" t="s">
        <v>116</v>
      </c>
      <c r="H75" s="240" t="str">
        <f>VLOOKUP($D$71,Preenchimento!$A:$BV,3)</f>
        <v>10-20cm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Alimentação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13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A285C-3368-4187-9B85-C993E47B769C}">
  <sheetPr codeName="Planilha21">
    <tabColor rgb="FF00B050"/>
  </sheetPr>
  <dimension ref="A2:J79"/>
  <sheetViews>
    <sheetView showGridLines="0" showZeros="0" topLeftCell="A69" zoomScaleNormal="100" workbookViewId="0">
      <selection activeCell="D67" sqref="D67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>
        <f>VLOOKUP($D$71,Preenchimento!$A:$BV,9)</f>
        <v>10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 t="str">
        <f>VLOOKUP($D$71,Preenchimento!$A:$BV,10)</f>
        <v>81-83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 t="s">
        <v>355</v>
      </c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/>
      <c r="G19" s="27" t="s">
        <v>70</v>
      </c>
      <c r="H19" s="38" t="s">
        <v>355</v>
      </c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 t="s">
        <v>355</v>
      </c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/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/>
      <c r="C30" s="48" t="s">
        <v>192</v>
      </c>
      <c r="D30" s="37" t="s">
        <v>355</v>
      </c>
      <c r="E30" s="49" t="s">
        <v>191</v>
      </c>
      <c r="F30" s="37"/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 t="s">
        <v>355</v>
      </c>
      <c r="C33" s="55" t="s">
        <v>193</v>
      </c>
      <c r="D33" s="37"/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 t="s">
        <v>355</v>
      </c>
      <c r="C38" s="48" t="s">
        <v>204</v>
      </c>
      <c r="D38" s="37"/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/>
      <c r="C44" s="48" t="s">
        <v>218</v>
      </c>
      <c r="D44" s="37" t="s">
        <v>355</v>
      </c>
      <c r="E44" s="63" t="s">
        <v>219</v>
      </c>
      <c r="F44" s="37"/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/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 t="s">
        <v>355</v>
      </c>
      <c r="C47" s="63" t="s">
        <v>228</v>
      </c>
      <c r="G47" s="272"/>
      <c r="H47" s="272"/>
      <c r="I47" s="225"/>
    </row>
    <row r="48" spans="2:9" ht="11.25" customHeight="1" x14ac:dyDescent="0.2">
      <c r="B48" s="37"/>
      <c r="C48" s="27" t="s">
        <v>229</v>
      </c>
      <c r="G48" s="272"/>
      <c r="H48" s="272"/>
      <c r="I48" s="225"/>
    </row>
    <row r="49" spans="2:9" ht="11.25" customHeight="1" x14ac:dyDescent="0.2">
      <c r="B49" s="42"/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/>
      <c r="C51" s="55" t="s">
        <v>231</v>
      </c>
      <c r="D51" s="37"/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 t="s">
        <v>355</v>
      </c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/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/>
      <c r="C58" s="63" t="s">
        <v>234</v>
      </c>
      <c r="D58" s="37"/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/>
      <c r="E59" s="27" t="s">
        <v>236</v>
      </c>
      <c r="F59" s="37"/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/>
      <c r="C61" s="55" t="s">
        <v>19</v>
      </c>
      <c r="D61" s="37"/>
      <c r="E61" s="55" t="s">
        <v>21</v>
      </c>
      <c r="F61" s="37"/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 t="s">
        <v>355</v>
      </c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Pré-Colonial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14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UUE 2</v>
      </c>
      <c r="E75" s="236"/>
      <c r="F75" s="237"/>
      <c r="G75" s="85" t="s">
        <v>116</v>
      </c>
      <c r="H75" s="240" t="str">
        <f>VLOOKUP($D$71,Preenchimento!$A:$BV,3)</f>
        <v>20-30cm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Alimentação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14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56534-7D95-4E94-B4D3-030A2D8352FB}">
  <sheetPr codeName="Planilha22">
    <tabColor rgb="FF00B050"/>
  </sheetPr>
  <dimension ref="A2:J79"/>
  <sheetViews>
    <sheetView showGridLines="0" showZeros="0" topLeftCell="A69" zoomScaleNormal="100" workbookViewId="0">
      <selection activeCell="D67" sqref="D67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>
        <f>VLOOKUP($D$71,Preenchimento!$A:$BV,9)</f>
        <v>11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 t="str">
        <f>VLOOKUP($D$71,Preenchimento!$A:$BV,10)</f>
        <v>84-94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 t="s">
        <v>355</v>
      </c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 t="s">
        <v>355</v>
      </c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 t="s">
        <v>355</v>
      </c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/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/>
      <c r="C30" s="48" t="s">
        <v>192</v>
      </c>
      <c r="D30" s="37"/>
      <c r="E30" s="49" t="s">
        <v>191</v>
      </c>
      <c r="F30" s="37" t="s">
        <v>355</v>
      </c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 t="s">
        <v>355</v>
      </c>
      <c r="C33" s="55" t="s">
        <v>193</v>
      </c>
      <c r="D33" s="37"/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 t="s">
        <v>355</v>
      </c>
      <c r="C38" s="48" t="s">
        <v>204</v>
      </c>
      <c r="D38" s="37"/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/>
      <c r="C44" s="48" t="s">
        <v>218</v>
      </c>
      <c r="D44" s="37"/>
      <c r="E44" s="63" t="s">
        <v>219</v>
      </c>
      <c r="F44" s="37" t="s">
        <v>355</v>
      </c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/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/>
      <c r="C47" s="63" t="s">
        <v>228</v>
      </c>
      <c r="G47" s="272"/>
      <c r="H47" s="272"/>
      <c r="I47" s="225"/>
    </row>
    <row r="48" spans="2:9" ht="11.25" customHeight="1" x14ac:dyDescent="0.2">
      <c r="B48" s="37" t="s">
        <v>355</v>
      </c>
      <c r="C48" s="27" t="s">
        <v>229</v>
      </c>
      <c r="G48" s="272"/>
      <c r="H48" s="272"/>
      <c r="I48" s="225"/>
    </row>
    <row r="49" spans="2:9" ht="11.25" customHeight="1" x14ac:dyDescent="0.2">
      <c r="B49" s="42"/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/>
      <c r="C51" s="55" t="s">
        <v>231</v>
      </c>
      <c r="D51" s="37"/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 t="s">
        <v>355</v>
      </c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/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/>
      <c r="C58" s="63" t="s">
        <v>234</v>
      </c>
      <c r="D58" s="37"/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/>
      <c r="E59" s="27" t="s">
        <v>236</v>
      </c>
      <c r="F59" s="37"/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/>
      <c r="C61" s="55" t="s">
        <v>19</v>
      </c>
      <c r="D61" s="37"/>
      <c r="E61" s="55" t="s">
        <v>21</v>
      </c>
      <c r="F61" s="37" t="s">
        <v>355</v>
      </c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/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Multicomponencial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15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UUE 2</v>
      </c>
      <c r="E75" s="236"/>
      <c r="F75" s="237"/>
      <c r="G75" s="85" t="s">
        <v>116</v>
      </c>
      <c r="H75" s="240" t="str">
        <f>VLOOKUP($D$71,Preenchimento!$A:$BV,3)</f>
        <v>30-40cm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Alimentação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15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E0D40-F5D3-4A59-AD4C-71C5F26E7548}">
  <sheetPr codeName="Planilha23">
    <tabColor rgb="FF00B050"/>
  </sheetPr>
  <dimension ref="A2:J79"/>
  <sheetViews>
    <sheetView showGridLines="0" showZeros="0" topLeftCell="A69" zoomScaleNormal="100" workbookViewId="0">
      <selection activeCell="D67" sqref="D67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>
        <f>VLOOKUP($D$71,Preenchimento!$A:$BV,9)</f>
        <v>9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 t="str">
        <f>VLOOKUP($D$71,Preenchimento!$A:$BV,10)</f>
        <v>95-100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 t="s">
        <v>355</v>
      </c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 t="s">
        <v>355</v>
      </c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/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 t="s">
        <v>355</v>
      </c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/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 t="s">
        <v>355</v>
      </c>
      <c r="C30" s="48" t="s">
        <v>192</v>
      </c>
      <c r="D30" s="37"/>
      <c r="E30" s="49" t="s">
        <v>191</v>
      </c>
      <c r="F30" s="37"/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 t="s">
        <v>355</v>
      </c>
      <c r="C33" s="55" t="s">
        <v>193</v>
      </c>
      <c r="D33" s="37"/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 t="s">
        <v>355</v>
      </c>
      <c r="C38" s="48" t="s">
        <v>204</v>
      </c>
      <c r="D38" s="37"/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 t="s">
        <v>355</v>
      </c>
      <c r="C44" s="48" t="s">
        <v>218</v>
      </c>
      <c r="D44" s="37"/>
      <c r="E44" s="63" t="s">
        <v>219</v>
      </c>
      <c r="F44" s="37"/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/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/>
      <c r="C47" s="63" t="s">
        <v>228</v>
      </c>
      <c r="G47" s="272"/>
      <c r="H47" s="272"/>
      <c r="I47" s="225"/>
    </row>
    <row r="48" spans="2:9" ht="11.25" customHeight="1" x14ac:dyDescent="0.2">
      <c r="B48" s="37"/>
      <c r="C48" s="27" t="s">
        <v>229</v>
      </c>
      <c r="G48" s="272"/>
      <c r="H48" s="272"/>
      <c r="I48" s="225"/>
    </row>
    <row r="49" spans="2:9" ht="11.25" customHeight="1" x14ac:dyDescent="0.2">
      <c r="B49" s="42" t="s">
        <v>355</v>
      </c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/>
      <c r="C51" s="55" t="s">
        <v>231</v>
      </c>
      <c r="D51" s="37"/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 t="s">
        <v>355</v>
      </c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/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/>
      <c r="C58" s="63" t="s">
        <v>234</v>
      </c>
      <c r="D58" s="37"/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/>
      <c r="E59" s="27" t="s">
        <v>236</v>
      </c>
      <c r="F59" s="37"/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 t="s">
        <v>355</v>
      </c>
      <c r="C61" s="55" t="s">
        <v>19</v>
      </c>
      <c r="D61" s="37"/>
      <c r="E61" s="55" t="s">
        <v>21</v>
      </c>
      <c r="F61" s="37"/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/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Indeterminada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16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UUE 2</v>
      </c>
      <c r="E75" s="236"/>
      <c r="F75" s="237"/>
      <c r="G75" s="85" t="s">
        <v>116</v>
      </c>
      <c r="H75" s="240" t="str">
        <f>VLOOKUP($D$71,Preenchimento!$A:$BV,3)</f>
        <v>30-40cm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Alimentação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16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249E8-F8C9-426A-A980-465D9008C7DB}">
  <sheetPr codeName="Planilha24">
    <tabColor rgb="FF00B050"/>
  </sheetPr>
  <dimension ref="A2:J79"/>
  <sheetViews>
    <sheetView showGridLines="0" showZeros="0" zoomScaleNormal="100" workbookViewId="0">
      <selection activeCell="D9" sqref="D9"/>
    </sheetView>
  </sheetViews>
  <sheetFormatPr defaultColWidth="9.140625" defaultRowHeight="11.25" outlineLevelRow="1" x14ac:dyDescent="0.2"/>
  <cols>
    <col min="1" max="1" width="2.7109375" style="10" customWidth="1"/>
    <col min="2" max="2" width="5.5703125" style="10" customWidth="1"/>
    <col min="3" max="3" width="36.42578125" style="10" customWidth="1"/>
    <col min="4" max="4" width="5.5703125" style="10" customWidth="1"/>
    <col min="5" max="5" width="38.5703125" style="10" customWidth="1"/>
    <col min="6" max="6" width="5.5703125" style="10" customWidth="1"/>
    <col min="7" max="7" width="19.140625" style="10" customWidth="1"/>
    <col min="8" max="8" width="5.5703125" style="10" customWidth="1"/>
    <col min="9" max="9" width="23.5703125" style="10" customWidth="1"/>
    <col min="10" max="10" width="2.7109375" style="10" customWidth="1"/>
    <col min="11" max="16384" width="9.140625" style="10"/>
  </cols>
  <sheetData>
    <row r="2" spans="2:9" ht="11.25" customHeight="1" x14ac:dyDescent="0.2">
      <c r="B2" s="263" t="s">
        <v>0</v>
      </c>
      <c r="C2" s="264"/>
      <c r="D2" s="264"/>
      <c r="E2" s="264"/>
      <c r="F2" s="264"/>
      <c r="G2" s="264"/>
      <c r="H2" s="264"/>
      <c r="I2" s="265"/>
    </row>
    <row r="3" spans="2:9" ht="11.25" customHeight="1" x14ac:dyDescent="0.2">
      <c r="B3" s="11" t="s">
        <v>99</v>
      </c>
      <c r="C3" s="12"/>
      <c r="D3" s="12"/>
      <c r="E3" s="12"/>
      <c r="F3" s="12"/>
      <c r="G3" s="12"/>
      <c r="H3" s="12"/>
      <c r="I3" s="13"/>
    </row>
    <row r="4" spans="2:9" ht="11.25" customHeight="1" x14ac:dyDescent="0.2">
      <c r="B4" s="14" t="s">
        <v>100</v>
      </c>
      <c r="C4" s="15"/>
      <c r="D4" s="266">
        <f>Sitio!E3</f>
        <v>0</v>
      </c>
      <c r="E4" s="267"/>
      <c r="F4" s="267"/>
      <c r="G4" s="267"/>
      <c r="H4" s="267"/>
      <c r="I4" s="268"/>
    </row>
    <row r="5" spans="2:9" ht="11.25" customHeight="1" x14ac:dyDescent="0.2">
      <c r="B5" s="16" t="s">
        <v>101</v>
      </c>
      <c r="C5" s="17"/>
      <c r="D5" s="222">
        <f>Sitio!B3</f>
        <v>123456789</v>
      </c>
      <c r="E5" s="223"/>
      <c r="F5" s="223"/>
      <c r="G5" s="223"/>
      <c r="H5" s="223"/>
      <c r="I5" s="224"/>
    </row>
    <row r="6" spans="2:9" ht="11.25" customHeight="1" x14ac:dyDescent="0.2">
      <c r="B6" s="18" t="s">
        <v>102</v>
      </c>
      <c r="C6" s="18"/>
      <c r="D6" s="269">
        <f>Sitio!G3</f>
        <v>0</v>
      </c>
      <c r="E6" s="270"/>
      <c r="F6" s="270"/>
      <c r="G6" s="270"/>
      <c r="H6" s="270"/>
      <c r="I6" s="271"/>
    </row>
    <row r="7" spans="2:9" ht="11.25" customHeight="1" x14ac:dyDescent="0.2">
      <c r="B7" s="19" t="s">
        <v>103</v>
      </c>
      <c r="C7" s="19"/>
      <c r="D7" s="256" t="str">
        <f>Sitio!C3</f>
        <v>XXX</v>
      </c>
      <c r="E7" s="236"/>
      <c r="F7" s="236"/>
      <c r="G7" s="236"/>
      <c r="H7" s="236"/>
      <c r="I7" s="237"/>
    </row>
    <row r="8" spans="2:9" ht="11.25" customHeight="1" x14ac:dyDescent="0.2">
      <c r="B8" s="18" t="s">
        <v>104</v>
      </c>
      <c r="C8" s="18"/>
      <c r="D8" s="235" t="str">
        <f>Sitio!D3</f>
        <v>xxxxxxx</v>
      </c>
      <c r="E8" s="236"/>
      <c r="F8" s="236"/>
      <c r="G8" s="236"/>
      <c r="H8" s="236"/>
      <c r="I8" s="237"/>
    </row>
    <row r="9" spans="2:9" ht="11.25" customHeight="1" x14ac:dyDescent="0.2">
      <c r="B9" s="11" t="s">
        <v>68</v>
      </c>
      <c r="C9" s="12"/>
      <c r="D9" s="12"/>
      <c r="E9" s="12"/>
      <c r="F9" s="12"/>
      <c r="G9" s="12"/>
      <c r="H9" s="12"/>
      <c r="I9" s="13"/>
    </row>
    <row r="10" spans="2:9" ht="11.25" customHeight="1" x14ac:dyDescent="0.2">
      <c r="B10" s="20" t="s">
        <v>105</v>
      </c>
      <c r="C10" s="21"/>
      <c r="D10" s="238">
        <f>VLOOKUP($D$71,Preenchimento!$A:$BV,9)</f>
        <v>3</v>
      </c>
      <c r="E10" s="239"/>
      <c r="F10" s="22"/>
      <c r="G10" s="22"/>
      <c r="H10" s="23"/>
      <c r="I10" s="24"/>
    </row>
    <row r="11" spans="2:9" ht="11.25" customHeight="1" x14ac:dyDescent="0.2">
      <c r="B11" s="20" t="s">
        <v>27</v>
      </c>
      <c r="C11" s="21"/>
      <c r="D11" s="238" t="str">
        <f>VLOOKUP($D$71,Preenchimento!$A:$BV,10)</f>
        <v xml:space="preserve"> -</v>
      </c>
      <c r="E11" s="239"/>
      <c r="F11" s="239"/>
      <c r="G11" s="239"/>
      <c r="H11" s="239"/>
      <c r="I11" s="255"/>
    </row>
    <row r="12" spans="2:9" ht="11.25" customHeight="1" x14ac:dyDescent="0.2">
      <c r="B12" s="25" t="s">
        <v>106</v>
      </c>
      <c r="C12" s="21"/>
      <c r="D12" s="256" t="str">
        <f>VLOOKUP($D$71,Preenchimento!$A:$BV,51)</f>
        <v>yyy</v>
      </c>
      <c r="E12" s="257"/>
      <c r="F12" s="257"/>
      <c r="G12" s="257"/>
      <c r="H12" s="257"/>
      <c r="I12" s="258"/>
    </row>
    <row r="13" spans="2:9" ht="11.25" customHeight="1" x14ac:dyDescent="0.2">
      <c r="B13" s="242" t="s">
        <v>2</v>
      </c>
      <c r="C13" s="243"/>
      <c r="D13" s="243"/>
      <c r="E13" s="243"/>
      <c r="F13" s="243"/>
      <c r="G13" s="243"/>
      <c r="H13" s="243"/>
      <c r="I13" s="244"/>
    </row>
    <row r="14" spans="2:9" ht="11.25" customHeight="1" x14ac:dyDescent="0.2">
      <c r="B14" s="26" t="s">
        <v>355</v>
      </c>
      <c r="C14" s="27" t="s">
        <v>175</v>
      </c>
      <c r="D14" s="26"/>
      <c r="E14" s="27" t="s">
        <v>177</v>
      </c>
      <c r="F14" s="26"/>
      <c r="G14" s="27" t="s">
        <v>107</v>
      </c>
      <c r="I14" s="28"/>
    </row>
    <row r="15" spans="2:9" ht="11.25" customHeight="1" x14ac:dyDescent="0.2">
      <c r="B15" s="26"/>
      <c r="C15" s="27" t="s">
        <v>176</v>
      </c>
      <c r="D15" s="29"/>
      <c r="E15" s="27" t="s">
        <v>179</v>
      </c>
      <c r="F15" s="29"/>
      <c r="G15" s="30" t="s">
        <v>59</v>
      </c>
      <c r="H15" s="27"/>
      <c r="I15" s="31"/>
    </row>
    <row r="16" spans="2:9" ht="11.25" customHeight="1" x14ac:dyDescent="0.2">
      <c r="B16" s="26"/>
      <c r="C16" s="27" t="s">
        <v>178</v>
      </c>
      <c r="D16" s="32"/>
      <c r="E16" s="27" t="s">
        <v>180</v>
      </c>
      <c r="G16" s="261"/>
      <c r="H16" s="261"/>
      <c r="I16" s="262"/>
    </row>
    <row r="17" spans="2:9" ht="11.25" customHeight="1" x14ac:dyDescent="0.2">
      <c r="B17" s="11" t="s">
        <v>13</v>
      </c>
      <c r="C17" s="12"/>
      <c r="D17" s="12"/>
      <c r="E17" s="12"/>
      <c r="F17" s="12"/>
      <c r="G17" s="12"/>
      <c r="H17" s="12"/>
      <c r="I17" s="13"/>
    </row>
    <row r="18" spans="2:9" ht="11.25" customHeight="1" x14ac:dyDescent="0.2">
      <c r="B18" s="33"/>
      <c r="C18" s="27" t="s">
        <v>25</v>
      </c>
      <c r="D18" s="33"/>
      <c r="E18" s="34" t="s">
        <v>29</v>
      </c>
      <c r="F18" s="35"/>
      <c r="G18" s="27" t="s">
        <v>69</v>
      </c>
      <c r="H18" s="36"/>
      <c r="I18" s="31" t="s">
        <v>73</v>
      </c>
    </row>
    <row r="19" spans="2:9" ht="11.25" customHeight="1" x14ac:dyDescent="0.2">
      <c r="B19" s="37"/>
      <c r="C19" s="27" t="s">
        <v>181</v>
      </c>
      <c r="D19" s="37"/>
      <c r="E19" s="27" t="s">
        <v>183</v>
      </c>
      <c r="F19" s="38" t="s">
        <v>355</v>
      </c>
      <c r="G19" s="27" t="s">
        <v>70</v>
      </c>
      <c r="H19" s="38"/>
      <c r="I19" s="31" t="s">
        <v>43</v>
      </c>
    </row>
    <row r="20" spans="2:9" ht="11.25" customHeight="1" x14ac:dyDescent="0.2">
      <c r="B20" s="37"/>
      <c r="C20" s="27" t="s">
        <v>26</v>
      </c>
      <c r="D20" s="37"/>
      <c r="E20" s="27" t="s">
        <v>30</v>
      </c>
      <c r="F20" s="39"/>
      <c r="G20" s="27" t="s">
        <v>71</v>
      </c>
      <c r="H20" s="40"/>
      <c r="I20" s="41" t="s">
        <v>59</v>
      </c>
    </row>
    <row r="21" spans="2:9" ht="11.25" customHeight="1" x14ac:dyDescent="0.2">
      <c r="B21" s="42"/>
      <c r="C21" s="27" t="s">
        <v>182</v>
      </c>
      <c r="D21" s="42"/>
      <c r="E21" s="27" t="s">
        <v>185</v>
      </c>
      <c r="F21" s="39"/>
      <c r="G21" s="27" t="s">
        <v>72</v>
      </c>
      <c r="I21" s="43"/>
    </row>
    <row r="22" spans="2:9" ht="11.25" customHeight="1" x14ac:dyDescent="0.2">
      <c r="B22" s="11" t="s">
        <v>14</v>
      </c>
      <c r="C22" s="12"/>
      <c r="D22" s="12"/>
      <c r="E22" s="12"/>
      <c r="F22" s="12"/>
      <c r="G22" s="12"/>
      <c r="H22" s="12"/>
      <c r="I22" s="13"/>
    </row>
    <row r="23" spans="2:9" ht="11.25" customHeight="1" x14ac:dyDescent="0.2">
      <c r="B23" s="29"/>
      <c r="C23" s="34" t="s">
        <v>31</v>
      </c>
      <c r="D23" s="29"/>
      <c r="E23" s="34" t="s">
        <v>33</v>
      </c>
      <c r="F23" s="26"/>
      <c r="G23" s="34" t="s">
        <v>37</v>
      </c>
      <c r="H23" s="29"/>
      <c r="I23" s="44" t="s">
        <v>11</v>
      </c>
    </row>
    <row r="24" spans="2:9" ht="11.25" customHeight="1" x14ac:dyDescent="0.2">
      <c r="B24" s="29"/>
      <c r="C24" s="34" t="s">
        <v>32</v>
      </c>
      <c r="D24" s="29"/>
      <c r="E24" s="34" t="s">
        <v>17</v>
      </c>
      <c r="F24" s="29"/>
      <c r="G24" s="34" t="s">
        <v>38</v>
      </c>
      <c r="H24" s="32"/>
      <c r="I24" s="45" t="s">
        <v>43</v>
      </c>
    </row>
    <row r="25" spans="2:9" ht="11.25" customHeight="1" x14ac:dyDescent="0.2">
      <c r="B25" s="29"/>
      <c r="C25" s="34" t="s">
        <v>8</v>
      </c>
      <c r="D25" s="29"/>
      <c r="E25" s="34" t="s">
        <v>34</v>
      </c>
      <c r="F25" s="29"/>
      <c r="G25" s="34" t="s">
        <v>39</v>
      </c>
      <c r="H25" s="29"/>
      <c r="I25" s="46" t="s">
        <v>59</v>
      </c>
    </row>
    <row r="26" spans="2:9" ht="11.25" customHeight="1" x14ac:dyDescent="0.2">
      <c r="B26" s="29"/>
      <c r="C26" s="34" t="s">
        <v>9</v>
      </c>
      <c r="D26" s="29"/>
      <c r="E26" s="34" t="s">
        <v>35</v>
      </c>
      <c r="F26" s="26"/>
      <c r="G26" s="34" t="s">
        <v>44</v>
      </c>
      <c r="I26" s="259"/>
    </row>
    <row r="27" spans="2:9" ht="11.25" customHeight="1" x14ac:dyDescent="0.2">
      <c r="B27" s="29"/>
      <c r="C27" s="34" t="s">
        <v>10</v>
      </c>
      <c r="D27" s="29"/>
      <c r="E27" s="34" t="s">
        <v>40</v>
      </c>
      <c r="F27" s="29"/>
      <c r="G27" s="34" t="s">
        <v>41</v>
      </c>
      <c r="I27" s="259"/>
    </row>
    <row r="28" spans="2:9" ht="11.25" customHeight="1" x14ac:dyDescent="0.2">
      <c r="B28" s="47"/>
      <c r="C28" s="34" t="s">
        <v>36</v>
      </c>
      <c r="D28" s="32" t="s">
        <v>355</v>
      </c>
      <c r="E28" s="34" t="s">
        <v>49</v>
      </c>
      <c r="F28" s="32"/>
      <c r="G28" s="34" t="s">
        <v>42</v>
      </c>
      <c r="I28" s="260"/>
    </row>
    <row r="29" spans="2:9" ht="11.25" customHeight="1" x14ac:dyDescent="0.2">
      <c r="B29" s="11" t="s">
        <v>15</v>
      </c>
      <c r="C29" s="12"/>
      <c r="D29" s="12"/>
      <c r="E29" s="12"/>
      <c r="F29" s="12"/>
      <c r="G29" s="12"/>
      <c r="H29" s="12"/>
      <c r="I29" s="13"/>
    </row>
    <row r="30" spans="2:9" ht="11.25" customHeight="1" x14ac:dyDescent="0.2">
      <c r="B30" s="37"/>
      <c r="C30" s="48" t="s">
        <v>192</v>
      </c>
      <c r="D30" s="37" t="s">
        <v>355</v>
      </c>
      <c r="E30" s="49" t="s">
        <v>191</v>
      </c>
      <c r="F30" s="37"/>
      <c r="G30" s="49" t="s">
        <v>43</v>
      </c>
      <c r="H30" s="37"/>
      <c r="I30" s="50" t="s">
        <v>59</v>
      </c>
    </row>
    <row r="31" spans="2:9" ht="11.25" customHeight="1" x14ac:dyDescent="0.2">
      <c r="B31" s="51"/>
      <c r="C31" s="27"/>
      <c r="D31" s="52"/>
      <c r="E31" s="27"/>
      <c r="F31" s="52"/>
      <c r="G31" s="27"/>
      <c r="H31" s="52"/>
      <c r="I31" s="53"/>
    </row>
    <row r="32" spans="2:9" ht="11.25" customHeight="1" x14ac:dyDescent="0.2">
      <c r="B32" s="11" t="s">
        <v>16</v>
      </c>
      <c r="C32" s="54"/>
      <c r="D32" s="12"/>
      <c r="E32" s="12"/>
      <c r="F32" s="12"/>
      <c r="G32" s="12"/>
      <c r="H32" s="12"/>
      <c r="I32" s="13"/>
    </row>
    <row r="33" spans="2:9" ht="11.25" customHeight="1" x14ac:dyDescent="0.2">
      <c r="B33" s="37" t="s">
        <v>355</v>
      </c>
      <c r="C33" s="55" t="s">
        <v>193</v>
      </c>
      <c r="D33" s="37"/>
      <c r="E33" s="56" t="s">
        <v>45</v>
      </c>
      <c r="F33" s="37"/>
      <c r="G33" s="55" t="s">
        <v>199</v>
      </c>
      <c r="H33" s="37"/>
      <c r="I33" s="55" t="s">
        <v>203</v>
      </c>
    </row>
    <row r="34" spans="2:9" ht="11.25" customHeight="1" x14ac:dyDescent="0.2">
      <c r="B34" s="37"/>
      <c r="C34" s="56" t="s">
        <v>194</v>
      </c>
      <c r="D34" s="37"/>
      <c r="E34" s="27" t="s">
        <v>196</v>
      </c>
      <c r="F34" s="37"/>
      <c r="G34" s="56" t="s">
        <v>200</v>
      </c>
      <c r="H34" s="37"/>
      <c r="I34" s="56" t="s">
        <v>43</v>
      </c>
    </row>
    <row r="35" spans="2:9" ht="11.25" customHeight="1" x14ac:dyDescent="0.2">
      <c r="B35" s="37"/>
      <c r="C35" s="56" t="s">
        <v>195</v>
      </c>
      <c r="D35" s="37"/>
      <c r="E35" s="56" t="s">
        <v>197</v>
      </c>
      <c r="F35" s="37"/>
      <c r="G35" s="56" t="s">
        <v>201</v>
      </c>
      <c r="H35" s="32"/>
      <c r="I35" s="57" t="s">
        <v>59</v>
      </c>
    </row>
    <row r="36" spans="2:9" ht="11.25" customHeight="1" x14ac:dyDescent="0.2">
      <c r="B36" s="37"/>
      <c r="C36" s="58" t="s">
        <v>12</v>
      </c>
      <c r="D36" s="37"/>
      <c r="E36" s="58" t="s">
        <v>198</v>
      </c>
      <c r="F36" s="37"/>
      <c r="G36" s="59" t="s">
        <v>202</v>
      </c>
      <c r="H36" s="60"/>
      <c r="I36" s="61"/>
    </row>
    <row r="37" spans="2:9" ht="11.25" customHeight="1" x14ac:dyDescent="0.2">
      <c r="B37" s="11" t="s">
        <v>46</v>
      </c>
      <c r="C37" s="12"/>
      <c r="D37" s="12"/>
      <c r="E37" s="12"/>
      <c r="F37" s="12"/>
      <c r="G37" s="12"/>
      <c r="H37" s="62"/>
      <c r="I37" s="13"/>
    </row>
    <row r="38" spans="2:9" ht="11.25" customHeight="1" x14ac:dyDescent="0.2">
      <c r="B38" s="37" t="s">
        <v>355</v>
      </c>
      <c r="C38" s="48" t="s">
        <v>204</v>
      </c>
      <c r="D38" s="37"/>
      <c r="E38" s="49" t="s">
        <v>208</v>
      </c>
      <c r="F38" s="37"/>
      <c r="G38" s="49" t="s">
        <v>47</v>
      </c>
      <c r="H38" s="37"/>
      <c r="I38" s="50" t="s">
        <v>215</v>
      </c>
    </row>
    <row r="39" spans="2:9" ht="11.25" customHeight="1" x14ac:dyDescent="0.2">
      <c r="B39" s="37"/>
      <c r="C39" s="63" t="s">
        <v>205</v>
      </c>
      <c r="D39" s="37"/>
      <c r="E39" s="27" t="s">
        <v>209</v>
      </c>
      <c r="F39" s="37"/>
      <c r="G39" s="27" t="s">
        <v>212</v>
      </c>
      <c r="H39" s="37"/>
      <c r="I39" s="64" t="s">
        <v>216</v>
      </c>
    </row>
    <row r="40" spans="2:9" ht="11.25" customHeight="1" x14ac:dyDescent="0.2">
      <c r="B40" s="37"/>
      <c r="C40" s="63" t="s">
        <v>206</v>
      </c>
      <c r="D40" s="37"/>
      <c r="E40" s="27" t="s">
        <v>210</v>
      </c>
      <c r="F40" s="37"/>
      <c r="G40" s="27" t="s">
        <v>213</v>
      </c>
      <c r="H40" s="37"/>
      <c r="I40" s="31" t="s">
        <v>217</v>
      </c>
    </row>
    <row r="41" spans="2:9" ht="11.25" customHeight="1" x14ac:dyDescent="0.2">
      <c r="B41" s="37"/>
      <c r="C41" s="27" t="s">
        <v>207</v>
      </c>
      <c r="D41" s="37"/>
      <c r="E41" s="34" t="s">
        <v>211</v>
      </c>
      <c r="F41" s="37"/>
      <c r="G41" s="31" t="s">
        <v>214</v>
      </c>
      <c r="H41" s="37"/>
      <c r="I41" s="41" t="s">
        <v>59</v>
      </c>
    </row>
    <row r="42" spans="2:9" ht="11.25" customHeight="1" x14ac:dyDescent="0.2">
      <c r="B42" s="51"/>
      <c r="C42" s="27"/>
      <c r="D42" s="65"/>
      <c r="E42" s="34"/>
      <c r="F42" s="65"/>
      <c r="G42" s="27"/>
      <c r="H42" s="65"/>
      <c r="I42" s="43"/>
    </row>
    <row r="43" spans="2:9" ht="11.25" customHeight="1" x14ac:dyDescent="0.2">
      <c r="B43" s="242" t="s">
        <v>3</v>
      </c>
      <c r="C43" s="243"/>
      <c r="D43" s="243"/>
      <c r="E43" s="243"/>
      <c r="F43" s="243"/>
      <c r="G43" s="243"/>
      <c r="H43" s="243"/>
      <c r="I43" s="244"/>
    </row>
    <row r="44" spans="2:9" ht="11.25" customHeight="1" x14ac:dyDescent="0.2">
      <c r="B44" s="37"/>
      <c r="C44" s="48" t="s">
        <v>218</v>
      </c>
      <c r="D44" s="37" t="s">
        <v>355</v>
      </c>
      <c r="E44" s="63" t="s">
        <v>219</v>
      </c>
      <c r="F44" s="37"/>
      <c r="G44" s="59" t="s">
        <v>220</v>
      </c>
      <c r="H44" s="66"/>
      <c r="I44" s="28"/>
    </row>
    <row r="45" spans="2:9" ht="11.25" customHeight="1" x14ac:dyDescent="0.2">
      <c r="B45" s="242" t="s">
        <v>4</v>
      </c>
      <c r="C45" s="243"/>
      <c r="D45" s="243"/>
      <c r="E45" s="243"/>
      <c r="F45" s="243"/>
      <c r="G45" s="243"/>
      <c r="H45" s="243"/>
      <c r="I45" s="244"/>
    </row>
    <row r="46" spans="2:9" ht="11.25" customHeight="1" x14ac:dyDescent="0.2">
      <c r="B46" s="37" t="s">
        <v>355</v>
      </c>
      <c r="C46" s="48" t="s">
        <v>227</v>
      </c>
      <c r="D46" s="66"/>
      <c r="E46" s="66"/>
      <c r="F46" s="67"/>
      <c r="G46" s="49" t="s">
        <v>59</v>
      </c>
      <c r="H46" s="66"/>
      <c r="I46" s="28"/>
    </row>
    <row r="47" spans="2:9" ht="11.25" customHeight="1" x14ac:dyDescent="0.2">
      <c r="B47" s="37"/>
      <c r="C47" s="63" t="s">
        <v>228</v>
      </c>
      <c r="G47" s="272"/>
      <c r="H47" s="272"/>
      <c r="I47" s="225"/>
    </row>
    <row r="48" spans="2:9" ht="11.25" customHeight="1" x14ac:dyDescent="0.2">
      <c r="B48" s="37"/>
      <c r="C48" s="27" t="s">
        <v>229</v>
      </c>
      <c r="G48" s="272"/>
      <c r="H48" s="272"/>
      <c r="I48" s="225"/>
    </row>
    <row r="49" spans="2:9" ht="11.25" customHeight="1" x14ac:dyDescent="0.2">
      <c r="B49" s="42"/>
      <c r="C49" s="63" t="s">
        <v>230</v>
      </c>
      <c r="G49" s="273"/>
      <c r="H49" s="273"/>
      <c r="I49" s="226"/>
    </row>
    <row r="50" spans="2:9" ht="11.25" customHeight="1" x14ac:dyDescent="0.2">
      <c r="B50" s="242" t="s">
        <v>5</v>
      </c>
      <c r="C50" s="243"/>
      <c r="D50" s="243"/>
      <c r="E50" s="243"/>
      <c r="F50" s="243"/>
      <c r="G50" s="243"/>
      <c r="H50" s="243"/>
      <c r="I50" s="244"/>
    </row>
    <row r="51" spans="2:9" ht="11.25" customHeight="1" x14ac:dyDescent="0.2">
      <c r="B51" s="37"/>
      <c r="C51" s="55" t="s">
        <v>231</v>
      </c>
      <c r="D51" s="37"/>
      <c r="E51" s="55" t="s">
        <v>226</v>
      </c>
      <c r="F51" s="37"/>
      <c r="G51" s="48" t="s">
        <v>225</v>
      </c>
      <c r="H51" s="29"/>
      <c r="I51" s="68" t="s">
        <v>59</v>
      </c>
    </row>
    <row r="52" spans="2:9" ht="11.25" customHeight="1" x14ac:dyDescent="0.2">
      <c r="B52" s="37"/>
      <c r="C52" s="56" t="s">
        <v>232</v>
      </c>
      <c r="D52" s="37"/>
      <c r="E52" s="56" t="s">
        <v>221</v>
      </c>
      <c r="F52" s="37"/>
      <c r="G52" s="63" t="s">
        <v>222</v>
      </c>
      <c r="I52" s="225"/>
    </row>
    <row r="53" spans="2:9" ht="11.25" customHeight="1" x14ac:dyDescent="0.2">
      <c r="B53" s="37" t="s">
        <v>355</v>
      </c>
      <c r="C53" s="56" t="s">
        <v>224</v>
      </c>
      <c r="D53" s="37"/>
      <c r="E53" s="56" t="s">
        <v>223</v>
      </c>
      <c r="F53" s="29"/>
      <c r="G53" s="69" t="s">
        <v>217</v>
      </c>
      <c r="I53" s="226"/>
    </row>
    <row r="54" spans="2:9" ht="11.25" customHeight="1" x14ac:dyDescent="0.2">
      <c r="B54" s="70" t="s">
        <v>6</v>
      </c>
      <c r="C54" s="71"/>
      <c r="D54" s="71"/>
      <c r="E54" s="71"/>
      <c r="F54" s="71"/>
      <c r="G54" s="71"/>
      <c r="H54" s="71"/>
      <c r="I54" s="72"/>
    </row>
    <row r="55" spans="2:9" ht="11.25" customHeight="1" x14ac:dyDescent="0.2">
      <c r="B55" s="240">
        <f>VLOOKUP($D$71,Preenchimento!$A:$BV,64)</f>
        <v>0</v>
      </c>
      <c r="C55" s="245"/>
      <c r="D55" s="245"/>
      <c r="E55" s="245"/>
      <c r="F55" s="245"/>
      <c r="G55" s="245"/>
      <c r="H55" s="245"/>
      <c r="I55" s="246"/>
    </row>
    <row r="56" spans="2:9" ht="11.25" customHeight="1" x14ac:dyDescent="0.2">
      <c r="B56" s="242" t="s">
        <v>7</v>
      </c>
      <c r="C56" s="243"/>
      <c r="D56" s="243"/>
      <c r="E56" s="243"/>
      <c r="F56" s="243"/>
      <c r="G56" s="243"/>
      <c r="H56" s="243"/>
      <c r="I56" s="244"/>
    </row>
    <row r="57" spans="2:9" ht="11.25" customHeight="1" x14ac:dyDescent="0.2">
      <c r="B57" s="37"/>
      <c r="C57" s="55" t="s">
        <v>233</v>
      </c>
      <c r="D57" s="42"/>
      <c r="E57" s="55" t="s">
        <v>108</v>
      </c>
      <c r="F57" s="42"/>
      <c r="G57" s="63" t="s">
        <v>237</v>
      </c>
      <c r="H57" s="67"/>
      <c r="I57" s="73" t="s">
        <v>59</v>
      </c>
    </row>
    <row r="58" spans="2:9" ht="11.25" customHeight="1" x14ac:dyDescent="0.2">
      <c r="B58" s="37"/>
      <c r="C58" s="63" t="s">
        <v>234</v>
      </c>
      <c r="D58" s="37"/>
      <c r="E58" s="27" t="s">
        <v>37</v>
      </c>
      <c r="F58" s="37"/>
      <c r="G58" s="63" t="s">
        <v>238</v>
      </c>
      <c r="I58" s="225"/>
    </row>
    <row r="59" spans="2:9" ht="11.25" customHeight="1" x14ac:dyDescent="0.2">
      <c r="B59" s="37"/>
      <c r="C59" s="74" t="s">
        <v>235</v>
      </c>
      <c r="D59" s="75"/>
      <c r="E59" s="27" t="s">
        <v>236</v>
      </c>
      <c r="F59" s="37"/>
      <c r="G59" s="30" t="s">
        <v>23</v>
      </c>
      <c r="I59" s="226"/>
    </row>
    <row r="60" spans="2:9" ht="11.25" customHeight="1" x14ac:dyDescent="0.2">
      <c r="B60" s="242" t="s">
        <v>18</v>
      </c>
      <c r="C60" s="243"/>
      <c r="D60" s="243"/>
      <c r="E60" s="243"/>
      <c r="F60" s="243"/>
      <c r="G60" s="243"/>
      <c r="H60" s="243"/>
      <c r="I60" s="244"/>
    </row>
    <row r="61" spans="2:9" ht="11.25" customHeight="1" x14ac:dyDescent="0.2">
      <c r="B61" s="37" t="s">
        <v>355</v>
      </c>
      <c r="C61" s="55" t="s">
        <v>19</v>
      </c>
      <c r="D61" s="37"/>
      <c r="E61" s="55" t="s">
        <v>21</v>
      </c>
      <c r="F61" s="37"/>
      <c r="G61" s="48" t="s">
        <v>23</v>
      </c>
      <c r="H61" s="227"/>
      <c r="I61" s="228"/>
    </row>
    <row r="62" spans="2:9" ht="11.25" customHeight="1" x14ac:dyDescent="0.2">
      <c r="B62" s="37"/>
      <c r="C62" s="56" t="s">
        <v>109</v>
      </c>
      <c r="D62" s="37"/>
      <c r="E62" s="56" t="s">
        <v>22</v>
      </c>
      <c r="F62" s="76"/>
      <c r="G62" s="59" t="s">
        <v>59</v>
      </c>
      <c r="H62" s="229"/>
      <c r="I62" s="230"/>
    </row>
    <row r="63" spans="2:9" ht="11.25" customHeight="1" x14ac:dyDescent="0.2">
      <c r="B63" s="11" t="s">
        <v>52</v>
      </c>
      <c r="C63" s="13"/>
      <c r="D63" s="222" t="str">
        <f>VLOOKUP($D$71,Preenchimento!$A:$BV,50)</f>
        <v>xxx</v>
      </c>
      <c r="E63" s="223"/>
      <c r="F63" s="223"/>
      <c r="G63" s="223"/>
      <c r="H63" s="223"/>
      <c r="I63" s="224"/>
    </row>
    <row r="64" spans="2:9" ht="11.25" customHeight="1" x14ac:dyDescent="0.2">
      <c r="B64" s="11" t="s">
        <v>54</v>
      </c>
      <c r="C64" s="13"/>
      <c r="D64" s="222" t="str">
        <f>VLOOKUP($D$71,Preenchimento!$A:$BV,52)</f>
        <v>Histórico</v>
      </c>
      <c r="E64" s="223"/>
      <c r="F64" s="223"/>
      <c r="G64" s="223"/>
      <c r="H64" s="223"/>
      <c r="I64" s="224"/>
    </row>
    <row r="65" spans="1:10" ht="11.25" customHeight="1" x14ac:dyDescent="0.2">
      <c r="B65" s="11" t="s">
        <v>110</v>
      </c>
      <c r="C65" s="13"/>
      <c r="D65" s="222" t="str">
        <f>VLOOKUP($D$71,Preenchimento!$A:$BV,54)</f>
        <v>yy</v>
      </c>
      <c r="E65" s="223"/>
      <c r="F65" s="223"/>
      <c r="G65" s="223"/>
      <c r="H65" s="223"/>
      <c r="I65" s="224"/>
    </row>
    <row r="66" spans="1:10" ht="11.25" customHeight="1" x14ac:dyDescent="0.2">
      <c r="B66" s="77" t="s">
        <v>53</v>
      </c>
      <c r="C66" s="78"/>
      <c r="D66" s="222" t="str">
        <f>VLOOKUP($D$71,Preenchimento!$A:$BV,55)</f>
        <v>zz</v>
      </c>
      <c r="E66" s="223"/>
      <c r="F66" s="223"/>
      <c r="G66" s="223"/>
      <c r="H66" s="223"/>
      <c r="I66" s="224"/>
    </row>
    <row r="67" spans="1:10" ht="11.25" customHeight="1" x14ac:dyDescent="0.2">
      <c r="B67" s="11" t="s">
        <v>48</v>
      </c>
      <c r="C67" s="12"/>
      <c r="D67" s="12"/>
      <c r="E67" s="12"/>
      <c r="F67" s="12"/>
      <c r="G67" s="12"/>
      <c r="H67" s="12"/>
      <c r="I67" s="13"/>
    </row>
    <row r="68" spans="1:10" s="79" customFormat="1" ht="283.35000000000002" customHeight="1" x14ac:dyDescent="0.2">
      <c r="B68" s="80"/>
      <c r="C68" s="81"/>
      <c r="D68" s="81"/>
      <c r="E68" s="81"/>
      <c r="F68" s="81"/>
      <c r="G68" s="81"/>
      <c r="H68" s="81"/>
      <c r="I68" s="82"/>
    </row>
    <row r="69" spans="1:10" ht="12.75" customHeight="1" x14ac:dyDescent="0.2">
      <c r="B69" s="83" t="s">
        <v>50</v>
      </c>
      <c r="C69" s="84"/>
      <c r="D69" s="247" t="str">
        <f>VLOOKUP($D$71,Preenchimento!$A:$BV,53)</f>
        <v>xx</v>
      </c>
      <c r="E69" s="248"/>
      <c r="F69" s="248"/>
      <c r="G69" s="248"/>
      <c r="H69" s="248"/>
      <c r="I69" s="249"/>
    </row>
    <row r="70" spans="1:10" ht="11.25" customHeight="1" outlineLevel="1" x14ac:dyDescent="0.2">
      <c r="B70" s="250" t="s">
        <v>60</v>
      </c>
      <c r="C70" s="251"/>
      <c r="D70" s="251"/>
      <c r="E70" s="251"/>
      <c r="F70" s="251"/>
      <c r="G70" s="251"/>
      <c r="H70" s="251"/>
      <c r="I70" s="252"/>
    </row>
    <row r="71" spans="1:10" ht="11.25" customHeight="1" outlineLevel="1" x14ac:dyDescent="0.2">
      <c r="B71" s="85" t="s">
        <v>111</v>
      </c>
      <c r="C71" s="86"/>
      <c r="D71" s="87">
        <v>17</v>
      </c>
      <c r="E71" s="88"/>
      <c r="F71" s="89"/>
      <c r="G71" s="89"/>
      <c r="H71" s="89"/>
      <c r="I71" s="90"/>
    </row>
    <row r="72" spans="1:10" ht="11.25" customHeight="1" outlineLevel="1" x14ac:dyDescent="0.2">
      <c r="B72" s="253" t="s">
        <v>112</v>
      </c>
      <c r="C72" s="254"/>
      <c r="D72" s="274" t="str">
        <f>Sitio!A3</f>
        <v>Projeto 01</v>
      </c>
      <c r="E72" s="275"/>
      <c r="F72" s="275"/>
      <c r="G72" s="275"/>
      <c r="H72" s="275"/>
      <c r="I72" s="276"/>
    </row>
    <row r="73" spans="1:10" ht="11.25" customHeight="1" outlineLevel="1" x14ac:dyDescent="0.2">
      <c r="B73" s="253" t="s">
        <v>113</v>
      </c>
      <c r="C73" s="254"/>
      <c r="D73" s="235">
        <f>Sitio!F3</f>
        <v>0</v>
      </c>
      <c r="E73" s="236"/>
      <c r="F73" s="236"/>
      <c r="G73" s="236"/>
      <c r="H73" s="236"/>
      <c r="I73" s="237"/>
    </row>
    <row r="74" spans="1:10" ht="11.25" customHeight="1" outlineLevel="1" x14ac:dyDescent="0.2">
      <c r="B74" s="85" t="s">
        <v>114</v>
      </c>
      <c r="C74" s="86"/>
      <c r="D74" s="235">
        <f>Sitio!H3</f>
        <v>0</v>
      </c>
      <c r="E74" s="236"/>
      <c r="F74" s="236"/>
      <c r="G74" s="236"/>
      <c r="H74" s="236"/>
      <c r="I74" s="237"/>
    </row>
    <row r="75" spans="1:10" s="27" customFormat="1" ht="11.25" customHeight="1" outlineLevel="1" x14ac:dyDescent="0.2">
      <c r="A75" s="10"/>
      <c r="B75" s="85" t="s">
        <v>115</v>
      </c>
      <c r="C75" s="86"/>
      <c r="D75" s="235" t="str">
        <f>VLOOKUP($D$71,Preenchimento!$A:$BV,2)</f>
        <v>UUE 2</v>
      </c>
      <c r="E75" s="236"/>
      <c r="F75" s="237"/>
      <c r="G75" s="85" t="s">
        <v>116</v>
      </c>
      <c r="H75" s="240" t="str">
        <f>VLOOKUP($D$71,Preenchimento!$A:$BV,3)</f>
        <v>30-40cm</v>
      </c>
      <c r="I75" s="241"/>
      <c r="J75" s="10"/>
    </row>
    <row r="76" spans="1:10" ht="11.25" customHeight="1" outlineLevel="1" x14ac:dyDescent="0.2">
      <c r="B76" s="85" t="s">
        <v>117</v>
      </c>
      <c r="C76" s="86"/>
      <c r="D76" s="235">
        <f>VLOOKUP($D$71,Preenchimento!$A:$BV,4)</f>
        <v>0</v>
      </c>
      <c r="E76" s="236"/>
      <c r="F76" s="236"/>
      <c r="G76" s="236"/>
      <c r="H76" s="236"/>
      <c r="I76" s="237"/>
    </row>
    <row r="77" spans="1:10" s="27" customFormat="1" ht="11.25" customHeight="1" outlineLevel="1" x14ac:dyDescent="0.2">
      <c r="A77" s="10"/>
      <c r="B77" s="253" t="s">
        <v>118</v>
      </c>
      <c r="C77" s="254"/>
      <c r="D77" s="32" t="s">
        <v>355</v>
      </c>
      <c r="E77" s="91" t="s">
        <v>56</v>
      </c>
      <c r="F77" s="32"/>
      <c r="G77" s="92" t="s">
        <v>57</v>
      </c>
      <c r="H77" s="54"/>
      <c r="I77" s="84"/>
      <c r="J77" s="10"/>
    </row>
    <row r="78" spans="1:10" ht="11.25" customHeight="1" outlineLevel="1" x14ac:dyDescent="0.2">
      <c r="B78" s="83" t="s">
        <v>98</v>
      </c>
      <c r="C78" s="84"/>
      <c r="D78" s="222" t="str">
        <f>IF(VLOOKUP(D71,Preenchimento!$A:$BV,20,0)="",VLOOKUP($D$71,Preenchimento!$A:$BV,19),VLOOKUP(D71,Preenchimento!$A:$BV,20,0))</f>
        <v>Alimentação</v>
      </c>
      <c r="E78" s="223"/>
      <c r="F78" s="223"/>
      <c r="G78" s="224"/>
      <c r="H78" s="93" t="s">
        <v>121</v>
      </c>
      <c r="I78" s="94"/>
    </row>
    <row r="79" spans="1:10" ht="11.25" customHeight="1" outlineLevel="1" x14ac:dyDescent="0.2">
      <c r="B79" s="83" t="s">
        <v>119</v>
      </c>
      <c r="C79" s="86"/>
      <c r="D79" s="87">
        <f>VLOOKUP($D$71,Preenchimento!$A:$BV,74)</f>
        <v>17</v>
      </c>
      <c r="E79" s="85" t="s">
        <v>120</v>
      </c>
      <c r="F79" s="231" t="str">
        <f>Sitio!I3</f>
        <v>Técnico 1</v>
      </c>
      <c r="G79" s="232"/>
      <c r="H79" s="233">
        <f>Sitio!J3</f>
        <v>45736</v>
      </c>
      <c r="I79" s="234"/>
    </row>
  </sheetData>
  <mergeCells count="40">
    <mergeCell ref="B77:C77"/>
    <mergeCell ref="D78:G78"/>
    <mergeCell ref="F79:G79"/>
    <mergeCell ref="H79:I79"/>
    <mergeCell ref="B73:C73"/>
    <mergeCell ref="D73:I73"/>
    <mergeCell ref="D74:I74"/>
    <mergeCell ref="D75:F75"/>
    <mergeCell ref="H75:I75"/>
    <mergeCell ref="D76:I76"/>
    <mergeCell ref="D65:I65"/>
    <mergeCell ref="D66:I66"/>
    <mergeCell ref="D69:I69"/>
    <mergeCell ref="B70:I70"/>
    <mergeCell ref="B72:C72"/>
    <mergeCell ref="D72:I72"/>
    <mergeCell ref="B56:I56"/>
    <mergeCell ref="I58:I59"/>
    <mergeCell ref="B60:I60"/>
    <mergeCell ref="H61:I62"/>
    <mergeCell ref="D63:I63"/>
    <mergeCell ref="D64:I64"/>
    <mergeCell ref="B43:I43"/>
    <mergeCell ref="B45:I45"/>
    <mergeCell ref="G47:I49"/>
    <mergeCell ref="B50:I50"/>
    <mergeCell ref="I52:I53"/>
    <mergeCell ref="B55:I55"/>
    <mergeCell ref="D10:E10"/>
    <mergeCell ref="D11:I11"/>
    <mergeCell ref="D12:I12"/>
    <mergeCell ref="B13:I13"/>
    <mergeCell ref="G16:I16"/>
    <mergeCell ref="I26:I28"/>
    <mergeCell ref="B2:I2"/>
    <mergeCell ref="D4:I4"/>
    <mergeCell ref="D5:I5"/>
    <mergeCell ref="D6:I6"/>
    <mergeCell ref="D7:I7"/>
    <mergeCell ref="D8:I8"/>
  </mergeCells>
  <printOptions horizontalCentered="1"/>
  <pageMargins left="0.11811023622047245" right="0.11811023622047245" top="0.19685039370078741" bottom="0.27708333333333335" header="0.11811023622047245" footer="0.11811023622047245"/>
  <pageSetup paperSize="9" scale="70" orientation="portrait" r:id="rId1"/>
  <headerFooter>
    <oddFooter>&amp;L&amp;F / &amp;A&amp;CImpresso em: &amp;D ás &amp;T&amp;RPágina: &amp;P/&amp;N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E5D10-8C96-41BE-939A-90D952AB0EBC}">
  <sheetPr codeName="Planilha25">
    <tabColor rgb="FF00CCFF"/>
  </sheetPr>
  <dimension ref="A1:Y424"/>
  <sheetViews>
    <sheetView showGridLines="0" view="pageLayout" zoomScaleNormal="100" workbookViewId="0">
      <selection activeCell="T418" sqref="T418:U418"/>
    </sheetView>
  </sheetViews>
  <sheetFormatPr defaultColWidth="9.140625" defaultRowHeight="9.75" customHeight="1" x14ac:dyDescent="0.15"/>
  <cols>
    <col min="1" max="1" width="3.5703125" style="120" customWidth="1"/>
    <col min="2" max="2" width="5.140625" style="120" customWidth="1"/>
    <col min="3" max="3" width="8" style="120" customWidth="1"/>
    <col min="4" max="4" width="3.28515625" style="120" customWidth="1"/>
    <col min="5" max="5" width="4.7109375" style="120" customWidth="1"/>
    <col min="6" max="6" width="10.7109375" style="120" customWidth="1"/>
    <col min="7" max="7" width="3.5703125" style="120" customWidth="1"/>
    <col min="8" max="8" width="5.140625" style="120" customWidth="1"/>
    <col min="9" max="9" width="8" style="120" customWidth="1"/>
    <col min="10" max="10" width="3.28515625" style="120" customWidth="1"/>
    <col min="11" max="11" width="4.7109375" style="120" customWidth="1"/>
    <col min="12" max="12" width="10.7109375" style="120" customWidth="1"/>
    <col min="13" max="13" width="3.5703125" style="120" customWidth="1"/>
    <col min="14" max="14" width="5.140625" style="120" customWidth="1"/>
    <col min="15" max="15" width="8" style="120" customWidth="1"/>
    <col min="16" max="16" width="3.28515625" style="120" customWidth="1"/>
    <col min="17" max="17" width="4.7109375" style="120" customWidth="1"/>
    <col min="18" max="18" width="10.7109375" style="120" customWidth="1"/>
    <col min="19" max="19" width="3.5703125" style="120" customWidth="1"/>
    <col min="20" max="20" width="5.140625" style="120" customWidth="1"/>
    <col min="21" max="21" width="8" style="120" customWidth="1"/>
    <col min="22" max="22" width="3.28515625" style="120" customWidth="1"/>
    <col min="23" max="23" width="4.7109375" style="120" customWidth="1"/>
    <col min="24" max="24" width="10.7109375" style="120" customWidth="1"/>
    <col min="25" max="25" width="4.42578125" style="120" customWidth="1"/>
    <col min="26" max="26" width="9" style="120" customWidth="1"/>
    <col min="27" max="16384" width="9.140625" style="120"/>
  </cols>
  <sheetData>
    <row r="1" spans="1:25" ht="33.950000000000003" customHeight="1" x14ac:dyDescent="0.15">
      <c r="A1" s="199" t="str">
        <f>Sitio!$A$3</f>
        <v>Projeto 01</v>
      </c>
      <c r="B1" s="200"/>
      <c r="C1" s="200"/>
      <c r="D1" s="200"/>
      <c r="E1" s="200"/>
      <c r="F1" s="201"/>
      <c r="G1" s="199" t="str">
        <f>Sitio!$A$3</f>
        <v>Projeto 01</v>
      </c>
      <c r="H1" s="200"/>
      <c r="I1" s="200"/>
      <c r="J1" s="200"/>
      <c r="K1" s="200"/>
      <c r="L1" s="201"/>
      <c r="M1" s="199" t="str">
        <f>Sitio!$A$3</f>
        <v>Projeto 01</v>
      </c>
      <c r="N1" s="200"/>
      <c r="O1" s="200"/>
      <c r="P1" s="200"/>
      <c r="Q1" s="200"/>
      <c r="R1" s="201"/>
      <c r="S1" s="199" t="str">
        <f>Sitio!$A$3</f>
        <v>Projeto 01</v>
      </c>
      <c r="T1" s="200"/>
      <c r="U1" s="200"/>
      <c r="V1" s="200"/>
      <c r="W1" s="200"/>
      <c r="X1" s="201"/>
      <c r="Y1" s="119"/>
    </row>
    <row r="2" spans="1:25" ht="9.75" customHeight="1" x14ac:dyDescent="0.15">
      <c r="A2" s="121" t="s">
        <v>294</v>
      </c>
      <c r="B2" s="193">
        <f>Sitio!$E$3</f>
        <v>0</v>
      </c>
      <c r="C2" s="193"/>
      <c r="D2" s="193"/>
      <c r="E2" s="193"/>
      <c r="F2" s="194"/>
      <c r="G2" s="121" t="s">
        <v>294</v>
      </c>
      <c r="H2" s="193">
        <f>Sitio!$E$3</f>
        <v>0</v>
      </c>
      <c r="I2" s="193"/>
      <c r="J2" s="193"/>
      <c r="K2" s="193"/>
      <c r="L2" s="194"/>
      <c r="M2" s="121" t="s">
        <v>294</v>
      </c>
      <c r="N2" s="193">
        <f>Sitio!$E$3</f>
        <v>0</v>
      </c>
      <c r="O2" s="193"/>
      <c r="P2" s="193"/>
      <c r="Q2" s="193"/>
      <c r="R2" s="194"/>
      <c r="S2" s="121" t="s">
        <v>294</v>
      </c>
      <c r="T2" s="193">
        <f>Sitio!$E$3</f>
        <v>0</v>
      </c>
      <c r="U2" s="193"/>
      <c r="V2" s="193"/>
      <c r="W2" s="193"/>
      <c r="X2" s="194"/>
    </row>
    <row r="3" spans="1:25" ht="9.75" customHeight="1" x14ac:dyDescent="0.15">
      <c r="A3" s="121" t="s">
        <v>295</v>
      </c>
      <c r="C3" s="193" t="str">
        <f>VLOOKUP(B5,Preenchimento!$A:$BV,2,0)</f>
        <v>Col. Sup 4</v>
      </c>
      <c r="D3" s="193"/>
      <c r="E3" s="193"/>
      <c r="F3" s="194"/>
      <c r="G3" s="121" t="s">
        <v>295</v>
      </c>
      <c r="I3" s="193" t="str">
        <f>VLOOKUP(H5,Preenchimento!$A:$BV,2,0)</f>
        <v>Quadra de coleta 7</v>
      </c>
      <c r="J3" s="193"/>
      <c r="K3" s="193"/>
      <c r="L3" s="194"/>
      <c r="M3" s="121" t="s">
        <v>295</v>
      </c>
      <c r="O3" s="193" t="str">
        <f>VLOOKUP(N5,Preenchimento!$A:$BV,2,0)</f>
        <v>Quadra de coleta 8</v>
      </c>
      <c r="P3" s="193"/>
      <c r="Q3" s="193"/>
      <c r="R3" s="194"/>
      <c r="S3" s="121" t="s">
        <v>295</v>
      </c>
      <c r="U3" s="193" t="str">
        <f>VLOOKUP(T5,Preenchimento!$A:$BV,2,0)</f>
        <v>Quadra de coleta 8</v>
      </c>
      <c r="V3" s="193"/>
      <c r="W3" s="193"/>
      <c r="X3" s="194"/>
    </row>
    <row r="4" spans="1:25" ht="9.75" customHeight="1" x14ac:dyDescent="0.15">
      <c r="A4" s="121" t="s">
        <v>296</v>
      </c>
      <c r="B4" s="193" t="str">
        <f>VLOOKUP(B5,Preenchimento!$A:$BV,3,0)</f>
        <v>Superfície</v>
      </c>
      <c r="C4" s="193"/>
      <c r="D4" s="120" t="s">
        <v>297</v>
      </c>
      <c r="E4" s="197">
        <f>VLOOKUP(B5,Preenchimento!$A:$BV,5,0)</f>
        <v>45190</v>
      </c>
      <c r="F4" s="198"/>
      <c r="G4" s="121" t="s">
        <v>296</v>
      </c>
      <c r="H4" s="193" t="str">
        <f>VLOOKUP(H5,Preenchimento!$A:$BV,3,0)</f>
        <v>Superfície</v>
      </c>
      <c r="I4" s="193"/>
      <c r="J4" s="120" t="s">
        <v>297</v>
      </c>
      <c r="K4" s="197">
        <f>VLOOKUP(H5,Preenchimento!$A:$BV,5,0)</f>
        <v>45190</v>
      </c>
      <c r="L4" s="198"/>
      <c r="M4" s="121" t="s">
        <v>296</v>
      </c>
      <c r="N4" s="193" t="str">
        <f>VLOOKUP(N5,Preenchimento!$A:$BV,3,0)</f>
        <v>Superfície</v>
      </c>
      <c r="O4" s="193"/>
      <c r="P4" s="120" t="s">
        <v>297</v>
      </c>
      <c r="Q4" s="197">
        <f>VLOOKUP(N5,Preenchimento!$A:$BV,5,0)</f>
        <v>45191</v>
      </c>
      <c r="R4" s="198"/>
      <c r="S4" s="121" t="s">
        <v>296</v>
      </c>
      <c r="T4" s="193" t="str">
        <f>VLOOKUP(T5,Preenchimento!$A:$BV,3,0)</f>
        <v>Superfície</v>
      </c>
      <c r="U4" s="193"/>
      <c r="V4" s="120" t="s">
        <v>297</v>
      </c>
      <c r="W4" s="197">
        <f>VLOOKUP(T5,Preenchimento!$A:$BV,5,0)</f>
        <v>45191</v>
      </c>
      <c r="X4" s="198"/>
    </row>
    <row r="5" spans="1:25" ht="9.75" customHeight="1" x14ac:dyDescent="0.15">
      <c r="A5" s="121" t="s">
        <v>298</v>
      </c>
      <c r="B5" s="193">
        <v>1</v>
      </c>
      <c r="C5" s="193"/>
      <c r="D5" s="120" t="s">
        <v>299</v>
      </c>
      <c r="F5" s="131">
        <f>VLOOKUP(B5,Preenchimento!$A:$BV,10,0)</f>
        <v>9</v>
      </c>
      <c r="G5" s="121" t="s">
        <v>298</v>
      </c>
      <c r="H5" s="193">
        <v>2</v>
      </c>
      <c r="I5" s="193"/>
      <c r="J5" s="120" t="s">
        <v>299</v>
      </c>
      <c r="L5" s="131" t="str">
        <f>VLOOKUP(H5,Preenchimento!$A:$BV,10,0)</f>
        <v>10</v>
      </c>
      <c r="M5" s="121" t="s">
        <v>298</v>
      </c>
      <c r="N5" s="193">
        <v>3</v>
      </c>
      <c r="O5" s="193"/>
      <c r="P5" s="120" t="s">
        <v>299</v>
      </c>
      <c r="R5" s="131" t="str">
        <f>VLOOKUP(N5,Preenchimento!$A:$BV,10,0)</f>
        <v>11-15</v>
      </c>
      <c r="S5" s="121" t="s">
        <v>298</v>
      </c>
      <c r="T5" s="193">
        <v>4</v>
      </c>
      <c r="U5" s="193"/>
      <c r="V5" s="120" t="s">
        <v>299</v>
      </c>
      <c r="X5" s="131" t="str">
        <f>VLOOKUP(T5,Preenchimento!$A:$BV,10,0)</f>
        <v>16-40</v>
      </c>
    </row>
    <row r="6" spans="1:25" ht="9.75" customHeight="1" x14ac:dyDescent="0.15">
      <c r="A6" s="121" t="s">
        <v>300</v>
      </c>
      <c r="C6" s="193" t="str">
        <f>VLOOKUP(B5,Preenchimento!$A:$BV,12,0)</f>
        <v>Lítico</v>
      </c>
      <c r="D6" s="193"/>
      <c r="E6" s="193"/>
      <c r="F6" s="194"/>
      <c r="G6" s="121" t="s">
        <v>300</v>
      </c>
      <c r="I6" s="193" t="str">
        <f>VLOOKUP(H5,Preenchimento!$A:$BV,12,0)</f>
        <v>Lítico</v>
      </c>
      <c r="J6" s="193"/>
      <c r="K6" s="193"/>
      <c r="L6" s="194"/>
      <c r="M6" s="121" t="s">
        <v>300</v>
      </c>
      <c r="O6" s="193" t="str">
        <f>VLOOKUP(N5,Preenchimento!$A:$BV,12,0)</f>
        <v>Lítico</v>
      </c>
      <c r="P6" s="193"/>
      <c r="Q6" s="193"/>
      <c r="R6" s="194"/>
      <c r="S6" s="121" t="s">
        <v>300</v>
      </c>
      <c r="U6" s="193" t="str">
        <f>VLOOKUP(T5,Preenchimento!$A:$BV,12,0)</f>
        <v>Cerâmica</v>
      </c>
      <c r="V6" s="193"/>
      <c r="W6" s="193"/>
      <c r="X6" s="194"/>
    </row>
    <row r="7" spans="1:25" ht="9.75" customHeight="1" x14ac:dyDescent="0.15">
      <c r="A7" s="123" t="s">
        <v>301</v>
      </c>
      <c r="B7" s="195" t="str">
        <f>IF(VLOOKUP(B5,Preenchimento!$A:$BV,11,0)=0,"",VLOOKUP(B5,Preenchimento!$A:$BV,11,0))</f>
        <v/>
      </c>
      <c r="C7" s="195"/>
      <c r="D7" s="195"/>
      <c r="E7" s="195"/>
      <c r="F7" s="196"/>
      <c r="G7" s="123" t="s">
        <v>301</v>
      </c>
      <c r="H7" s="195" t="str">
        <f>IF(VLOOKUP(H5,Preenchimento!$A:$BV,11,0)=0,"",VLOOKUP(H5,Preenchimento!$A:$BV,11,0))</f>
        <v/>
      </c>
      <c r="I7" s="195"/>
      <c r="J7" s="195"/>
      <c r="K7" s="195"/>
      <c r="L7" s="196"/>
      <c r="M7" s="123" t="s">
        <v>301</v>
      </c>
      <c r="N7" s="195" t="str">
        <f>IF(VLOOKUP(N5,Preenchimento!$A:$BV,11,0)=0,"",VLOOKUP(N5,Preenchimento!$A:$BV,11,0))</f>
        <v/>
      </c>
      <c r="O7" s="195"/>
      <c r="P7" s="195"/>
      <c r="Q7" s="195"/>
      <c r="R7" s="196"/>
      <c r="S7" s="123" t="s">
        <v>301</v>
      </c>
      <c r="T7" s="195" t="str">
        <f>IF(VLOOKUP(T5,Preenchimento!$A:$BV,11,0)=0,"",VLOOKUP(T5,Preenchimento!$A:$BV,11,0))</f>
        <v>8 Frag menor de 3cm</v>
      </c>
      <c r="U7" s="195"/>
      <c r="V7" s="195"/>
      <c r="W7" s="195"/>
      <c r="X7" s="196"/>
      <c r="Y7" s="124"/>
    </row>
    <row r="8" spans="1:25" ht="33.950000000000003" customHeight="1" x14ac:dyDescent="0.25">
      <c r="A8" s="199" t="str">
        <f>Sitio!$A$3</f>
        <v>Projeto 01</v>
      </c>
      <c r="B8" s="200"/>
      <c r="C8" s="200"/>
      <c r="D8" s="200"/>
      <c r="E8" s="200"/>
      <c r="F8" s="201"/>
      <c r="G8" s="199" t="str">
        <f>Sitio!$A$3</f>
        <v>Projeto 01</v>
      </c>
      <c r="H8" s="200"/>
      <c r="I8" s="200"/>
      <c r="J8" s="200"/>
      <c r="K8" s="200"/>
      <c r="L8" s="201"/>
      <c r="M8" s="199" t="str">
        <f>Sitio!$A$3</f>
        <v>Projeto 01</v>
      </c>
      <c r="N8" s="200"/>
      <c r="O8" s="200"/>
      <c r="P8" s="200"/>
      <c r="Q8" s="200"/>
      <c r="R8" s="201"/>
      <c r="S8" s="199" t="str">
        <f>Sitio!$A$3</f>
        <v>Projeto 01</v>
      </c>
      <c r="T8" s="200"/>
      <c r="U8" s="200"/>
      <c r="V8" s="200"/>
      <c r="W8" s="200"/>
      <c r="X8" s="201"/>
      <c r="Y8"/>
    </row>
    <row r="9" spans="1:25" ht="9.75" customHeight="1" x14ac:dyDescent="0.25">
      <c r="A9" s="121" t="s">
        <v>294</v>
      </c>
      <c r="B9" s="193">
        <f>Sitio!$E$3</f>
        <v>0</v>
      </c>
      <c r="C9" s="193"/>
      <c r="D9" s="193"/>
      <c r="E9" s="193"/>
      <c r="F9" s="194"/>
      <c r="G9" s="121" t="s">
        <v>294</v>
      </c>
      <c r="H9" s="193">
        <f>Sitio!$E$3</f>
        <v>0</v>
      </c>
      <c r="I9" s="193"/>
      <c r="J9" s="193"/>
      <c r="K9" s="193"/>
      <c r="L9" s="194"/>
      <c r="M9" s="121" t="s">
        <v>294</v>
      </c>
      <c r="N9" s="193">
        <f>Sitio!$E$3</f>
        <v>0</v>
      </c>
      <c r="O9" s="193"/>
      <c r="P9" s="193"/>
      <c r="Q9" s="193"/>
      <c r="R9" s="194"/>
      <c r="S9" s="121" t="s">
        <v>294</v>
      </c>
      <c r="T9" s="193">
        <f>Sitio!$E$3</f>
        <v>0</v>
      </c>
      <c r="U9" s="193"/>
      <c r="V9" s="193"/>
      <c r="W9" s="193"/>
      <c r="X9" s="194"/>
      <c r="Y9"/>
    </row>
    <row r="10" spans="1:25" ht="9.75" customHeight="1" x14ac:dyDescent="0.25">
      <c r="A10" s="121" t="s">
        <v>295</v>
      </c>
      <c r="C10" s="193" t="str">
        <f>VLOOKUP(B12,Preenchimento!$A:$BV,2,0)</f>
        <v>Quadra de coleta 8</v>
      </c>
      <c r="D10" s="193" t="e">
        <f>VLOOKUP(C12,Preenchimento!$A:$BV,2,0)</f>
        <v>#N/A</v>
      </c>
      <c r="E10" s="193" t="e">
        <f>VLOOKUP(D12,Preenchimento!$A:$BV,2,0)</f>
        <v>#N/A</v>
      </c>
      <c r="F10" s="194" t="e">
        <f>VLOOKUP(E12,Preenchimento!$A:$BV,2,0)</f>
        <v>#N/A</v>
      </c>
      <c r="G10" s="121" t="s">
        <v>295</v>
      </c>
      <c r="I10" s="193" t="str">
        <f>VLOOKUP(H12,Preenchimento!$A:$BV,2,0)</f>
        <v>UUE 1</v>
      </c>
      <c r="J10" s="193" t="e">
        <f>VLOOKUP(I12,Preenchimento!$A:$BV,2,0)</f>
        <v>#N/A</v>
      </c>
      <c r="K10" s="193" t="e">
        <f>VLOOKUP(J12,Preenchimento!$A:$BV,2,0)</f>
        <v>#N/A</v>
      </c>
      <c r="L10" s="194" t="e">
        <f>VLOOKUP(K12,Preenchimento!$A:$BV,2,0)</f>
        <v>#N/A</v>
      </c>
      <c r="M10" s="121" t="s">
        <v>295</v>
      </c>
      <c r="O10" s="193" t="str">
        <f>VLOOKUP(N12,Preenchimento!$A:$BV,2,0)</f>
        <v>UUE 1</v>
      </c>
      <c r="P10" s="193" t="e">
        <f>VLOOKUP(O12,Preenchimento!$A:$BV,2,0)</f>
        <v>#N/A</v>
      </c>
      <c r="Q10" s="193" t="e">
        <f>VLOOKUP(P12,Preenchimento!$A:$BV,2,0)</f>
        <v>#N/A</v>
      </c>
      <c r="R10" s="194" t="e">
        <f>VLOOKUP(Q12,Preenchimento!$A:$BV,2,0)</f>
        <v>#N/A</v>
      </c>
      <c r="S10" s="121" t="s">
        <v>295</v>
      </c>
      <c r="U10" s="193" t="str">
        <f>VLOOKUP(T12,Preenchimento!$A:$BV,2,0)</f>
        <v>UUE 1</v>
      </c>
      <c r="V10" s="193" t="e">
        <f>VLOOKUP(U12,Preenchimento!$A:$BV,2,0)</f>
        <v>#N/A</v>
      </c>
      <c r="W10" s="193" t="e">
        <f>VLOOKUP(V12,Preenchimento!$A:$BV,2,0)</f>
        <v>#N/A</v>
      </c>
      <c r="X10" s="194" t="e">
        <f>VLOOKUP(W12,Preenchimento!$A:$BV,2,0)</f>
        <v>#N/A</v>
      </c>
      <c r="Y10"/>
    </row>
    <row r="11" spans="1:25" ht="9.75" customHeight="1" x14ac:dyDescent="0.25">
      <c r="A11" s="121" t="s">
        <v>296</v>
      </c>
      <c r="B11" s="193" t="str">
        <f>VLOOKUP(B12,Preenchimento!$A:$BV,3,0)</f>
        <v>Superfície</v>
      </c>
      <c r="C11" s="193" t="e">
        <f>VLOOKUP(C12,Preenchimento!$A:$BV,3,0)</f>
        <v>#N/A</v>
      </c>
      <c r="D11" s="120" t="s">
        <v>297</v>
      </c>
      <c r="E11" s="197">
        <f>VLOOKUP(B12,Preenchimento!$A:$BV,5,0)</f>
        <v>45191</v>
      </c>
      <c r="F11" s="198" t="e">
        <f>VLOOKUP(C12,Preenchimento!$A:$BV,5,0)</f>
        <v>#N/A</v>
      </c>
      <c r="G11" s="121" t="s">
        <v>296</v>
      </c>
      <c r="H11" s="193" t="str">
        <f>VLOOKUP(H12,Preenchimento!$A:$BV,3,0)</f>
        <v>Superfície</v>
      </c>
      <c r="I11" s="193" t="e">
        <f>VLOOKUP(I12,Preenchimento!$A:$BV,3,0)</f>
        <v>#N/A</v>
      </c>
      <c r="J11" s="120" t="s">
        <v>297</v>
      </c>
      <c r="K11" s="197">
        <f>VLOOKUP(H12,Preenchimento!$A:$BV,5,0)</f>
        <v>45191</v>
      </c>
      <c r="L11" s="198" t="e">
        <f>VLOOKUP(I12,Preenchimento!$A:$BV,5,0)</f>
        <v>#N/A</v>
      </c>
      <c r="M11" s="121" t="s">
        <v>296</v>
      </c>
      <c r="N11" s="193" t="str">
        <f>VLOOKUP(N12,Preenchimento!$A:$BV,3,0)</f>
        <v>Superfície</v>
      </c>
      <c r="O11" s="193" t="e">
        <f>VLOOKUP(O12,Preenchimento!$A:$BV,3,0)</f>
        <v>#N/A</v>
      </c>
      <c r="P11" s="120" t="s">
        <v>297</v>
      </c>
      <c r="Q11" s="197">
        <f>VLOOKUP(N12,Preenchimento!$A:$BV,5,0)</f>
        <v>45191</v>
      </c>
      <c r="R11" s="198" t="e">
        <f>VLOOKUP(O12,Preenchimento!$A:$BV,5,0)</f>
        <v>#N/A</v>
      </c>
      <c r="S11" s="121" t="s">
        <v>296</v>
      </c>
      <c r="T11" s="193" t="str">
        <f>VLOOKUP(T12,Preenchimento!$A:$BV,3,0)</f>
        <v>Superfície</v>
      </c>
      <c r="U11" s="193" t="e">
        <f>VLOOKUP(U12,Preenchimento!$A:$BV,3,0)</f>
        <v>#N/A</v>
      </c>
      <c r="V11" s="120" t="s">
        <v>297</v>
      </c>
      <c r="W11" s="197">
        <f>VLOOKUP(T12,Preenchimento!$A:$BV,5,0)</f>
        <v>45191</v>
      </c>
      <c r="X11" s="198" t="e">
        <f>VLOOKUP(U12,Preenchimento!$A:$BV,5,0)</f>
        <v>#N/A</v>
      </c>
      <c r="Y11"/>
    </row>
    <row r="12" spans="1:25" ht="9.75" customHeight="1" x14ac:dyDescent="0.25">
      <c r="A12" s="121" t="s">
        <v>298</v>
      </c>
      <c r="B12" s="193">
        <v>5</v>
      </c>
      <c r="C12" s="193"/>
      <c r="D12" s="120" t="s">
        <v>299</v>
      </c>
      <c r="F12" s="131" t="str">
        <f>VLOOKUP(B12,Preenchimento!$A:$BV,10,0)</f>
        <v>41-45</v>
      </c>
      <c r="G12" s="121" t="s">
        <v>298</v>
      </c>
      <c r="H12" s="193">
        <v>6</v>
      </c>
      <c r="I12" s="193"/>
      <c r="J12" s="120" t="s">
        <v>299</v>
      </c>
      <c r="L12" s="131" t="str">
        <f>VLOOKUP(H12,Preenchimento!$A:$BV,10,0)</f>
        <v>46-48</v>
      </c>
      <c r="M12" s="121" t="s">
        <v>298</v>
      </c>
      <c r="N12" s="193">
        <v>7</v>
      </c>
      <c r="O12" s="193"/>
      <c r="P12" s="120" t="s">
        <v>299</v>
      </c>
      <c r="R12" s="131" t="str">
        <f>VLOOKUP(N12,Preenchimento!$A:$BV,10,0)</f>
        <v>49-51</v>
      </c>
      <c r="S12" s="121" t="s">
        <v>298</v>
      </c>
      <c r="T12" s="193">
        <v>8</v>
      </c>
      <c r="U12" s="193"/>
      <c r="V12" s="120" t="s">
        <v>299</v>
      </c>
      <c r="X12" s="131">
        <f>VLOOKUP(T12,Preenchimento!$A:$BV,10,0)</f>
        <v>52</v>
      </c>
      <c r="Y12"/>
    </row>
    <row r="13" spans="1:25" ht="9.75" customHeight="1" x14ac:dyDescent="0.25">
      <c r="A13" s="121" t="s">
        <v>300</v>
      </c>
      <c r="C13" s="193" t="str">
        <f>VLOOKUP(B12,Preenchimento!$A:$BV,12,0)</f>
        <v>Faiança fina</v>
      </c>
      <c r="D13" s="193" t="e">
        <f>VLOOKUP(C12,Preenchimento!$A:$BV,12,0)</f>
        <v>#N/A</v>
      </c>
      <c r="E13" s="193" t="e">
        <f>VLOOKUP(D12,Preenchimento!$A:$BV,12,0)</f>
        <v>#N/A</v>
      </c>
      <c r="F13" s="194" t="e">
        <f>VLOOKUP(E12,Preenchimento!$A:$BV,12,0)</f>
        <v>#N/A</v>
      </c>
      <c r="G13" s="121" t="s">
        <v>300</v>
      </c>
      <c r="I13" s="193" t="str">
        <f>VLOOKUP(H12,Preenchimento!$A:$BV,12,0)</f>
        <v>Lítico</v>
      </c>
      <c r="J13" s="193" t="e">
        <f>VLOOKUP(I12,Preenchimento!$A:$BV,12,0)</f>
        <v>#N/A</v>
      </c>
      <c r="K13" s="193" t="e">
        <f>VLOOKUP(J12,Preenchimento!$A:$BV,12,0)</f>
        <v>#N/A</v>
      </c>
      <c r="L13" s="194" t="e">
        <f>VLOOKUP(K12,Preenchimento!$A:$BV,12,0)</f>
        <v>#N/A</v>
      </c>
      <c r="M13" s="121" t="s">
        <v>300</v>
      </c>
      <c r="O13" s="193" t="str">
        <f>VLOOKUP(N12,Preenchimento!$A:$BV,12,0)</f>
        <v>Cerâmica</v>
      </c>
      <c r="P13" s="193" t="e">
        <f>VLOOKUP(O12,Preenchimento!$A:$BV,12,0)</f>
        <v>#N/A</v>
      </c>
      <c r="Q13" s="193" t="e">
        <f>VLOOKUP(P12,Preenchimento!$A:$BV,12,0)</f>
        <v>#N/A</v>
      </c>
      <c r="R13" s="194" t="e">
        <f>VLOOKUP(Q12,Preenchimento!$A:$BV,12,0)</f>
        <v>#N/A</v>
      </c>
      <c r="S13" s="121" t="s">
        <v>300</v>
      </c>
      <c r="U13" s="193" t="str">
        <f>VLOOKUP(T12,Preenchimento!$A:$BV,12,0)</f>
        <v>Porcelana</v>
      </c>
      <c r="V13" s="193" t="e">
        <f>VLOOKUP(U12,Preenchimento!$A:$BV,12,0)</f>
        <v>#N/A</v>
      </c>
      <c r="W13" s="193" t="e">
        <f>VLOOKUP(V12,Preenchimento!$A:$BV,12,0)</f>
        <v>#N/A</v>
      </c>
      <c r="X13" s="194" t="e">
        <f>VLOOKUP(W12,Preenchimento!$A:$BV,12,0)</f>
        <v>#N/A</v>
      </c>
      <c r="Y13"/>
    </row>
    <row r="14" spans="1:25" ht="9.75" customHeight="1" x14ac:dyDescent="0.25">
      <c r="A14" s="123" t="s">
        <v>301</v>
      </c>
      <c r="B14" s="195" t="str">
        <f>IF(VLOOKUP(B12,Preenchimento!$A:$BV,11,0)=0,"",VLOOKUP(B12,Preenchimento!$A:$BV,11,0))</f>
        <v/>
      </c>
      <c r="C14" s="195"/>
      <c r="D14" s="195"/>
      <c r="E14" s="195"/>
      <c r="F14" s="196"/>
      <c r="G14" s="123" t="s">
        <v>301</v>
      </c>
      <c r="H14" s="195" t="str">
        <f>IF(VLOOKUP(H12,Preenchimento!$A:$BV,11,0)=0,"",VLOOKUP(H12,Preenchimento!$A:$BV,11,0))</f>
        <v/>
      </c>
      <c r="I14" s="195"/>
      <c r="J14" s="195"/>
      <c r="K14" s="195"/>
      <c r="L14" s="196"/>
      <c r="M14" s="123" t="s">
        <v>301</v>
      </c>
      <c r="N14" s="195" t="str">
        <f>IF(VLOOKUP(N12,Preenchimento!$A:$BV,11,0)=0,"",VLOOKUP(N12,Preenchimento!$A:$BV,11,0))</f>
        <v/>
      </c>
      <c r="O14" s="195"/>
      <c r="P14" s="195"/>
      <c r="Q14" s="195"/>
      <c r="R14" s="196"/>
      <c r="S14" s="123" t="s">
        <v>301</v>
      </c>
      <c r="T14" s="195" t="str">
        <f>IF(VLOOKUP(T12,Preenchimento!$A:$BV,11,0)=0,"",VLOOKUP(T12,Preenchimento!$A:$BV,11,0))</f>
        <v/>
      </c>
      <c r="U14" s="195"/>
      <c r="V14" s="195"/>
      <c r="W14" s="195"/>
      <c r="X14" s="196"/>
      <c r="Y14"/>
    </row>
    <row r="15" spans="1:25" s="130" customFormat="1" ht="33.950000000000003" customHeight="1" x14ac:dyDescent="0.25">
      <c r="A15" s="199" t="str">
        <f>Sitio!$A$3</f>
        <v>Projeto 01</v>
      </c>
      <c r="B15" s="200"/>
      <c r="C15" s="200"/>
      <c r="D15" s="200"/>
      <c r="E15" s="200"/>
      <c r="F15" s="201"/>
      <c r="G15" s="199" t="str">
        <f>Sitio!$A$3</f>
        <v>Projeto 01</v>
      </c>
      <c r="H15" s="200"/>
      <c r="I15" s="200"/>
      <c r="J15" s="200"/>
      <c r="K15" s="200"/>
      <c r="L15" s="201"/>
      <c r="M15" s="199" t="str">
        <f>Sitio!$A$3</f>
        <v>Projeto 01</v>
      </c>
      <c r="N15" s="200"/>
      <c r="O15" s="200"/>
      <c r="P15" s="200"/>
      <c r="Q15" s="200"/>
      <c r="R15" s="201"/>
      <c r="S15" s="199" t="str">
        <f>Sitio!$A$3</f>
        <v>Projeto 01</v>
      </c>
      <c r="T15" s="200"/>
      <c r="U15" s="200"/>
      <c r="V15" s="200"/>
      <c r="W15" s="200"/>
      <c r="X15" s="201"/>
      <c r="Y15" s="129"/>
    </row>
    <row r="16" spans="1:25" ht="9.75" customHeight="1" x14ac:dyDescent="0.25">
      <c r="A16" s="121" t="s">
        <v>294</v>
      </c>
      <c r="B16" s="193">
        <f>Sitio!$E$3</f>
        <v>0</v>
      </c>
      <c r="C16" s="193"/>
      <c r="D16" s="193"/>
      <c r="E16" s="193"/>
      <c r="F16" s="194"/>
      <c r="G16" s="121" t="s">
        <v>294</v>
      </c>
      <c r="H16" s="193">
        <f>Sitio!$E$3</f>
        <v>0</v>
      </c>
      <c r="I16" s="193"/>
      <c r="J16" s="193"/>
      <c r="K16" s="193"/>
      <c r="L16" s="194"/>
      <c r="M16" s="121" t="s">
        <v>294</v>
      </c>
      <c r="N16" s="193">
        <f>Sitio!$E$3</f>
        <v>0</v>
      </c>
      <c r="O16" s="193"/>
      <c r="P16" s="193"/>
      <c r="Q16" s="193"/>
      <c r="R16" s="194"/>
      <c r="S16" s="121" t="s">
        <v>294</v>
      </c>
      <c r="T16" s="193">
        <f>Sitio!$E$3</f>
        <v>0</v>
      </c>
      <c r="U16" s="193"/>
      <c r="V16" s="193"/>
      <c r="W16" s="193"/>
      <c r="X16" s="194"/>
      <c r="Y16"/>
    </row>
    <row r="17" spans="1:25" ht="9.75" customHeight="1" x14ac:dyDescent="0.25">
      <c r="A17" s="121" t="s">
        <v>295</v>
      </c>
      <c r="C17" s="193" t="str">
        <f>VLOOKUP(B19,Preenchimento!$A:$BV,2,0)</f>
        <v>UUE 2</v>
      </c>
      <c r="D17" s="193" t="e">
        <f>VLOOKUP(C19,Preenchimento!$A:$BV,2,0)</f>
        <v>#N/A</v>
      </c>
      <c r="E17" s="193" t="e">
        <f>VLOOKUP(D19,Preenchimento!$A:$BV,2,0)</f>
        <v>#N/A</v>
      </c>
      <c r="F17" s="194" t="e">
        <f>VLOOKUP(E19,Preenchimento!$A:$BV,2,0)</f>
        <v>#N/A</v>
      </c>
      <c r="G17" s="121" t="s">
        <v>295</v>
      </c>
      <c r="I17" s="193" t="str">
        <f>VLOOKUP(H19,Preenchimento!$A:$BV,2,0)</f>
        <v>UUE 2</v>
      </c>
      <c r="J17" s="193" t="e">
        <f>VLOOKUP(I19,Preenchimento!$A:$BV,2,0)</f>
        <v>#N/A</v>
      </c>
      <c r="K17" s="193" t="e">
        <f>VLOOKUP(J19,Preenchimento!$A:$BV,2,0)</f>
        <v>#N/A</v>
      </c>
      <c r="L17" s="194" t="e">
        <f>VLOOKUP(K19,Preenchimento!$A:$BV,2,0)</f>
        <v>#N/A</v>
      </c>
      <c r="M17" s="121" t="s">
        <v>295</v>
      </c>
      <c r="O17" s="193" t="str">
        <f>VLOOKUP(N19,Preenchimento!$A:$BV,2,0)</f>
        <v>UUE 2</v>
      </c>
      <c r="P17" s="193" t="e">
        <f>VLOOKUP(O19,Preenchimento!$A:$BV,2,0)</f>
        <v>#N/A</v>
      </c>
      <c r="Q17" s="193" t="e">
        <f>VLOOKUP(P19,Preenchimento!$A:$BV,2,0)</f>
        <v>#N/A</v>
      </c>
      <c r="R17" s="194" t="e">
        <f>VLOOKUP(Q19,Preenchimento!$A:$BV,2,0)</f>
        <v>#N/A</v>
      </c>
      <c r="S17" s="121" t="s">
        <v>295</v>
      </c>
      <c r="U17" s="193" t="str">
        <f>VLOOKUP(T19,Preenchimento!$A:$BV,2,0)</f>
        <v>UUE 2</v>
      </c>
      <c r="V17" s="193" t="e">
        <f>VLOOKUP(U19,Preenchimento!$A:$BV,2,0)</f>
        <v>#N/A</v>
      </c>
      <c r="W17" s="193" t="e">
        <f>VLOOKUP(V19,Preenchimento!$A:$BV,2,0)</f>
        <v>#N/A</v>
      </c>
      <c r="X17" s="194" t="e">
        <f>VLOOKUP(W19,Preenchimento!$A:$BV,2,0)</f>
        <v>#N/A</v>
      </c>
      <c r="Y17"/>
    </row>
    <row r="18" spans="1:25" ht="9.75" customHeight="1" x14ac:dyDescent="0.25">
      <c r="A18" s="121" t="s">
        <v>296</v>
      </c>
      <c r="B18" s="193" t="str">
        <f>VLOOKUP(B19,Preenchimento!$A:$BV,3,0)</f>
        <v>0-10cm</v>
      </c>
      <c r="C18" s="193" t="e">
        <f>VLOOKUP(C19,Preenchimento!$A:$BV,3,0)</f>
        <v>#N/A</v>
      </c>
      <c r="D18" s="120" t="s">
        <v>297</v>
      </c>
      <c r="E18" s="197">
        <f>VLOOKUP(B19,Preenchimento!$A:$BV,5,0)</f>
        <v>45191</v>
      </c>
      <c r="F18" s="198" t="e">
        <f>VLOOKUP(C19,Preenchimento!$A:$BV,5,0)</f>
        <v>#N/A</v>
      </c>
      <c r="G18" s="121" t="s">
        <v>296</v>
      </c>
      <c r="H18" s="193" t="str">
        <f>VLOOKUP(H19,Preenchimento!$A:$BV,3,0)</f>
        <v>0-10cm</v>
      </c>
      <c r="I18" s="193" t="e">
        <f>VLOOKUP(I19,Preenchimento!$A:$BV,3,0)</f>
        <v>#N/A</v>
      </c>
      <c r="J18" s="120" t="s">
        <v>297</v>
      </c>
      <c r="K18" s="197">
        <f>VLOOKUP(H19,Preenchimento!$A:$BV,5,0)</f>
        <v>45191</v>
      </c>
      <c r="L18" s="198" t="e">
        <f>VLOOKUP(I19,Preenchimento!$A:$BV,5,0)</f>
        <v>#N/A</v>
      </c>
      <c r="M18" s="121" t="s">
        <v>296</v>
      </c>
      <c r="N18" s="193" t="str">
        <f>VLOOKUP(N19,Preenchimento!$A:$BV,3,0)</f>
        <v>0-10cm</v>
      </c>
      <c r="O18" s="193" t="e">
        <f>VLOOKUP(O19,Preenchimento!$A:$BV,3,0)</f>
        <v>#N/A</v>
      </c>
      <c r="P18" s="120" t="s">
        <v>297</v>
      </c>
      <c r="Q18" s="197">
        <f>VLOOKUP(N19,Preenchimento!$A:$BV,5,0)</f>
        <v>45191</v>
      </c>
      <c r="R18" s="198" t="e">
        <f>VLOOKUP(O19,Preenchimento!$A:$BV,5,0)</f>
        <v>#N/A</v>
      </c>
      <c r="S18" s="121" t="s">
        <v>296</v>
      </c>
      <c r="T18" s="193" t="str">
        <f>VLOOKUP(T19,Preenchimento!$A:$BV,3,0)</f>
        <v>10-20cm</v>
      </c>
      <c r="U18" s="193" t="e">
        <f>VLOOKUP(U19,Preenchimento!$A:$BV,3,0)</f>
        <v>#N/A</v>
      </c>
      <c r="V18" s="120" t="s">
        <v>297</v>
      </c>
      <c r="W18" s="197">
        <f>VLOOKUP(T19,Preenchimento!$A:$BV,5,0)</f>
        <v>45191</v>
      </c>
      <c r="X18" s="198" t="e">
        <f>VLOOKUP(U19,Preenchimento!$A:$BV,5,0)</f>
        <v>#N/A</v>
      </c>
      <c r="Y18"/>
    </row>
    <row r="19" spans="1:25" ht="9.75" customHeight="1" x14ac:dyDescent="0.25">
      <c r="A19" s="121" t="s">
        <v>298</v>
      </c>
      <c r="B19" s="193">
        <v>9</v>
      </c>
      <c r="C19" s="193"/>
      <c r="D19" s="120" t="s">
        <v>299</v>
      </c>
      <c r="F19" s="131" t="str">
        <f>VLOOKUP(B19,Preenchimento!$A:$BV,10,0)</f>
        <v>53-73</v>
      </c>
      <c r="G19" s="121" t="s">
        <v>298</v>
      </c>
      <c r="H19" s="193">
        <v>10</v>
      </c>
      <c r="I19" s="193"/>
      <c r="J19" s="120" t="s">
        <v>299</v>
      </c>
      <c r="L19" s="131">
        <f>VLOOKUP(H19,Preenchimento!$A:$BV,10,0)</f>
        <v>74</v>
      </c>
      <c r="M19" s="121" t="s">
        <v>298</v>
      </c>
      <c r="N19" s="193">
        <v>11</v>
      </c>
      <c r="O19" s="193"/>
      <c r="P19" s="120" t="s">
        <v>299</v>
      </c>
      <c r="R19" s="131" t="str">
        <f>VLOOKUP(N19,Preenchimento!$A:$BV,10,0)</f>
        <v xml:space="preserve"> -</v>
      </c>
      <c r="S19" s="121" t="s">
        <v>298</v>
      </c>
      <c r="T19" s="193">
        <v>12</v>
      </c>
      <c r="U19" s="193"/>
      <c r="V19" s="120" t="s">
        <v>299</v>
      </c>
      <c r="X19" s="131" t="str">
        <f>VLOOKUP(T19,Preenchimento!$A:$BV,10,0)</f>
        <v>75-78</v>
      </c>
      <c r="Y19"/>
    </row>
    <row r="20" spans="1:25" ht="9.75" customHeight="1" x14ac:dyDescent="0.25">
      <c r="A20" s="121" t="s">
        <v>300</v>
      </c>
      <c r="C20" s="193" t="str">
        <f>VLOOKUP(B19,Preenchimento!$A:$BV,12,0)</f>
        <v>Cerâmica</v>
      </c>
      <c r="D20" s="193" t="e">
        <f>VLOOKUP(C19,Preenchimento!$A:$BV,12,0)</f>
        <v>#N/A</v>
      </c>
      <c r="E20" s="193" t="e">
        <f>VLOOKUP(D19,Preenchimento!$A:$BV,12,0)</f>
        <v>#N/A</v>
      </c>
      <c r="F20" s="194" t="e">
        <f>VLOOKUP(E19,Preenchimento!$A:$BV,12,0)</f>
        <v>#N/A</v>
      </c>
      <c r="G20" s="121" t="s">
        <v>300</v>
      </c>
      <c r="I20" s="193" t="str">
        <f>VLOOKUP(H19,Preenchimento!$A:$BV,12,0)</f>
        <v>Fa</v>
      </c>
      <c r="J20" s="193" t="e">
        <f>VLOOKUP(I19,Preenchimento!$A:$BV,12,0)</f>
        <v>#N/A</v>
      </c>
      <c r="K20" s="193" t="e">
        <f>VLOOKUP(J19,Preenchimento!$A:$BV,12,0)</f>
        <v>#N/A</v>
      </c>
      <c r="L20" s="194" t="e">
        <f>VLOOKUP(K19,Preenchimento!$A:$BV,12,0)</f>
        <v>#N/A</v>
      </c>
      <c r="M20" s="121" t="s">
        <v>300</v>
      </c>
      <c r="O20" s="193" t="str">
        <f>VLOOKUP(N19,Preenchimento!$A:$BV,12,0)</f>
        <v>Osso</v>
      </c>
      <c r="P20" s="193" t="e">
        <f>VLOOKUP(O19,Preenchimento!$A:$BV,12,0)</f>
        <v>#N/A</v>
      </c>
      <c r="Q20" s="193" t="e">
        <f>VLOOKUP(P19,Preenchimento!$A:$BV,12,0)</f>
        <v>#N/A</v>
      </c>
      <c r="R20" s="194" t="e">
        <f>VLOOKUP(Q19,Preenchimento!$A:$BV,12,0)</f>
        <v>#N/A</v>
      </c>
      <c r="S20" s="121" t="s">
        <v>300</v>
      </c>
      <c r="U20" s="193" t="str">
        <f>VLOOKUP(T19,Preenchimento!$A:$BV,12,0)</f>
        <v>Lítico</v>
      </c>
      <c r="V20" s="193" t="e">
        <f>VLOOKUP(U19,Preenchimento!$A:$BV,12,0)</f>
        <v>#N/A</v>
      </c>
      <c r="W20" s="193" t="e">
        <f>VLOOKUP(V19,Preenchimento!$A:$BV,12,0)</f>
        <v>#N/A</v>
      </c>
      <c r="X20" s="194" t="e">
        <f>VLOOKUP(W19,Preenchimento!$A:$BV,12,0)</f>
        <v>#N/A</v>
      </c>
      <c r="Y20"/>
    </row>
    <row r="21" spans="1:25" ht="9.75" customHeight="1" x14ac:dyDescent="0.25">
      <c r="A21" s="123" t="s">
        <v>301</v>
      </c>
      <c r="B21" s="195" t="str">
        <f>IF(VLOOKUP(B19,Preenchimento!$A:$BV,11,0)=0,"",VLOOKUP(B19,Preenchimento!$A:$BV,11,0))</f>
        <v>9 Frag menor de 3cm</v>
      </c>
      <c r="C21" s="195"/>
      <c r="D21" s="195"/>
      <c r="E21" s="195"/>
      <c r="F21" s="196"/>
      <c r="G21" s="123" t="s">
        <v>301</v>
      </c>
      <c r="H21" s="195" t="str">
        <f>IF(VLOOKUP(H19,Preenchimento!$A:$BV,11,0)=0,"",VLOOKUP(H19,Preenchimento!$A:$BV,11,0))</f>
        <v>3 Frag menor de 3cm</v>
      </c>
      <c r="I21" s="195"/>
      <c r="J21" s="195"/>
      <c r="K21" s="195"/>
      <c r="L21" s="196"/>
      <c r="M21" s="123" t="s">
        <v>301</v>
      </c>
      <c r="N21" s="195" t="str">
        <f>IF(VLOOKUP(N19,Preenchimento!$A:$BV,11,0)=0,"",VLOOKUP(N19,Preenchimento!$A:$BV,11,0))</f>
        <v/>
      </c>
      <c r="O21" s="195"/>
      <c r="P21" s="195"/>
      <c r="Q21" s="195"/>
      <c r="R21" s="196"/>
      <c r="S21" s="123" t="s">
        <v>301</v>
      </c>
      <c r="T21" s="195" t="str">
        <f>IF(VLOOKUP(T19,Preenchimento!$A:$BV,11,0)=0,"",VLOOKUP(T19,Preenchimento!$A:$BV,11,0))</f>
        <v/>
      </c>
      <c r="U21" s="195"/>
      <c r="V21" s="195"/>
      <c r="W21" s="195"/>
      <c r="X21" s="196"/>
      <c r="Y21"/>
    </row>
    <row r="22" spans="1:25" s="130" customFormat="1" ht="33.950000000000003" customHeight="1" x14ac:dyDescent="0.25">
      <c r="A22" s="199" t="str">
        <f>Sitio!$A$3</f>
        <v>Projeto 01</v>
      </c>
      <c r="B22" s="200"/>
      <c r="C22" s="200"/>
      <c r="D22" s="200"/>
      <c r="E22" s="200"/>
      <c r="F22" s="201"/>
      <c r="G22" s="199" t="str">
        <f>Sitio!$A$3</f>
        <v>Projeto 01</v>
      </c>
      <c r="H22" s="200"/>
      <c r="I22" s="200"/>
      <c r="J22" s="200"/>
      <c r="K22" s="200"/>
      <c r="L22" s="201"/>
      <c r="M22" s="199" t="str">
        <f>Sitio!$A$3</f>
        <v>Projeto 01</v>
      </c>
      <c r="N22" s="200"/>
      <c r="O22" s="200"/>
      <c r="P22" s="200"/>
      <c r="Q22" s="200"/>
      <c r="R22" s="201"/>
      <c r="S22" s="199" t="str">
        <f>Sitio!$A$3</f>
        <v>Projeto 01</v>
      </c>
      <c r="T22" s="200"/>
      <c r="U22" s="200"/>
      <c r="V22" s="200"/>
      <c r="W22" s="200"/>
      <c r="X22" s="201"/>
      <c r="Y22" s="129"/>
    </row>
    <row r="23" spans="1:25" ht="9.75" customHeight="1" x14ac:dyDescent="0.25">
      <c r="A23" s="121" t="s">
        <v>294</v>
      </c>
      <c r="B23" s="193">
        <f>Sitio!$E$3</f>
        <v>0</v>
      </c>
      <c r="C23" s="193"/>
      <c r="D23" s="193"/>
      <c r="E23" s="193"/>
      <c r="F23" s="194"/>
      <c r="G23" s="121" t="s">
        <v>294</v>
      </c>
      <c r="H23" s="193">
        <f>Sitio!$E$3</f>
        <v>0</v>
      </c>
      <c r="I23" s="193"/>
      <c r="J23" s="193"/>
      <c r="K23" s="193"/>
      <c r="L23" s="194"/>
      <c r="M23" s="121" t="s">
        <v>294</v>
      </c>
      <c r="N23" s="193">
        <f>Sitio!$E$3</f>
        <v>0</v>
      </c>
      <c r="O23" s="193"/>
      <c r="P23" s="193"/>
      <c r="Q23" s="193"/>
      <c r="R23" s="194"/>
      <c r="S23" s="121" t="s">
        <v>294</v>
      </c>
      <c r="T23" s="193">
        <f>Sitio!$E$3</f>
        <v>0</v>
      </c>
      <c r="U23" s="193"/>
      <c r="V23" s="193"/>
      <c r="W23" s="193"/>
      <c r="X23" s="194"/>
      <c r="Y23"/>
    </row>
    <row r="24" spans="1:25" ht="9.75" customHeight="1" x14ac:dyDescent="0.25">
      <c r="A24" s="121" t="s">
        <v>295</v>
      </c>
      <c r="C24" s="193" t="str">
        <f>VLOOKUP(B26,Preenchimento!$A:$BV,2,0)</f>
        <v>UUE 2</v>
      </c>
      <c r="D24" s="193" t="e">
        <f>VLOOKUP(C26,Preenchimento!$A:$BV,2,0)</f>
        <v>#N/A</v>
      </c>
      <c r="E24" s="193" t="e">
        <f>VLOOKUP(D26,Preenchimento!$A:$BV,2,0)</f>
        <v>#N/A</v>
      </c>
      <c r="F24" s="194" t="e">
        <f>VLOOKUP(E26,Preenchimento!$A:$BV,2,0)</f>
        <v>#N/A</v>
      </c>
      <c r="G24" s="121" t="s">
        <v>295</v>
      </c>
      <c r="I24" s="193" t="str">
        <f>VLOOKUP(H26,Preenchimento!$A:$BV,2,0)</f>
        <v>UUE 2</v>
      </c>
      <c r="J24" s="193" t="e">
        <f>VLOOKUP(I26,Preenchimento!$A:$BV,2,0)</f>
        <v>#N/A</v>
      </c>
      <c r="K24" s="193" t="e">
        <f>VLOOKUP(J26,Preenchimento!$A:$BV,2,0)</f>
        <v>#N/A</v>
      </c>
      <c r="L24" s="194" t="e">
        <f>VLOOKUP(K26,Preenchimento!$A:$BV,2,0)</f>
        <v>#N/A</v>
      </c>
      <c r="M24" s="121" t="s">
        <v>295</v>
      </c>
      <c r="O24" s="193" t="str">
        <f>VLOOKUP(N26,Preenchimento!$A:$BV,2,0)</f>
        <v>UUE 2</v>
      </c>
      <c r="P24" s="193" t="e">
        <f>VLOOKUP(O26,Preenchimento!$A:$BV,2,0)</f>
        <v>#N/A</v>
      </c>
      <c r="Q24" s="193" t="e">
        <f>VLOOKUP(P26,Preenchimento!$A:$BV,2,0)</f>
        <v>#N/A</v>
      </c>
      <c r="R24" s="194" t="e">
        <f>VLOOKUP(Q26,Preenchimento!$A:$BV,2,0)</f>
        <v>#N/A</v>
      </c>
      <c r="S24" s="121" t="s">
        <v>295</v>
      </c>
      <c r="U24" s="193" t="str">
        <f>VLOOKUP(T26,Preenchimento!$A:$BV,2,0)</f>
        <v>UUE 2</v>
      </c>
      <c r="V24" s="193" t="e">
        <f>VLOOKUP(U26,Preenchimento!$A:$BV,2,0)</f>
        <v>#N/A</v>
      </c>
      <c r="W24" s="193" t="e">
        <f>VLOOKUP(V26,Preenchimento!$A:$BV,2,0)</f>
        <v>#N/A</v>
      </c>
      <c r="X24" s="194" t="e">
        <f>VLOOKUP(W26,Preenchimento!$A:$BV,2,0)</f>
        <v>#N/A</v>
      </c>
      <c r="Y24"/>
    </row>
    <row r="25" spans="1:25" ht="9.75" customHeight="1" x14ac:dyDescent="0.25">
      <c r="A25" s="121" t="s">
        <v>296</v>
      </c>
      <c r="B25" s="193" t="str">
        <f>VLOOKUP(B26,Preenchimento!$A:$BV,3,0)</f>
        <v>10-20cm</v>
      </c>
      <c r="C25" s="193" t="e">
        <f>VLOOKUP(C26,Preenchimento!$A:$BV,3,0)</f>
        <v>#N/A</v>
      </c>
      <c r="D25" s="120" t="s">
        <v>297</v>
      </c>
      <c r="E25" s="197">
        <f>VLOOKUP(B26,Preenchimento!$A:$BV,5,0)</f>
        <v>45191</v>
      </c>
      <c r="F25" s="198" t="e">
        <f>VLOOKUP(C26,Preenchimento!$A:$BV,5,0)</f>
        <v>#N/A</v>
      </c>
      <c r="G25" s="121" t="s">
        <v>296</v>
      </c>
      <c r="H25" s="193" t="str">
        <f>VLOOKUP(H26,Preenchimento!$A:$BV,3,0)</f>
        <v>20-30cm</v>
      </c>
      <c r="I25" s="193" t="e">
        <f>VLOOKUP(I26,Preenchimento!$A:$BV,3,0)</f>
        <v>#N/A</v>
      </c>
      <c r="J25" s="120" t="s">
        <v>297</v>
      </c>
      <c r="K25" s="197">
        <f>VLOOKUP(H26,Preenchimento!$A:$BV,5,0)</f>
        <v>45191</v>
      </c>
      <c r="L25" s="198" t="e">
        <f>VLOOKUP(I26,Preenchimento!$A:$BV,5,0)</f>
        <v>#N/A</v>
      </c>
      <c r="M25" s="121" t="s">
        <v>296</v>
      </c>
      <c r="N25" s="193" t="str">
        <f>VLOOKUP(N26,Preenchimento!$A:$BV,3,0)</f>
        <v>30-40cm</v>
      </c>
      <c r="O25" s="193" t="e">
        <f>VLOOKUP(O26,Preenchimento!$A:$BV,3,0)</f>
        <v>#N/A</v>
      </c>
      <c r="P25" s="120" t="s">
        <v>297</v>
      </c>
      <c r="Q25" s="197">
        <f>VLOOKUP(N26,Preenchimento!$A:$BV,5,0)</f>
        <v>45191</v>
      </c>
      <c r="R25" s="198" t="e">
        <f>VLOOKUP(O26,Preenchimento!$A:$BV,5,0)</f>
        <v>#N/A</v>
      </c>
      <c r="S25" s="121" t="s">
        <v>296</v>
      </c>
      <c r="T25" s="193" t="str">
        <f>VLOOKUP(T26,Preenchimento!$A:$BV,3,0)</f>
        <v>30-40cm</v>
      </c>
      <c r="U25" s="193" t="e">
        <f>VLOOKUP(U26,Preenchimento!$A:$BV,3,0)</f>
        <v>#N/A</v>
      </c>
      <c r="V25" s="120" t="s">
        <v>297</v>
      </c>
      <c r="W25" s="197">
        <f>VLOOKUP(T26,Preenchimento!$A:$BV,5,0)</f>
        <v>45191</v>
      </c>
      <c r="X25" s="198" t="e">
        <f>VLOOKUP(U26,Preenchimento!$A:$BV,5,0)</f>
        <v>#N/A</v>
      </c>
      <c r="Y25"/>
    </row>
    <row r="26" spans="1:25" ht="9.75" customHeight="1" x14ac:dyDescent="0.25">
      <c r="A26" s="121" t="s">
        <v>298</v>
      </c>
      <c r="B26" s="193">
        <v>13</v>
      </c>
      <c r="C26" s="193"/>
      <c r="D26" s="120" t="s">
        <v>299</v>
      </c>
      <c r="F26" s="131" t="str">
        <f>VLOOKUP(B26,Preenchimento!$A:$BV,10,0)</f>
        <v>79-80</v>
      </c>
      <c r="G26" s="121" t="s">
        <v>298</v>
      </c>
      <c r="H26" s="193">
        <v>14</v>
      </c>
      <c r="I26" s="193"/>
      <c r="J26" s="120" t="s">
        <v>299</v>
      </c>
      <c r="L26" s="131" t="str">
        <f>VLOOKUP(H26,Preenchimento!$A:$BV,10,0)</f>
        <v>81-83</v>
      </c>
      <c r="M26" s="121" t="s">
        <v>298</v>
      </c>
      <c r="N26" s="193">
        <v>15</v>
      </c>
      <c r="O26" s="193"/>
      <c r="P26" s="120" t="s">
        <v>299</v>
      </c>
      <c r="R26" s="131" t="str">
        <f>VLOOKUP(N26,Preenchimento!$A:$BV,10,0)</f>
        <v>84-94</v>
      </c>
      <c r="S26" s="121" t="s">
        <v>298</v>
      </c>
      <c r="T26" s="193">
        <v>16</v>
      </c>
      <c r="U26" s="193"/>
      <c r="V26" s="120" t="s">
        <v>299</v>
      </c>
      <c r="X26" s="131" t="str">
        <f>VLOOKUP(T26,Preenchimento!$A:$BV,10,0)</f>
        <v>95-100</v>
      </c>
      <c r="Y26"/>
    </row>
    <row r="27" spans="1:25" ht="9.75" customHeight="1" x14ac:dyDescent="0.25">
      <c r="A27" s="121" t="s">
        <v>300</v>
      </c>
      <c r="C27" s="193" t="str">
        <f>VLOOKUP(B26,Preenchimento!$A:$BV,12,0)</f>
        <v>Cerâmica</v>
      </c>
      <c r="D27" s="193" t="e">
        <f>VLOOKUP(C26,Preenchimento!$A:$BV,12,0)</f>
        <v>#N/A</v>
      </c>
      <c r="E27" s="193" t="e">
        <f>VLOOKUP(D26,Preenchimento!$A:$BV,12,0)</f>
        <v>#N/A</v>
      </c>
      <c r="F27" s="194" t="e">
        <f>VLOOKUP(E26,Preenchimento!$A:$BV,12,0)</f>
        <v>#N/A</v>
      </c>
      <c r="G27" s="121" t="s">
        <v>300</v>
      </c>
      <c r="I27" s="193" t="str">
        <f>VLOOKUP(H26,Preenchimento!$A:$BV,12,0)</f>
        <v>Lítico</v>
      </c>
      <c r="J27" s="193" t="e">
        <f>VLOOKUP(I26,Preenchimento!$A:$BV,12,0)</f>
        <v>#N/A</v>
      </c>
      <c r="K27" s="193" t="e">
        <f>VLOOKUP(J26,Preenchimento!$A:$BV,12,0)</f>
        <v>#N/A</v>
      </c>
      <c r="L27" s="194" t="e">
        <f>VLOOKUP(K26,Preenchimento!$A:$BV,12,0)</f>
        <v>#N/A</v>
      </c>
      <c r="M27" s="121" t="s">
        <v>300</v>
      </c>
      <c r="O27" s="193" t="str">
        <f>VLOOKUP(N26,Preenchimento!$A:$BV,12,0)</f>
        <v>Lítico</v>
      </c>
      <c r="P27" s="193" t="e">
        <f>VLOOKUP(O26,Preenchimento!$A:$BV,12,0)</f>
        <v>#N/A</v>
      </c>
      <c r="Q27" s="193" t="e">
        <f>VLOOKUP(P26,Preenchimento!$A:$BV,12,0)</f>
        <v>#N/A</v>
      </c>
      <c r="R27" s="194" t="e">
        <f>VLOOKUP(Q26,Preenchimento!$A:$BV,12,0)</f>
        <v>#N/A</v>
      </c>
      <c r="S27" s="121" t="s">
        <v>300</v>
      </c>
      <c r="U27" s="193" t="str">
        <f>VLOOKUP(T26,Preenchimento!$A:$BV,12,0)</f>
        <v>Cerâmica</v>
      </c>
      <c r="V27" s="193" t="e">
        <f>VLOOKUP(U26,Preenchimento!$A:$BV,12,0)</f>
        <v>#N/A</v>
      </c>
      <c r="W27" s="193" t="e">
        <f>VLOOKUP(V26,Preenchimento!$A:$BV,12,0)</f>
        <v>#N/A</v>
      </c>
      <c r="X27" s="194" t="e">
        <f>VLOOKUP(W26,Preenchimento!$A:$BV,12,0)</f>
        <v>#N/A</v>
      </c>
      <c r="Y27"/>
    </row>
    <row r="28" spans="1:25" ht="9.75" customHeight="1" x14ac:dyDescent="0.25">
      <c r="A28" s="123" t="s">
        <v>301</v>
      </c>
      <c r="B28" s="195" t="str">
        <f>IF(VLOOKUP(B26,Preenchimento!$A:$BV,11,0)=0,"",VLOOKUP(B26,Preenchimento!$A:$BV,11,0))</f>
        <v>2 Frag menor de 3cm</v>
      </c>
      <c r="C28" s="195"/>
      <c r="D28" s="195"/>
      <c r="E28" s="195"/>
      <c r="F28" s="196"/>
      <c r="G28" s="123" t="s">
        <v>301</v>
      </c>
      <c r="H28" s="195" t="str">
        <f>IF(VLOOKUP(H26,Preenchimento!$A:$BV,11,0)=0,"",VLOOKUP(H26,Preenchimento!$A:$BV,11,0))</f>
        <v>7 Frag menor de 3cm</v>
      </c>
      <c r="I28" s="195"/>
      <c r="J28" s="195"/>
      <c r="K28" s="195"/>
      <c r="L28" s="196"/>
      <c r="M28" s="123" t="s">
        <v>301</v>
      </c>
      <c r="N28" s="195" t="str">
        <f>IF(VLOOKUP(N26,Preenchimento!$A:$BV,11,0)=0,"",VLOOKUP(N26,Preenchimento!$A:$BV,11,0))</f>
        <v/>
      </c>
      <c r="O28" s="195"/>
      <c r="P28" s="195"/>
      <c r="Q28" s="195"/>
      <c r="R28" s="196"/>
      <c r="S28" s="123" t="s">
        <v>301</v>
      </c>
      <c r="T28" s="195" t="str">
        <f>IF(VLOOKUP(T26,Preenchimento!$A:$BV,11,0)=0,"",VLOOKUP(T26,Preenchimento!$A:$BV,11,0))</f>
        <v>3 Frag menor de 3cm</v>
      </c>
      <c r="U28" s="195"/>
      <c r="V28" s="195"/>
      <c r="W28" s="195"/>
      <c r="X28" s="196"/>
      <c r="Y28"/>
    </row>
    <row r="29" spans="1:25" s="130" customFormat="1" ht="33.950000000000003" customHeight="1" x14ac:dyDescent="0.25">
      <c r="A29" s="199" t="str">
        <f>Sitio!$A$3</f>
        <v>Projeto 01</v>
      </c>
      <c r="B29" s="200"/>
      <c r="C29" s="200"/>
      <c r="D29" s="200"/>
      <c r="E29" s="200"/>
      <c r="F29" s="201"/>
      <c r="G29" s="199" t="str">
        <f>Sitio!$A$3</f>
        <v>Projeto 01</v>
      </c>
      <c r="H29" s="200"/>
      <c r="I29" s="200"/>
      <c r="J29" s="200"/>
      <c r="K29" s="200"/>
      <c r="L29" s="201"/>
      <c r="M29" s="199" t="str">
        <f>Sitio!$A$3</f>
        <v>Projeto 01</v>
      </c>
      <c r="N29" s="200"/>
      <c r="O29" s="200"/>
      <c r="P29" s="200"/>
      <c r="Q29" s="200"/>
      <c r="R29" s="201"/>
      <c r="S29" s="199" t="str">
        <f>Sitio!$A$3</f>
        <v>Projeto 01</v>
      </c>
      <c r="T29" s="200"/>
      <c r="U29" s="200"/>
      <c r="V29" s="200"/>
      <c r="W29" s="200"/>
      <c r="X29" s="201"/>
      <c r="Y29" s="129"/>
    </row>
    <row r="30" spans="1:25" ht="9.75" customHeight="1" x14ac:dyDescent="0.25">
      <c r="A30" s="121" t="s">
        <v>294</v>
      </c>
      <c r="B30" s="193">
        <f>Sitio!$E$3</f>
        <v>0</v>
      </c>
      <c r="C30" s="193"/>
      <c r="D30" s="193"/>
      <c r="E30" s="193"/>
      <c r="F30" s="194"/>
      <c r="G30" s="121" t="s">
        <v>294</v>
      </c>
      <c r="H30" s="193">
        <f>Sitio!$E$3</f>
        <v>0</v>
      </c>
      <c r="I30" s="193"/>
      <c r="J30" s="193"/>
      <c r="K30" s="193"/>
      <c r="L30" s="194"/>
      <c r="M30" s="121" t="s">
        <v>294</v>
      </c>
      <c r="N30" s="193">
        <f>Sitio!$E$3</f>
        <v>0</v>
      </c>
      <c r="O30" s="193"/>
      <c r="P30" s="193"/>
      <c r="Q30" s="193"/>
      <c r="R30" s="194"/>
      <c r="S30" s="121" t="s">
        <v>294</v>
      </c>
      <c r="T30" s="193">
        <f>Sitio!$E$3</f>
        <v>0</v>
      </c>
      <c r="U30" s="193"/>
      <c r="V30" s="193"/>
      <c r="W30" s="193"/>
      <c r="X30" s="194"/>
      <c r="Y30"/>
    </row>
    <row r="31" spans="1:25" ht="9.75" customHeight="1" x14ac:dyDescent="0.25">
      <c r="A31" s="121" t="s">
        <v>295</v>
      </c>
      <c r="C31" s="193" t="str">
        <f>VLOOKUP(B33,Preenchimento!$A:$BV,2,0)</f>
        <v>UUE 2</v>
      </c>
      <c r="D31" s="193" t="e">
        <f>VLOOKUP(C33,Preenchimento!$A:$BV,2,0)</f>
        <v>#N/A</v>
      </c>
      <c r="E31" s="193" t="e">
        <f>VLOOKUP(D33,Preenchimento!$A:$BV,2,0)</f>
        <v>#N/A</v>
      </c>
      <c r="F31" s="194" t="e">
        <f>VLOOKUP(E33,Preenchimento!$A:$BV,2,0)</f>
        <v>#N/A</v>
      </c>
      <c r="G31" s="121" t="s">
        <v>295</v>
      </c>
      <c r="I31" s="193" t="e">
        <f>VLOOKUP(H33,Preenchimento!$A:$BV,2,0)</f>
        <v>#N/A</v>
      </c>
      <c r="J31" s="193" t="e">
        <f>VLOOKUP(I33,Preenchimento!$A:$BV,2,0)</f>
        <v>#N/A</v>
      </c>
      <c r="K31" s="193" t="e">
        <f>VLOOKUP(J33,Preenchimento!$A:$BV,2,0)</f>
        <v>#N/A</v>
      </c>
      <c r="L31" s="194" t="e">
        <f>VLOOKUP(K33,Preenchimento!$A:$BV,2,0)</f>
        <v>#N/A</v>
      </c>
      <c r="M31" s="121" t="s">
        <v>295</v>
      </c>
      <c r="O31" s="193" t="e">
        <f>VLOOKUP(N33,Preenchimento!$A:$BV,2,0)</f>
        <v>#N/A</v>
      </c>
      <c r="P31" s="193" t="e">
        <f>VLOOKUP(O33,Preenchimento!$A:$BV,2,0)</f>
        <v>#N/A</v>
      </c>
      <c r="Q31" s="193" t="e">
        <f>VLOOKUP(P33,Preenchimento!$A:$BV,2,0)</f>
        <v>#N/A</v>
      </c>
      <c r="R31" s="194" t="e">
        <f>VLOOKUP(Q33,Preenchimento!$A:$BV,2,0)</f>
        <v>#N/A</v>
      </c>
      <c r="S31" s="121" t="s">
        <v>295</v>
      </c>
      <c r="U31" s="193" t="e">
        <f>VLOOKUP(T33,Preenchimento!$A:$BV,2,0)</f>
        <v>#N/A</v>
      </c>
      <c r="V31" s="193" t="e">
        <f>VLOOKUP(U33,Preenchimento!$A:$BV,2,0)</f>
        <v>#N/A</v>
      </c>
      <c r="W31" s="193" t="e">
        <f>VLOOKUP(V33,Preenchimento!$A:$BV,2,0)</f>
        <v>#N/A</v>
      </c>
      <c r="X31" s="194" t="e">
        <f>VLOOKUP(W33,Preenchimento!$A:$BV,2,0)</f>
        <v>#N/A</v>
      </c>
      <c r="Y31"/>
    </row>
    <row r="32" spans="1:25" ht="9.75" customHeight="1" x14ac:dyDescent="0.25">
      <c r="A32" s="121" t="s">
        <v>296</v>
      </c>
      <c r="B32" s="193" t="str">
        <f>VLOOKUP(B33,Preenchimento!$A:$BV,3,0)</f>
        <v>30-40cm</v>
      </c>
      <c r="C32" s="193" t="e">
        <f>VLOOKUP(C33,Preenchimento!$A:$BV,3,0)</f>
        <v>#N/A</v>
      </c>
      <c r="D32" s="120" t="s">
        <v>297</v>
      </c>
      <c r="E32" s="197">
        <f>VLOOKUP(B33,Preenchimento!$A:$BV,5,0)</f>
        <v>45191</v>
      </c>
      <c r="F32" s="198" t="e">
        <f>VLOOKUP(C33,Preenchimento!$A:$BV,5,0)</f>
        <v>#N/A</v>
      </c>
      <c r="G32" s="121" t="s">
        <v>296</v>
      </c>
      <c r="H32" s="193" t="e">
        <f>VLOOKUP(H33,Preenchimento!$A:$BV,3,0)</f>
        <v>#N/A</v>
      </c>
      <c r="I32" s="193" t="e">
        <f>VLOOKUP(I33,Preenchimento!$A:$BV,3,0)</f>
        <v>#N/A</v>
      </c>
      <c r="J32" s="120" t="s">
        <v>297</v>
      </c>
      <c r="K32" s="197" t="e">
        <f>VLOOKUP(H33,Preenchimento!$A:$BV,5,0)</f>
        <v>#N/A</v>
      </c>
      <c r="L32" s="198" t="e">
        <f>VLOOKUP(I33,Preenchimento!$A:$BV,5,0)</f>
        <v>#N/A</v>
      </c>
      <c r="M32" s="121" t="s">
        <v>296</v>
      </c>
      <c r="N32" s="193" t="e">
        <f>VLOOKUP(N33,Preenchimento!$A:$BV,3,0)</f>
        <v>#N/A</v>
      </c>
      <c r="O32" s="193" t="e">
        <f>VLOOKUP(O33,Preenchimento!$A:$BV,3,0)</f>
        <v>#N/A</v>
      </c>
      <c r="P32" s="120" t="s">
        <v>297</v>
      </c>
      <c r="Q32" s="197" t="e">
        <f>VLOOKUP(N33,Preenchimento!$A:$BV,5,0)</f>
        <v>#N/A</v>
      </c>
      <c r="R32" s="198" t="e">
        <f>VLOOKUP(O33,Preenchimento!$A:$BV,5,0)</f>
        <v>#N/A</v>
      </c>
      <c r="S32" s="121" t="s">
        <v>296</v>
      </c>
      <c r="T32" s="193" t="e">
        <f>VLOOKUP(T33,Preenchimento!$A:$BV,3,0)</f>
        <v>#N/A</v>
      </c>
      <c r="U32" s="193" t="e">
        <f>VLOOKUP(U33,Preenchimento!$A:$BV,3,0)</f>
        <v>#N/A</v>
      </c>
      <c r="V32" s="120" t="s">
        <v>297</v>
      </c>
      <c r="W32" s="197" t="e">
        <f>VLOOKUP(T33,Preenchimento!$A:$BV,5,0)</f>
        <v>#N/A</v>
      </c>
      <c r="X32" s="198" t="e">
        <f>VLOOKUP(U33,Preenchimento!$A:$BV,5,0)</f>
        <v>#N/A</v>
      </c>
      <c r="Y32"/>
    </row>
    <row r="33" spans="1:25" ht="9.75" customHeight="1" x14ac:dyDescent="0.25">
      <c r="A33" s="121" t="s">
        <v>298</v>
      </c>
      <c r="B33" s="193">
        <v>17</v>
      </c>
      <c r="C33" s="193"/>
      <c r="D33" s="120" t="s">
        <v>299</v>
      </c>
      <c r="F33" s="131" t="str">
        <f>VLOOKUP(B33,Preenchimento!$A:$BV,10,0)</f>
        <v xml:space="preserve"> -</v>
      </c>
      <c r="G33" s="121" t="s">
        <v>298</v>
      </c>
      <c r="H33" s="193"/>
      <c r="I33" s="193"/>
      <c r="J33" s="120" t="s">
        <v>299</v>
      </c>
      <c r="L33" s="131" t="e">
        <f>VLOOKUP(H33,Preenchimento!$A:$BV,10,0)</f>
        <v>#N/A</v>
      </c>
      <c r="M33" s="121" t="s">
        <v>298</v>
      </c>
      <c r="N33" s="193"/>
      <c r="O33" s="193"/>
      <c r="P33" s="120" t="s">
        <v>299</v>
      </c>
      <c r="R33" s="131" t="e">
        <f>VLOOKUP(N33,Preenchimento!$A:$BV,10,0)</f>
        <v>#N/A</v>
      </c>
      <c r="S33" s="121" t="s">
        <v>298</v>
      </c>
      <c r="T33" s="193"/>
      <c r="U33" s="193"/>
      <c r="V33" s="120" t="s">
        <v>299</v>
      </c>
      <c r="X33" s="131" t="e">
        <f>VLOOKUP(T33,Preenchimento!$A:$BV,10,0)</f>
        <v>#N/A</v>
      </c>
      <c r="Y33"/>
    </row>
    <row r="34" spans="1:25" ht="9.75" customHeight="1" x14ac:dyDescent="0.25">
      <c r="A34" s="121" t="s">
        <v>300</v>
      </c>
      <c r="C34" s="193" t="str">
        <f>VLOOKUP(B33,Preenchimento!$A:$BV,12,0)</f>
        <v>Osso</v>
      </c>
      <c r="D34" s="193" t="e">
        <f>VLOOKUP(C33,Preenchimento!$A:$BV,12,0)</f>
        <v>#N/A</v>
      </c>
      <c r="E34" s="193" t="e">
        <f>VLOOKUP(D33,Preenchimento!$A:$BV,12,0)</f>
        <v>#N/A</v>
      </c>
      <c r="F34" s="194" t="e">
        <f>VLOOKUP(E33,Preenchimento!$A:$BV,12,0)</f>
        <v>#N/A</v>
      </c>
      <c r="G34" s="121" t="s">
        <v>300</v>
      </c>
      <c r="I34" s="193" t="e">
        <f>VLOOKUP(H33,Preenchimento!$A:$BV,12,0)</f>
        <v>#N/A</v>
      </c>
      <c r="J34" s="193" t="e">
        <f>VLOOKUP(I33,Preenchimento!$A:$BV,12,0)</f>
        <v>#N/A</v>
      </c>
      <c r="K34" s="193" t="e">
        <f>VLOOKUP(J33,Preenchimento!$A:$BV,12,0)</f>
        <v>#N/A</v>
      </c>
      <c r="L34" s="194" t="e">
        <f>VLOOKUP(K33,Preenchimento!$A:$BV,12,0)</f>
        <v>#N/A</v>
      </c>
      <c r="M34" s="121" t="s">
        <v>300</v>
      </c>
      <c r="O34" s="193" t="e">
        <f>VLOOKUP(N33,Preenchimento!$A:$BV,12,0)</f>
        <v>#N/A</v>
      </c>
      <c r="P34" s="193" t="e">
        <f>VLOOKUP(O33,Preenchimento!$A:$BV,12,0)</f>
        <v>#N/A</v>
      </c>
      <c r="Q34" s="193" t="e">
        <f>VLOOKUP(P33,Preenchimento!$A:$BV,12,0)</f>
        <v>#N/A</v>
      </c>
      <c r="R34" s="194" t="e">
        <f>VLOOKUP(Q33,Preenchimento!$A:$BV,12,0)</f>
        <v>#N/A</v>
      </c>
      <c r="S34" s="121" t="s">
        <v>300</v>
      </c>
      <c r="U34" s="193" t="e">
        <f>VLOOKUP(T33,Preenchimento!$A:$BV,12,0)</f>
        <v>#N/A</v>
      </c>
      <c r="V34" s="193" t="e">
        <f>VLOOKUP(U33,Preenchimento!$A:$BV,12,0)</f>
        <v>#N/A</v>
      </c>
      <c r="W34" s="193" t="e">
        <f>VLOOKUP(V33,Preenchimento!$A:$BV,12,0)</f>
        <v>#N/A</v>
      </c>
      <c r="X34" s="194" t="e">
        <f>VLOOKUP(W33,Preenchimento!$A:$BV,12,0)</f>
        <v>#N/A</v>
      </c>
      <c r="Y34"/>
    </row>
    <row r="35" spans="1:25" ht="9.75" customHeight="1" x14ac:dyDescent="0.25">
      <c r="A35" s="123" t="s">
        <v>301</v>
      </c>
      <c r="B35" s="195" t="str">
        <f>IF(VLOOKUP(B33,Preenchimento!$A:$BV,11,0)=0,"",VLOOKUP(B33,Preenchimento!$A:$BV,11,0))</f>
        <v/>
      </c>
      <c r="C35" s="195"/>
      <c r="D35" s="195"/>
      <c r="E35" s="195"/>
      <c r="F35" s="196"/>
      <c r="G35" s="123" t="s">
        <v>301</v>
      </c>
      <c r="H35" s="195" t="e">
        <f>IF(VLOOKUP(H33,Preenchimento!$A:$BV,11,0)=0,"",VLOOKUP(H33,Preenchimento!$A:$BV,11,0))</f>
        <v>#N/A</v>
      </c>
      <c r="I35" s="195"/>
      <c r="J35" s="195"/>
      <c r="K35" s="195"/>
      <c r="L35" s="196"/>
      <c r="M35" s="123" t="s">
        <v>301</v>
      </c>
      <c r="N35" s="195" t="e">
        <f>IF(VLOOKUP(N33,Preenchimento!$A:$BV,11,0)=0,"",VLOOKUP(N33,Preenchimento!$A:$BV,11,0))</f>
        <v>#N/A</v>
      </c>
      <c r="O35" s="195"/>
      <c r="P35" s="195"/>
      <c r="Q35" s="195"/>
      <c r="R35" s="196"/>
      <c r="S35" s="123" t="s">
        <v>301</v>
      </c>
      <c r="T35" s="195" t="e">
        <f>IF(VLOOKUP(T33,Preenchimento!$A:$BV,11,0)=0,"",VLOOKUP(T33,Preenchimento!$A:$BV,11,0))</f>
        <v>#N/A</v>
      </c>
      <c r="U35" s="195"/>
      <c r="V35" s="195"/>
      <c r="W35" s="195"/>
      <c r="X35" s="196"/>
      <c r="Y35"/>
    </row>
    <row r="36" spans="1:25" s="130" customFormat="1" ht="33.950000000000003" customHeight="1" x14ac:dyDescent="0.25">
      <c r="A36" s="199" t="str">
        <f>Sitio!$A$3</f>
        <v>Projeto 01</v>
      </c>
      <c r="B36" s="200"/>
      <c r="C36" s="200"/>
      <c r="D36" s="200"/>
      <c r="E36" s="200"/>
      <c r="F36" s="201"/>
      <c r="G36" s="199" t="str">
        <f>Sitio!$A$3</f>
        <v>Projeto 01</v>
      </c>
      <c r="H36" s="200"/>
      <c r="I36" s="200"/>
      <c r="J36" s="200"/>
      <c r="K36" s="200"/>
      <c r="L36" s="201"/>
      <c r="M36" s="199" t="str">
        <f>Sitio!$A$3</f>
        <v>Projeto 01</v>
      </c>
      <c r="N36" s="200"/>
      <c r="O36" s="200"/>
      <c r="P36" s="200"/>
      <c r="Q36" s="200"/>
      <c r="R36" s="201"/>
      <c r="S36" s="199" t="str">
        <f>Sitio!$A$3</f>
        <v>Projeto 01</v>
      </c>
      <c r="T36" s="200"/>
      <c r="U36" s="200"/>
      <c r="V36" s="200"/>
      <c r="W36" s="200"/>
      <c r="X36" s="201"/>
      <c r="Y36" s="129"/>
    </row>
    <row r="37" spans="1:25" ht="9.75" customHeight="1" x14ac:dyDescent="0.25">
      <c r="A37" s="121" t="s">
        <v>294</v>
      </c>
      <c r="B37" s="193">
        <f>Sitio!$E$3</f>
        <v>0</v>
      </c>
      <c r="C37" s="193"/>
      <c r="D37" s="193"/>
      <c r="E37" s="193"/>
      <c r="F37" s="194"/>
      <c r="G37" s="121" t="s">
        <v>294</v>
      </c>
      <c r="H37" s="193">
        <f>Sitio!$E$3</f>
        <v>0</v>
      </c>
      <c r="I37" s="193"/>
      <c r="J37" s="193"/>
      <c r="K37" s="193"/>
      <c r="L37" s="194"/>
      <c r="M37" s="121" t="s">
        <v>294</v>
      </c>
      <c r="N37" s="193">
        <f>Sitio!$E$3</f>
        <v>0</v>
      </c>
      <c r="O37" s="193"/>
      <c r="P37" s="193"/>
      <c r="Q37" s="193"/>
      <c r="R37" s="194"/>
      <c r="S37" s="121" t="s">
        <v>294</v>
      </c>
      <c r="T37" s="193">
        <f>Sitio!$E$3</f>
        <v>0</v>
      </c>
      <c r="U37" s="193"/>
      <c r="V37" s="193"/>
      <c r="W37" s="193"/>
      <c r="X37" s="194"/>
      <c r="Y37"/>
    </row>
    <row r="38" spans="1:25" ht="9.75" customHeight="1" x14ac:dyDescent="0.25">
      <c r="A38" s="121" t="s">
        <v>295</v>
      </c>
      <c r="C38" s="193" t="e">
        <f>VLOOKUP(B40,Preenchimento!$A:$BV,2,0)</f>
        <v>#N/A</v>
      </c>
      <c r="D38" s="193" t="e">
        <f>VLOOKUP(C40,Preenchimento!$A:$BV,2,0)</f>
        <v>#N/A</v>
      </c>
      <c r="E38" s="193" t="e">
        <f>VLOOKUP(D40,Preenchimento!$A:$BV,2,0)</f>
        <v>#N/A</v>
      </c>
      <c r="F38" s="194" t="e">
        <f>VLOOKUP(E40,Preenchimento!$A:$BV,2,0)</f>
        <v>#N/A</v>
      </c>
      <c r="G38" s="121" t="s">
        <v>295</v>
      </c>
      <c r="I38" s="193" t="e">
        <f>VLOOKUP(H40,Preenchimento!$A:$BV,2,0)</f>
        <v>#N/A</v>
      </c>
      <c r="J38" s="193" t="e">
        <f>VLOOKUP(I40,Preenchimento!$A:$BV,2,0)</f>
        <v>#N/A</v>
      </c>
      <c r="K38" s="193" t="e">
        <f>VLOOKUP(J40,Preenchimento!$A:$BV,2,0)</f>
        <v>#N/A</v>
      </c>
      <c r="L38" s="194" t="e">
        <f>VLOOKUP(K40,Preenchimento!$A:$BV,2,0)</f>
        <v>#N/A</v>
      </c>
      <c r="M38" s="121" t="s">
        <v>295</v>
      </c>
      <c r="O38" s="193" t="e">
        <f>VLOOKUP(N40,Preenchimento!$A:$BV,2,0)</f>
        <v>#N/A</v>
      </c>
      <c r="P38" s="193" t="e">
        <f>VLOOKUP(O40,Preenchimento!$A:$BV,2,0)</f>
        <v>#N/A</v>
      </c>
      <c r="Q38" s="193" t="e">
        <f>VLOOKUP(P40,Preenchimento!$A:$BV,2,0)</f>
        <v>#N/A</v>
      </c>
      <c r="R38" s="194" t="e">
        <f>VLOOKUP(Q40,Preenchimento!$A:$BV,2,0)</f>
        <v>#N/A</v>
      </c>
      <c r="S38" s="121" t="s">
        <v>295</v>
      </c>
      <c r="U38" s="193" t="e">
        <f>VLOOKUP(T40,Preenchimento!$A:$BV,2,0)</f>
        <v>#N/A</v>
      </c>
      <c r="V38" s="193" t="e">
        <f>VLOOKUP(U40,Preenchimento!$A:$BV,2,0)</f>
        <v>#N/A</v>
      </c>
      <c r="W38" s="193" t="e">
        <f>VLOOKUP(V40,Preenchimento!$A:$BV,2,0)</f>
        <v>#N/A</v>
      </c>
      <c r="X38" s="194" t="e">
        <f>VLOOKUP(W40,Preenchimento!$A:$BV,2,0)</f>
        <v>#N/A</v>
      </c>
      <c r="Y38"/>
    </row>
    <row r="39" spans="1:25" ht="9.75" customHeight="1" x14ac:dyDescent="0.25">
      <c r="A39" s="121" t="s">
        <v>296</v>
      </c>
      <c r="B39" s="193" t="e">
        <f>VLOOKUP(B40,Preenchimento!$A:$BV,3,0)</f>
        <v>#N/A</v>
      </c>
      <c r="C39" s="193" t="e">
        <f>VLOOKUP(C40,Preenchimento!$A:$BV,3,0)</f>
        <v>#N/A</v>
      </c>
      <c r="D39" s="120" t="s">
        <v>297</v>
      </c>
      <c r="E39" s="197" t="e">
        <f>VLOOKUP(B40,Preenchimento!$A:$BV,5,0)</f>
        <v>#N/A</v>
      </c>
      <c r="F39" s="198" t="e">
        <f>VLOOKUP(C40,Preenchimento!$A:$BV,5,0)</f>
        <v>#N/A</v>
      </c>
      <c r="G39" s="121" t="s">
        <v>296</v>
      </c>
      <c r="H39" s="193" t="e">
        <f>VLOOKUP(H40,Preenchimento!$A:$BV,3,0)</f>
        <v>#N/A</v>
      </c>
      <c r="I39" s="193" t="e">
        <f>VLOOKUP(I40,Preenchimento!$A:$BV,3,0)</f>
        <v>#N/A</v>
      </c>
      <c r="J39" s="120" t="s">
        <v>297</v>
      </c>
      <c r="K39" s="197" t="e">
        <f>VLOOKUP(H40,Preenchimento!$A:$BV,5,0)</f>
        <v>#N/A</v>
      </c>
      <c r="L39" s="198" t="e">
        <f>VLOOKUP(I40,Preenchimento!$A:$BV,5,0)</f>
        <v>#N/A</v>
      </c>
      <c r="M39" s="121" t="s">
        <v>296</v>
      </c>
      <c r="N39" s="193" t="e">
        <f>VLOOKUP(N40,Preenchimento!$A:$BV,3,0)</f>
        <v>#N/A</v>
      </c>
      <c r="O39" s="193" t="e">
        <f>VLOOKUP(O40,Preenchimento!$A:$BV,3,0)</f>
        <v>#N/A</v>
      </c>
      <c r="P39" s="120" t="s">
        <v>297</v>
      </c>
      <c r="Q39" s="197" t="e">
        <f>VLOOKUP(N40,Preenchimento!$A:$BV,5,0)</f>
        <v>#N/A</v>
      </c>
      <c r="R39" s="198" t="e">
        <f>VLOOKUP(O40,Preenchimento!$A:$BV,5,0)</f>
        <v>#N/A</v>
      </c>
      <c r="S39" s="121" t="s">
        <v>296</v>
      </c>
      <c r="T39" s="193" t="e">
        <f>VLOOKUP(T40,Preenchimento!$A:$BV,3,0)</f>
        <v>#N/A</v>
      </c>
      <c r="U39" s="193" t="e">
        <f>VLOOKUP(U40,Preenchimento!$A:$BV,3,0)</f>
        <v>#N/A</v>
      </c>
      <c r="V39" s="120" t="s">
        <v>297</v>
      </c>
      <c r="W39" s="197" t="e">
        <f>VLOOKUP(T40,Preenchimento!$A:$BV,5,0)</f>
        <v>#N/A</v>
      </c>
      <c r="X39" s="198" t="e">
        <f>VLOOKUP(U40,Preenchimento!$A:$BV,5,0)</f>
        <v>#N/A</v>
      </c>
      <c r="Y39"/>
    </row>
    <row r="40" spans="1:25" ht="9.75" customHeight="1" x14ac:dyDescent="0.25">
      <c r="A40" s="121" t="s">
        <v>298</v>
      </c>
      <c r="B40" s="193"/>
      <c r="C40" s="193"/>
      <c r="D40" s="120" t="s">
        <v>299</v>
      </c>
      <c r="F40" s="131" t="e">
        <f>VLOOKUP(B40,Preenchimento!$A:$BV,10,0)</f>
        <v>#N/A</v>
      </c>
      <c r="G40" s="121" t="s">
        <v>298</v>
      </c>
      <c r="H40" s="193"/>
      <c r="I40" s="193"/>
      <c r="J40" s="120" t="s">
        <v>299</v>
      </c>
      <c r="L40" s="131" t="e">
        <f>VLOOKUP(H40,Preenchimento!$A:$BV,10,0)</f>
        <v>#N/A</v>
      </c>
      <c r="M40" s="121" t="s">
        <v>298</v>
      </c>
      <c r="N40" s="193"/>
      <c r="O40" s="193"/>
      <c r="P40" s="120" t="s">
        <v>299</v>
      </c>
      <c r="R40" s="131" t="e">
        <f>VLOOKUP(N40,Preenchimento!$A:$BV,10,0)</f>
        <v>#N/A</v>
      </c>
      <c r="S40" s="121" t="s">
        <v>298</v>
      </c>
      <c r="T40" s="193"/>
      <c r="U40" s="193"/>
      <c r="V40" s="120" t="s">
        <v>299</v>
      </c>
      <c r="X40" s="131" t="e">
        <f>VLOOKUP(T40,Preenchimento!$A:$BV,10,0)</f>
        <v>#N/A</v>
      </c>
      <c r="Y40"/>
    </row>
    <row r="41" spans="1:25" ht="9.75" customHeight="1" x14ac:dyDescent="0.25">
      <c r="A41" s="121" t="s">
        <v>300</v>
      </c>
      <c r="C41" s="193" t="e">
        <f>VLOOKUP(B40,Preenchimento!$A:$BV,12,0)</f>
        <v>#N/A</v>
      </c>
      <c r="D41" s="193" t="e">
        <f>VLOOKUP(C40,Preenchimento!$A:$BV,12,0)</f>
        <v>#N/A</v>
      </c>
      <c r="E41" s="193" t="e">
        <f>VLOOKUP(D40,Preenchimento!$A:$BV,12,0)</f>
        <v>#N/A</v>
      </c>
      <c r="F41" s="194" t="e">
        <f>VLOOKUP(E40,Preenchimento!$A:$BV,12,0)</f>
        <v>#N/A</v>
      </c>
      <c r="G41" s="121" t="s">
        <v>300</v>
      </c>
      <c r="I41" s="193" t="e">
        <f>VLOOKUP(H40,Preenchimento!$A:$BV,12,0)</f>
        <v>#N/A</v>
      </c>
      <c r="J41" s="193" t="e">
        <f>VLOOKUP(I40,Preenchimento!$A:$BV,12,0)</f>
        <v>#N/A</v>
      </c>
      <c r="K41" s="193" t="e">
        <f>VLOOKUP(J40,Preenchimento!$A:$BV,12,0)</f>
        <v>#N/A</v>
      </c>
      <c r="L41" s="194" t="e">
        <f>VLOOKUP(K40,Preenchimento!$A:$BV,12,0)</f>
        <v>#N/A</v>
      </c>
      <c r="M41" s="121" t="s">
        <v>300</v>
      </c>
      <c r="O41" s="193" t="e">
        <f>VLOOKUP(N40,Preenchimento!$A:$BV,12,0)</f>
        <v>#N/A</v>
      </c>
      <c r="P41" s="193" t="e">
        <f>VLOOKUP(O40,Preenchimento!$A:$BV,12,0)</f>
        <v>#N/A</v>
      </c>
      <c r="Q41" s="193" t="e">
        <f>VLOOKUP(P40,Preenchimento!$A:$BV,12,0)</f>
        <v>#N/A</v>
      </c>
      <c r="R41" s="194" t="e">
        <f>VLOOKUP(Q40,Preenchimento!$A:$BV,12,0)</f>
        <v>#N/A</v>
      </c>
      <c r="S41" s="121" t="s">
        <v>300</v>
      </c>
      <c r="U41" s="193" t="e">
        <f>VLOOKUP(T40,Preenchimento!$A:$BV,12,0)</f>
        <v>#N/A</v>
      </c>
      <c r="V41" s="193" t="e">
        <f>VLOOKUP(U40,Preenchimento!$A:$BV,12,0)</f>
        <v>#N/A</v>
      </c>
      <c r="W41" s="193" t="e">
        <f>VLOOKUP(V40,Preenchimento!$A:$BV,12,0)</f>
        <v>#N/A</v>
      </c>
      <c r="X41" s="194" t="e">
        <f>VLOOKUP(W40,Preenchimento!$A:$BV,12,0)</f>
        <v>#N/A</v>
      </c>
      <c r="Y41"/>
    </row>
    <row r="42" spans="1:25" ht="9.75" customHeight="1" x14ac:dyDescent="0.25">
      <c r="A42" s="123" t="s">
        <v>301</v>
      </c>
      <c r="B42" s="195" t="e">
        <f>IF(VLOOKUP(B40,Preenchimento!$A:$BV,11,0)=0,"",VLOOKUP(B40,Preenchimento!$A:$BV,11,0))</f>
        <v>#N/A</v>
      </c>
      <c r="C42" s="195"/>
      <c r="D42" s="195"/>
      <c r="E42" s="195"/>
      <c r="F42" s="196"/>
      <c r="G42" s="123" t="s">
        <v>301</v>
      </c>
      <c r="H42" s="195" t="e">
        <f>IF(VLOOKUP(H40,Preenchimento!$A:$BV,11,0)=0,"",VLOOKUP(H40,Preenchimento!$A:$BV,11,0))</f>
        <v>#N/A</v>
      </c>
      <c r="I42" s="195"/>
      <c r="J42" s="195"/>
      <c r="K42" s="195"/>
      <c r="L42" s="196"/>
      <c r="M42" s="123" t="s">
        <v>301</v>
      </c>
      <c r="N42" s="195" t="e">
        <f>IF(VLOOKUP(N40,Preenchimento!$A:$BV,11,0)=0,"",VLOOKUP(N40,Preenchimento!$A:$BV,11,0))</f>
        <v>#N/A</v>
      </c>
      <c r="O42" s="195"/>
      <c r="P42" s="195"/>
      <c r="Q42" s="195"/>
      <c r="R42" s="196"/>
      <c r="S42" s="123" t="s">
        <v>301</v>
      </c>
      <c r="T42" s="195" t="e">
        <f>IF(VLOOKUP(T40,Preenchimento!$A:$BV,11,0)=0,"",VLOOKUP(T40,Preenchimento!$A:$BV,11,0))</f>
        <v>#N/A</v>
      </c>
      <c r="U42" s="195"/>
      <c r="V42" s="195"/>
      <c r="W42" s="195"/>
      <c r="X42" s="196"/>
      <c r="Y42"/>
    </row>
    <row r="43" spans="1:25" s="130" customFormat="1" ht="33.950000000000003" customHeight="1" x14ac:dyDescent="0.25">
      <c r="A43" s="199" t="str">
        <f>Sitio!$A$3</f>
        <v>Projeto 01</v>
      </c>
      <c r="B43" s="200"/>
      <c r="C43" s="200"/>
      <c r="D43" s="200"/>
      <c r="E43" s="200"/>
      <c r="F43" s="201"/>
      <c r="G43" s="199" t="str">
        <f>Sitio!$A$3</f>
        <v>Projeto 01</v>
      </c>
      <c r="H43" s="200"/>
      <c r="I43" s="200"/>
      <c r="J43" s="200"/>
      <c r="K43" s="200"/>
      <c r="L43" s="201"/>
      <c r="M43" s="199" t="str">
        <f>Sitio!$A$3</f>
        <v>Projeto 01</v>
      </c>
      <c r="N43" s="200"/>
      <c r="O43" s="200"/>
      <c r="P43" s="200"/>
      <c r="Q43" s="200"/>
      <c r="R43" s="201"/>
      <c r="S43" s="199" t="str">
        <f>Sitio!$A$3</f>
        <v>Projeto 01</v>
      </c>
      <c r="T43" s="200"/>
      <c r="U43" s="200"/>
      <c r="V43" s="200"/>
      <c r="W43" s="200"/>
      <c r="X43" s="201"/>
    </row>
    <row r="44" spans="1:25" ht="9.75" customHeight="1" x14ac:dyDescent="0.15">
      <c r="A44" s="121" t="s">
        <v>294</v>
      </c>
      <c r="B44" s="193">
        <f>Sitio!$E$3</f>
        <v>0</v>
      </c>
      <c r="C44" s="193"/>
      <c r="D44" s="193"/>
      <c r="E44" s="193"/>
      <c r="F44" s="194"/>
      <c r="G44" s="121" t="s">
        <v>294</v>
      </c>
      <c r="H44" s="193">
        <f>Sitio!$E$3</f>
        <v>0</v>
      </c>
      <c r="I44" s="193"/>
      <c r="J44" s="193"/>
      <c r="K44" s="193"/>
      <c r="L44" s="194"/>
      <c r="M44" s="121" t="s">
        <v>294</v>
      </c>
      <c r="N44" s="193">
        <f>Sitio!$E$3</f>
        <v>0</v>
      </c>
      <c r="O44" s="193"/>
      <c r="P44" s="193"/>
      <c r="Q44" s="193"/>
      <c r="R44" s="194"/>
      <c r="S44" s="121" t="s">
        <v>294</v>
      </c>
      <c r="T44" s="193">
        <f>Sitio!$E$3</f>
        <v>0</v>
      </c>
      <c r="U44" s="193"/>
      <c r="V44" s="193"/>
      <c r="W44" s="193"/>
      <c r="X44" s="194"/>
    </row>
    <row r="45" spans="1:25" ht="9.75" customHeight="1" x14ac:dyDescent="0.15">
      <c r="A45" s="121" t="s">
        <v>295</v>
      </c>
      <c r="C45" s="193" t="e">
        <f>VLOOKUP(B47,Preenchimento!$A:$BV,2,0)</f>
        <v>#N/A</v>
      </c>
      <c r="D45" s="193" t="e">
        <f>VLOOKUP(C47,Preenchimento!$A:$BV,2,0)</f>
        <v>#N/A</v>
      </c>
      <c r="E45" s="193" t="e">
        <f>VLOOKUP(D47,Preenchimento!$A:$BV,2,0)</f>
        <v>#N/A</v>
      </c>
      <c r="F45" s="194" t="e">
        <f>VLOOKUP(E47,Preenchimento!$A:$BV,2,0)</f>
        <v>#N/A</v>
      </c>
      <c r="G45" s="121" t="s">
        <v>295</v>
      </c>
      <c r="I45" s="193" t="e">
        <f>VLOOKUP(H47,Preenchimento!$A:$BV,2,0)</f>
        <v>#N/A</v>
      </c>
      <c r="J45" s="193" t="e">
        <f>VLOOKUP(I47,Preenchimento!$A:$BV,2,0)</f>
        <v>#N/A</v>
      </c>
      <c r="K45" s="193" t="e">
        <f>VLOOKUP(J47,Preenchimento!$A:$BV,2,0)</f>
        <v>#N/A</v>
      </c>
      <c r="L45" s="194" t="e">
        <f>VLOOKUP(K47,Preenchimento!$A:$BV,2,0)</f>
        <v>#N/A</v>
      </c>
      <c r="M45" s="121" t="s">
        <v>295</v>
      </c>
      <c r="O45" s="193" t="e">
        <f>VLOOKUP(N47,Preenchimento!$A:$BV,2,0)</f>
        <v>#N/A</v>
      </c>
      <c r="P45" s="193" t="e">
        <f>VLOOKUP(O47,Preenchimento!$A:$BV,2,0)</f>
        <v>#N/A</v>
      </c>
      <c r="Q45" s="193" t="e">
        <f>VLOOKUP(P47,Preenchimento!$A:$BV,2,0)</f>
        <v>#N/A</v>
      </c>
      <c r="R45" s="194" t="e">
        <f>VLOOKUP(Q47,Preenchimento!$A:$BV,2,0)</f>
        <v>#N/A</v>
      </c>
      <c r="S45" s="121" t="s">
        <v>295</v>
      </c>
      <c r="U45" s="193" t="e">
        <f>VLOOKUP(T47,Preenchimento!$A:$BV,2,0)</f>
        <v>#N/A</v>
      </c>
      <c r="V45" s="193" t="e">
        <f>VLOOKUP(U47,Preenchimento!$A:$BV,2,0)</f>
        <v>#N/A</v>
      </c>
      <c r="W45" s="193" t="e">
        <f>VLOOKUP(V47,Preenchimento!$A:$BV,2,0)</f>
        <v>#N/A</v>
      </c>
      <c r="X45" s="194" t="e">
        <f>VLOOKUP(W47,Preenchimento!$A:$BV,2,0)</f>
        <v>#N/A</v>
      </c>
    </row>
    <row r="46" spans="1:25" ht="9.75" customHeight="1" x14ac:dyDescent="0.15">
      <c r="A46" s="121" t="s">
        <v>296</v>
      </c>
      <c r="B46" s="193" t="e">
        <f>VLOOKUP(B47,Preenchimento!$A:$BV,3,0)</f>
        <v>#N/A</v>
      </c>
      <c r="C46" s="193" t="e">
        <f>VLOOKUP(C47,Preenchimento!$A:$BV,3,0)</f>
        <v>#N/A</v>
      </c>
      <c r="D46" s="120" t="s">
        <v>297</v>
      </c>
      <c r="E46" s="197" t="e">
        <f>VLOOKUP(B47,Preenchimento!$A:$BV,5,0)</f>
        <v>#N/A</v>
      </c>
      <c r="F46" s="198" t="e">
        <f>VLOOKUP(C47,Preenchimento!$A:$BV,5,0)</f>
        <v>#N/A</v>
      </c>
      <c r="G46" s="121" t="s">
        <v>296</v>
      </c>
      <c r="H46" s="193" t="e">
        <f>VLOOKUP(H47,Preenchimento!$A:$BV,3,0)</f>
        <v>#N/A</v>
      </c>
      <c r="I46" s="193" t="e">
        <f>VLOOKUP(I47,Preenchimento!$A:$BV,3,0)</f>
        <v>#N/A</v>
      </c>
      <c r="J46" s="120" t="s">
        <v>297</v>
      </c>
      <c r="K46" s="197" t="e">
        <f>VLOOKUP(H47,Preenchimento!$A:$BV,5,0)</f>
        <v>#N/A</v>
      </c>
      <c r="L46" s="198" t="e">
        <f>VLOOKUP(I47,Preenchimento!$A:$BV,5,0)</f>
        <v>#N/A</v>
      </c>
      <c r="M46" s="121" t="s">
        <v>296</v>
      </c>
      <c r="N46" s="193" t="e">
        <f>VLOOKUP(N47,Preenchimento!$A:$BV,3,0)</f>
        <v>#N/A</v>
      </c>
      <c r="O46" s="193" t="e">
        <f>VLOOKUP(O47,Preenchimento!$A:$BV,3,0)</f>
        <v>#N/A</v>
      </c>
      <c r="P46" s="120" t="s">
        <v>297</v>
      </c>
      <c r="Q46" s="197" t="e">
        <f>VLOOKUP(N47,Preenchimento!$A:$BV,5,0)</f>
        <v>#N/A</v>
      </c>
      <c r="R46" s="198" t="e">
        <f>VLOOKUP(O47,Preenchimento!$A:$BV,5,0)</f>
        <v>#N/A</v>
      </c>
      <c r="S46" s="121" t="s">
        <v>296</v>
      </c>
      <c r="T46" s="193" t="e">
        <f>VLOOKUP(T47,Preenchimento!$A:$BV,3,0)</f>
        <v>#N/A</v>
      </c>
      <c r="U46" s="193" t="e">
        <f>VLOOKUP(U47,Preenchimento!$A:$BV,3,0)</f>
        <v>#N/A</v>
      </c>
      <c r="V46" s="120" t="s">
        <v>297</v>
      </c>
      <c r="W46" s="197" t="e">
        <f>VLOOKUP(T47,Preenchimento!$A:$BV,5,0)</f>
        <v>#N/A</v>
      </c>
      <c r="X46" s="198" t="e">
        <f>VLOOKUP(U47,Preenchimento!$A:$BV,5,0)</f>
        <v>#N/A</v>
      </c>
    </row>
    <row r="47" spans="1:25" ht="9.75" customHeight="1" x14ac:dyDescent="0.15">
      <c r="A47" s="121" t="s">
        <v>298</v>
      </c>
      <c r="B47" s="193"/>
      <c r="C47" s="193"/>
      <c r="D47" s="120" t="s">
        <v>299</v>
      </c>
      <c r="F47" s="131" t="e">
        <f>VLOOKUP(B47,Preenchimento!$A:$BV,10,0)</f>
        <v>#N/A</v>
      </c>
      <c r="G47" s="121" t="s">
        <v>298</v>
      </c>
      <c r="H47" s="193"/>
      <c r="I47" s="193"/>
      <c r="J47" s="120" t="s">
        <v>299</v>
      </c>
      <c r="L47" s="131" t="e">
        <f>VLOOKUP(H47,Preenchimento!$A:$BV,10,0)</f>
        <v>#N/A</v>
      </c>
      <c r="M47" s="121" t="s">
        <v>298</v>
      </c>
      <c r="N47" s="193"/>
      <c r="O47" s="193"/>
      <c r="P47" s="120" t="s">
        <v>299</v>
      </c>
      <c r="R47" s="131" t="e">
        <f>VLOOKUP(N47,Preenchimento!$A:$BV,10,0)</f>
        <v>#N/A</v>
      </c>
      <c r="S47" s="121" t="s">
        <v>298</v>
      </c>
      <c r="T47" s="193"/>
      <c r="U47" s="193"/>
      <c r="V47" s="120" t="s">
        <v>299</v>
      </c>
      <c r="X47" s="131" t="e">
        <f>VLOOKUP(T47,Preenchimento!$A:$BV,10,0)</f>
        <v>#N/A</v>
      </c>
    </row>
    <row r="48" spans="1:25" ht="9.75" customHeight="1" x14ac:dyDescent="0.15">
      <c r="A48" s="121" t="s">
        <v>300</v>
      </c>
      <c r="C48" s="193" t="e">
        <f>VLOOKUP(B47,Preenchimento!$A:$BV,12,0)</f>
        <v>#N/A</v>
      </c>
      <c r="D48" s="193" t="e">
        <f>VLOOKUP(C47,Preenchimento!$A:$BV,12,0)</f>
        <v>#N/A</v>
      </c>
      <c r="E48" s="193" t="e">
        <f>VLOOKUP(D47,Preenchimento!$A:$BV,12,0)</f>
        <v>#N/A</v>
      </c>
      <c r="F48" s="194" t="e">
        <f>VLOOKUP(E47,Preenchimento!$A:$BV,12,0)</f>
        <v>#N/A</v>
      </c>
      <c r="G48" s="121" t="s">
        <v>300</v>
      </c>
      <c r="I48" s="193" t="e">
        <f>VLOOKUP(H47,Preenchimento!$A:$BV,12,0)</f>
        <v>#N/A</v>
      </c>
      <c r="J48" s="193" t="e">
        <f>VLOOKUP(I47,Preenchimento!$A:$BV,12,0)</f>
        <v>#N/A</v>
      </c>
      <c r="K48" s="193" t="e">
        <f>VLOOKUP(J47,Preenchimento!$A:$BV,12,0)</f>
        <v>#N/A</v>
      </c>
      <c r="L48" s="194" t="e">
        <f>VLOOKUP(K47,Preenchimento!$A:$BV,12,0)</f>
        <v>#N/A</v>
      </c>
      <c r="M48" s="121" t="s">
        <v>300</v>
      </c>
      <c r="O48" s="193" t="e">
        <f>VLOOKUP(N47,Preenchimento!$A:$BV,12,0)</f>
        <v>#N/A</v>
      </c>
      <c r="P48" s="193" t="e">
        <f>VLOOKUP(O47,Preenchimento!$A:$BV,12,0)</f>
        <v>#N/A</v>
      </c>
      <c r="Q48" s="193" t="e">
        <f>VLOOKUP(P47,Preenchimento!$A:$BV,12,0)</f>
        <v>#N/A</v>
      </c>
      <c r="R48" s="194" t="e">
        <f>VLOOKUP(Q47,Preenchimento!$A:$BV,12,0)</f>
        <v>#N/A</v>
      </c>
      <c r="S48" s="121" t="s">
        <v>300</v>
      </c>
      <c r="U48" s="193" t="e">
        <f>VLOOKUP(T47,Preenchimento!$A:$BV,12,0)</f>
        <v>#N/A</v>
      </c>
      <c r="V48" s="193" t="e">
        <f>VLOOKUP(U47,Preenchimento!$A:$BV,12,0)</f>
        <v>#N/A</v>
      </c>
      <c r="W48" s="193" t="e">
        <f>VLOOKUP(V47,Preenchimento!$A:$BV,12,0)</f>
        <v>#N/A</v>
      </c>
      <c r="X48" s="194" t="e">
        <f>VLOOKUP(W47,Preenchimento!$A:$BV,12,0)</f>
        <v>#N/A</v>
      </c>
    </row>
    <row r="49" spans="1:24" ht="9.75" customHeight="1" x14ac:dyDescent="0.15">
      <c r="A49" s="123" t="s">
        <v>301</v>
      </c>
      <c r="B49" s="195" t="e">
        <f>IF(VLOOKUP(B47,Preenchimento!$A:$BV,11,0)=0,"",VLOOKUP(B47,Preenchimento!$A:$BV,11,0))</f>
        <v>#N/A</v>
      </c>
      <c r="C49" s="195"/>
      <c r="D49" s="195"/>
      <c r="E49" s="195"/>
      <c r="F49" s="196"/>
      <c r="G49" s="123" t="s">
        <v>301</v>
      </c>
      <c r="H49" s="195" t="e">
        <f>IF(VLOOKUP(H47,Preenchimento!$A:$BV,11,0)=0,"",VLOOKUP(H47,Preenchimento!$A:$BV,11,0))</f>
        <v>#N/A</v>
      </c>
      <c r="I49" s="195"/>
      <c r="J49" s="195"/>
      <c r="K49" s="195"/>
      <c r="L49" s="196"/>
      <c r="M49" s="123" t="s">
        <v>301</v>
      </c>
      <c r="N49" s="195" t="e">
        <f>IF(VLOOKUP(N47,Preenchimento!$A:$BV,11,0)=0,"",VLOOKUP(N47,Preenchimento!$A:$BV,11,0))</f>
        <v>#N/A</v>
      </c>
      <c r="O49" s="195"/>
      <c r="P49" s="195"/>
      <c r="Q49" s="195"/>
      <c r="R49" s="196"/>
      <c r="S49" s="123" t="s">
        <v>301</v>
      </c>
      <c r="T49" s="195" t="e">
        <f>IF(VLOOKUP(T47,Preenchimento!$A:$BV,11,0)=0,"",VLOOKUP(T47,Preenchimento!$A:$BV,11,0))</f>
        <v>#N/A</v>
      </c>
      <c r="U49" s="195"/>
      <c r="V49" s="195"/>
      <c r="W49" s="195"/>
      <c r="X49" s="196"/>
    </row>
    <row r="50" spans="1:24" s="130" customFormat="1" ht="33.950000000000003" customHeight="1" x14ac:dyDescent="0.25">
      <c r="A50" s="199" t="str">
        <f>Sitio!$A$3</f>
        <v>Projeto 01</v>
      </c>
      <c r="B50" s="200"/>
      <c r="C50" s="200"/>
      <c r="D50" s="200"/>
      <c r="E50" s="200"/>
      <c r="F50" s="201"/>
      <c r="G50" s="199" t="str">
        <f>Sitio!$A$3</f>
        <v>Projeto 01</v>
      </c>
      <c r="H50" s="200"/>
      <c r="I50" s="200"/>
      <c r="J50" s="200"/>
      <c r="K50" s="200"/>
      <c r="L50" s="201"/>
      <c r="M50" s="199" t="str">
        <f>Sitio!$A$3</f>
        <v>Projeto 01</v>
      </c>
      <c r="N50" s="200"/>
      <c r="O50" s="200"/>
      <c r="P50" s="200"/>
      <c r="Q50" s="200"/>
      <c r="R50" s="201"/>
      <c r="S50" s="199" t="str">
        <f>Sitio!$A$3</f>
        <v>Projeto 01</v>
      </c>
      <c r="T50" s="200"/>
      <c r="U50" s="200"/>
      <c r="V50" s="200"/>
      <c r="W50" s="200"/>
      <c r="X50" s="201"/>
    </row>
    <row r="51" spans="1:24" ht="9.75" customHeight="1" x14ac:dyDescent="0.15">
      <c r="A51" s="121" t="s">
        <v>294</v>
      </c>
      <c r="B51" s="193">
        <f>Sitio!$E$3</f>
        <v>0</v>
      </c>
      <c r="C51" s="193"/>
      <c r="D51" s="193"/>
      <c r="E51" s="193"/>
      <c r="F51" s="194"/>
      <c r="G51" s="121" t="s">
        <v>294</v>
      </c>
      <c r="H51" s="193">
        <f>Sitio!$E$3</f>
        <v>0</v>
      </c>
      <c r="I51" s="193"/>
      <c r="J51" s="193"/>
      <c r="K51" s="193"/>
      <c r="L51" s="194"/>
      <c r="M51" s="121" t="s">
        <v>294</v>
      </c>
      <c r="N51" s="193">
        <f>Sitio!$E$3</f>
        <v>0</v>
      </c>
      <c r="O51" s="193"/>
      <c r="P51" s="193"/>
      <c r="Q51" s="193"/>
      <c r="R51" s="194"/>
      <c r="S51" s="121" t="s">
        <v>294</v>
      </c>
      <c r="T51" s="193">
        <f>Sitio!$E$3</f>
        <v>0</v>
      </c>
      <c r="U51" s="193"/>
      <c r="V51" s="193"/>
      <c r="W51" s="193"/>
      <c r="X51" s="194"/>
    </row>
    <row r="52" spans="1:24" ht="9.75" customHeight="1" x14ac:dyDescent="0.15">
      <c r="A52" s="121" t="s">
        <v>295</v>
      </c>
      <c r="C52" s="193" t="e">
        <f>VLOOKUP(B54,Preenchimento!$A:$BV,2,0)</f>
        <v>#N/A</v>
      </c>
      <c r="D52" s="193" t="e">
        <f>VLOOKUP(C54,Preenchimento!$A:$BV,2,0)</f>
        <v>#N/A</v>
      </c>
      <c r="E52" s="193" t="e">
        <f>VLOOKUP(D54,Preenchimento!$A:$BV,2,0)</f>
        <v>#N/A</v>
      </c>
      <c r="F52" s="194" t="e">
        <f>VLOOKUP(E54,Preenchimento!$A:$BV,2,0)</f>
        <v>#N/A</v>
      </c>
      <c r="G52" s="121" t="s">
        <v>295</v>
      </c>
      <c r="I52" s="193" t="e">
        <f>VLOOKUP(H54,Preenchimento!$A:$BV,2,0)</f>
        <v>#N/A</v>
      </c>
      <c r="J52" s="193" t="e">
        <f>VLOOKUP(I54,Preenchimento!$A:$BV,2,0)</f>
        <v>#N/A</v>
      </c>
      <c r="K52" s="193" t="e">
        <f>VLOOKUP(J54,Preenchimento!$A:$BV,2,0)</f>
        <v>#N/A</v>
      </c>
      <c r="L52" s="194" t="e">
        <f>VLOOKUP(K54,Preenchimento!$A:$BV,2,0)</f>
        <v>#N/A</v>
      </c>
      <c r="M52" s="121" t="s">
        <v>295</v>
      </c>
      <c r="O52" s="193" t="e">
        <f>VLOOKUP(N54,Preenchimento!$A:$BV,2,0)</f>
        <v>#N/A</v>
      </c>
      <c r="P52" s="193" t="e">
        <f>VLOOKUP(O54,Preenchimento!$A:$BV,2,0)</f>
        <v>#N/A</v>
      </c>
      <c r="Q52" s="193" t="e">
        <f>VLOOKUP(P54,Preenchimento!$A:$BV,2,0)</f>
        <v>#N/A</v>
      </c>
      <c r="R52" s="194" t="e">
        <f>VLOOKUP(Q54,Preenchimento!$A:$BV,2,0)</f>
        <v>#N/A</v>
      </c>
      <c r="S52" s="121" t="s">
        <v>295</v>
      </c>
      <c r="U52" s="193" t="e">
        <f>VLOOKUP(T54,Preenchimento!$A:$BV,2,0)</f>
        <v>#N/A</v>
      </c>
      <c r="V52" s="193" t="e">
        <f>VLOOKUP(U54,Preenchimento!$A:$BV,2,0)</f>
        <v>#N/A</v>
      </c>
      <c r="W52" s="193" t="e">
        <f>VLOOKUP(V54,Preenchimento!$A:$BV,2,0)</f>
        <v>#N/A</v>
      </c>
      <c r="X52" s="194" t="e">
        <f>VLOOKUP(W54,Preenchimento!$A:$BV,2,0)</f>
        <v>#N/A</v>
      </c>
    </row>
    <row r="53" spans="1:24" ht="9.75" customHeight="1" x14ac:dyDescent="0.15">
      <c r="A53" s="121" t="s">
        <v>296</v>
      </c>
      <c r="B53" s="193" t="e">
        <f>VLOOKUP(B54,Preenchimento!$A:$BV,3,0)</f>
        <v>#N/A</v>
      </c>
      <c r="C53" s="193" t="e">
        <f>VLOOKUP(C54,Preenchimento!$A:$BV,3,0)</f>
        <v>#N/A</v>
      </c>
      <c r="D53" s="120" t="s">
        <v>297</v>
      </c>
      <c r="E53" s="197" t="e">
        <f>VLOOKUP(B54,Preenchimento!$A:$BV,5,0)</f>
        <v>#N/A</v>
      </c>
      <c r="F53" s="198" t="e">
        <f>VLOOKUP(C54,Preenchimento!$A:$BV,5,0)</f>
        <v>#N/A</v>
      </c>
      <c r="G53" s="121" t="s">
        <v>296</v>
      </c>
      <c r="H53" s="193" t="e">
        <f>VLOOKUP(H54,Preenchimento!$A:$BV,3,0)</f>
        <v>#N/A</v>
      </c>
      <c r="I53" s="193" t="e">
        <f>VLOOKUP(I54,Preenchimento!$A:$BV,3,0)</f>
        <v>#N/A</v>
      </c>
      <c r="J53" s="120" t="s">
        <v>297</v>
      </c>
      <c r="K53" s="197" t="e">
        <f>VLOOKUP(H54,Preenchimento!$A:$BV,5,0)</f>
        <v>#N/A</v>
      </c>
      <c r="L53" s="198" t="e">
        <f>VLOOKUP(I54,Preenchimento!$A:$BV,5,0)</f>
        <v>#N/A</v>
      </c>
      <c r="M53" s="121" t="s">
        <v>296</v>
      </c>
      <c r="N53" s="193" t="e">
        <f>VLOOKUP(N54,Preenchimento!$A:$BV,3,0)</f>
        <v>#N/A</v>
      </c>
      <c r="O53" s="193" t="e">
        <f>VLOOKUP(O54,Preenchimento!$A:$BV,3,0)</f>
        <v>#N/A</v>
      </c>
      <c r="P53" s="120" t="s">
        <v>297</v>
      </c>
      <c r="Q53" s="197" t="e">
        <f>VLOOKUP(N54,Preenchimento!$A:$BV,5,0)</f>
        <v>#N/A</v>
      </c>
      <c r="R53" s="198" t="e">
        <f>VLOOKUP(O54,Preenchimento!$A:$BV,5,0)</f>
        <v>#N/A</v>
      </c>
      <c r="S53" s="121" t="s">
        <v>296</v>
      </c>
      <c r="T53" s="193" t="e">
        <f>VLOOKUP(T54,Preenchimento!$A:$BV,3,0)</f>
        <v>#N/A</v>
      </c>
      <c r="U53" s="193" t="e">
        <f>VLOOKUP(U54,Preenchimento!$A:$BV,3,0)</f>
        <v>#N/A</v>
      </c>
      <c r="V53" s="120" t="s">
        <v>297</v>
      </c>
      <c r="W53" s="197" t="e">
        <f>VLOOKUP(T54,Preenchimento!$A:$BV,5,0)</f>
        <v>#N/A</v>
      </c>
      <c r="X53" s="198" t="e">
        <f>VLOOKUP(U54,Preenchimento!$A:$BV,5,0)</f>
        <v>#N/A</v>
      </c>
    </row>
    <row r="54" spans="1:24" ht="9.75" customHeight="1" x14ac:dyDescent="0.15">
      <c r="A54" s="121" t="s">
        <v>298</v>
      </c>
      <c r="B54" s="193"/>
      <c r="C54" s="193"/>
      <c r="D54" s="120" t="s">
        <v>299</v>
      </c>
      <c r="F54" s="131" t="e">
        <f>VLOOKUP(B54,Preenchimento!$A:$BV,10,0)</f>
        <v>#N/A</v>
      </c>
      <c r="G54" s="121" t="s">
        <v>298</v>
      </c>
      <c r="H54" s="193"/>
      <c r="I54" s="193"/>
      <c r="J54" s="120" t="s">
        <v>299</v>
      </c>
      <c r="L54" s="131" t="e">
        <f>VLOOKUP(H54,Preenchimento!$A:$BV,10,0)</f>
        <v>#N/A</v>
      </c>
      <c r="M54" s="121" t="s">
        <v>298</v>
      </c>
      <c r="N54" s="193"/>
      <c r="O54" s="193"/>
      <c r="P54" s="120" t="s">
        <v>299</v>
      </c>
      <c r="R54" s="131" t="e">
        <f>VLOOKUP(N54,Preenchimento!$A:$BV,10,0)</f>
        <v>#N/A</v>
      </c>
      <c r="S54" s="121" t="s">
        <v>298</v>
      </c>
      <c r="T54" s="193"/>
      <c r="U54" s="193"/>
      <c r="V54" s="120" t="s">
        <v>299</v>
      </c>
      <c r="X54" s="131" t="e">
        <f>VLOOKUP(T54,Preenchimento!$A:$BV,10,0)</f>
        <v>#N/A</v>
      </c>
    </row>
    <row r="55" spans="1:24" ht="9.75" customHeight="1" x14ac:dyDescent="0.15">
      <c r="A55" s="121" t="s">
        <v>300</v>
      </c>
      <c r="C55" s="193" t="e">
        <f>VLOOKUP(B54,Preenchimento!$A:$BV,12,0)</f>
        <v>#N/A</v>
      </c>
      <c r="D55" s="193" t="e">
        <f>VLOOKUP(C54,Preenchimento!$A:$BV,12,0)</f>
        <v>#N/A</v>
      </c>
      <c r="E55" s="193" t="e">
        <f>VLOOKUP(D54,Preenchimento!$A:$BV,12,0)</f>
        <v>#N/A</v>
      </c>
      <c r="F55" s="194" t="e">
        <f>VLOOKUP(E54,Preenchimento!$A:$BV,12,0)</f>
        <v>#N/A</v>
      </c>
      <c r="G55" s="121" t="s">
        <v>300</v>
      </c>
      <c r="I55" s="193" t="e">
        <f>VLOOKUP(H54,Preenchimento!$A:$BV,12,0)</f>
        <v>#N/A</v>
      </c>
      <c r="J55" s="193" t="e">
        <f>VLOOKUP(I54,Preenchimento!$A:$BV,12,0)</f>
        <v>#N/A</v>
      </c>
      <c r="K55" s="193" t="e">
        <f>VLOOKUP(J54,Preenchimento!$A:$BV,12,0)</f>
        <v>#N/A</v>
      </c>
      <c r="L55" s="194" t="e">
        <f>VLOOKUP(K54,Preenchimento!$A:$BV,12,0)</f>
        <v>#N/A</v>
      </c>
      <c r="M55" s="121" t="s">
        <v>300</v>
      </c>
      <c r="O55" s="193" t="e">
        <f>VLOOKUP(N54,Preenchimento!$A:$BV,12,0)</f>
        <v>#N/A</v>
      </c>
      <c r="P55" s="193" t="e">
        <f>VLOOKUP(O54,Preenchimento!$A:$BV,12,0)</f>
        <v>#N/A</v>
      </c>
      <c r="Q55" s="193" t="e">
        <f>VLOOKUP(P54,Preenchimento!$A:$BV,12,0)</f>
        <v>#N/A</v>
      </c>
      <c r="R55" s="194" t="e">
        <f>VLOOKUP(Q54,Preenchimento!$A:$BV,12,0)</f>
        <v>#N/A</v>
      </c>
      <c r="S55" s="121" t="s">
        <v>300</v>
      </c>
      <c r="U55" s="193" t="e">
        <f>VLOOKUP(T54,Preenchimento!$A:$BV,12,0)</f>
        <v>#N/A</v>
      </c>
      <c r="V55" s="193" t="e">
        <f>VLOOKUP(U54,Preenchimento!$A:$BV,12,0)</f>
        <v>#N/A</v>
      </c>
      <c r="W55" s="193" t="e">
        <f>VLOOKUP(V54,Preenchimento!$A:$BV,12,0)</f>
        <v>#N/A</v>
      </c>
      <c r="X55" s="194" t="e">
        <f>VLOOKUP(W54,Preenchimento!$A:$BV,12,0)</f>
        <v>#N/A</v>
      </c>
    </row>
    <row r="56" spans="1:24" ht="9.75" customHeight="1" x14ac:dyDescent="0.15">
      <c r="A56" s="123" t="s">
        <v>301</v>
      </c>
      <c r="B56" s="195" t="e">
        <f>IF(VLOOKUP(B54,Preenchimento!$A:$BV,11,0)=0,"",VLOOKUP(B54,Preenchimento!$A:$BV,11,0))</f>
        <v>#N/A</v>
      </c>
      <c r="C56" s="195"/>
      <c r="D56" s="195"/>
      <c r="E56" s="195"/>
      <c r="F56" s="196"/>
      <c r="G56" s="123" t="s">
        <v>301</v>
      </c>
      <c r="H56" s="195" t="e">
        <f>IF(VLOOKUP(H54,Preenchimento!$A:$BV,11,0)=0,"",VLOOKUP(H54,Preenchimento!$A:$BV,11,0))</f>
        <v>#N/A</v>
      </c>
      <c r="I56" s="195"/>
      <c r="J56" s="195"/>
      <c r="K56" s="195"/>
      <c r="L56" s="196"/>
      <c r="M56" s="123" t="s">
        <v>301</v>
      </c>
      <c r="N56" s="195" t="e">
        <f>IF(VLOOKUP(N54,Preenchimento!$A:$BV,11,0)=0,"",VLOOKUP(N54,Preenchimento!$A:$BV,11,0))</f>
        <v>#N/A</v>
      </c>
      <c r="O56" s="195"/>
      <c r="P56" s="195"/>
      <c r="Q56" s="195"/>
      <c r="R56" s="196"/>
      <c r="S56" s="123" t="s">
        <v>301</v>
      </c>
      <c r="T56" s="195" t="e">
        <f>IF(VLOOKUP(T54,Preenchimento!$A:$BV,11,0)=0,"",VLOOKUP(T54,Preenchimento!$A:$BV,11,0))</f>
        <v>#N/A</v>
      </c>
      <c r="U56" s="195"/>
      <c r="V56" s="195"/>
      <c r="W56" s="195"/>
      <c r="X56" s="196"/>
    </row>
    <row r="57" spans="1:24" s="130" customFormat="1" ht="33.950000000000003" customHeight="1" x14ac:dyDescent="0.25">
      <c r="A57" s="199" t="str">
        <f>Sitio!$A$3</f>
        <v>Projeto 01</v>
      </c>
      <c r="B57" s="200"/>
      <c r="C57" s="200"/>
      <c r="D57" s="200"/>
      <c r="E57" s="200"/>
      <c r="F57" s="201"/>
      <c r="G57" s="199" t="str">
        <f>Sitio!$A$3</f>
        <v>Projeto 01</v>
      </c>
      <c r="H57" s="200"/>
      <c r="I57" s="200"/>
      <c r="J57" s="200"/>
      <c r="K57" s="200"/>
      <c r="L57" s="201"/>
      <c r="M57" s="199" t="str">
        <f>Sitio!$A$3</f>
        <v>Projeto 01</v>
      </c>
      <c r="N57" s="200"/>
      <c r="O57" s="200"/>
      <c r="P57" s="200"/>
      <c r="Q57" s="200"/>
      <c r="R57" s="201"/>
      <c r="S57" s="199" t="str">
        <f>Sitio!$A$3</f>
        <v>Projeto 01</v>
      </c>
      <c r="T57" s="200"/>
      <c r="U57" s="200"/>
      <c r="V57" s="200"/>
      <c r="W57" s="200"/>
      <c r="X57" s="201"/>
    </row>
    <row r="58" spans="1:24" ht="9.75" customHeight="1" x14ac:dyDescent="0.15">
      <c r="A58" s="121" t="s">
        <v>294</v>
      </c>
      <c r="B58" s="193">
        <f>Sitio!$E$3</f>
        <v>0</v>
      </c>
      <c r="C58" s="193"/>
      <c r="D58" s="193"/>
      <c r="E58" s="193"/>
      <c r="F58" s="194"/>
      <c r="G58" s="121" t="s">
        <v>294</v>
      </c>
      <c r="H58" s="193">
        <f>Sitio!$E$3</f>
        <v>0</v>
      </c>
      <c r="I58" s="193"/>
      <c r="J58" s="193"/>
      <c r="K58" s="193"/>
      <c r="L58" s="194"/>
      <c r="M58" s="121" t="s">
        <v>294</v>
      </c>
      <c r="N58" s="193">
        <f>Sitio!$E$3</f>
        <v>0</v>
      </c>
      <c r="O58" s="193"/>
      <c r="P58" s="193"/>
      <c r="Q58" s="193"/>
      <c r="R58" s="194"/>
      <c r="S58" s="121" t="s">
        <v>294</v>
      </c>
      <c r="T58" s="193">
        <f>Sitio!$E$3</f>
        <v>0</v>
      </c>
      <c r="U58" s="193"/>
      <c r="V58" s="193"/>
      <c r="W58" s="193"/>
      <c r="X58" s="194"/>
    </row>
    <row r="59" spans="1:24" ht="9.75" customHeight="1" x14ac:dyDescent="0.15">
      <c r="A59" s="121" t="s">
        <v>295</v>
      </c>
      <c r="C59" s="193" t="e">
        <f>VLOOKUP(B61,Preenchimento!$A:$BV,2,0)</f>
        <v>#N/A</v>
      </c>
      <c r="D59" s="193" t="e">
        <f>VLOOKUP(C61,Preenchimento!$A:$BV,2,0)</f>
        <v>#N/A</v>
      </c>
      <c r="E59" s="193" t="e">
        <f>VLOOKUP(D61,Preenchimento!$A:$BV,2,0)</f>
        <v>#N/A</v>
      </c>
      <c r="F59" s="194" t="e">
        <f>VLOOKUP(E61,Preenchimento!$A:$BV,2,0)</f>
        <v>#N/A</v>
      </c>
      <c r="G59" s="121" t="s">
        <v>295</v>
      </c>
      <c r="I59" s="193" t="e">
        <f>VLOOKUP(H61,Preenchimento!$A:$BV,2,0)</f>
        <v>#N/A</v>
      </c>
      <c r="J59" s="193" t="e">
        <f>VLOOKUP(I61,Preenchimento!$A:$BV,2,0)</f>
        <v>#N/A</v>
      </c>
      <c r="K59" s="193" t="e">
        <f>VLOOKUP(J61,Preenchimento!$A:$BV,2,0)</f>
        <v>#N/A</v>
      </c>
      <c r="L59" s="194" t="e">
        <f>VLOOKUP(K61,Preenchimento!$A:$BV,2,0)</f>
        <v>#N/A</v>
      </c>
      <c r="M59" s="121" t="s">
        <v>295</v>
      </c>
      <c r="O59" s="193" t="e">
        <f>VLOOKUP(N61,Preenchimento!$A:$BV,2,0)</f>
        <v>#N/A</v>
      </c>
      <c r="P59" s="193" t="e">
        <f>VLOOKUP(O61,Preenchimento!$A:$BV,2,0)</f>
        <v>#N/A</v>
      </c>
      <c r="Q59" s="193" t="e">
        <f>VLOOKUP(P61,Preenchimento!$A:$BV,2,0)</f>
        <v>#N/A</v>
      </c>
      <c r="R59" s="194" t="e">
        <f>VLOOKUP(Q61,Preenchimento!$A:$BV,2,0)</f>
        <v>#N/A</v>
      </c>
      <c r="S59" s="121" t="s">
        <v>295</v>
      </c>
      <c r="U59" s="193" t="e">
        <f>VLOOKUP(T61,Preenchimento!$A:$BV,2,0)</f>
        <v>#N/A</v>
      </c>
      <c r="V59" s="193" t="e">
        <f>VLOOKUP(U61,Preenchimento!$A:$BV,2,0)</f>
        <v>#N/A</v>
      </c>
      <c r="W59" s="193" t="e">
        <f>VLOOKUP(V61,Preenchimento!$A:$BV,2,0)</f>
        <v>#N/A</v>
      </c>
      <c r="X59" s="194" t="e">
        <f>VLOOKUP(W61,Preenchimento!$A:$BV,2,0)</f>
        <v>#N/A</v>
      </c>
    </row>
    <row r="60" spans="1:24" ht="9.75" customHeight="1" x14ac:dyDescent="0.15">
      <c r="A60" s="121" t="s">
        <v>296</v>
      </c>
      <c r="B60" s="193" t="e">
        <f>VLOOKUP(B61,Preenchimento!$A:$BV,3,0)</f>
        <v>#N/A</v>
      </c>
      <c r="C60" s="193" t="e">
        <f>VLOOKUP(C61,Preenchimento!$A:$BV,3,0)</f>
        <v>#N/A</v>
      </c>
      <c r="D60" s="120" t="s">
        <v>297</v>
      </c>
      <c r="E60" s="197" t="e">
        <f>VLOOKUP(B61,Preenchimento!$A:$BV,5,0)</f>
        <v>#N/A</v>
      </c>
      <c r="F60" s="198" t="e">
        <f>VLOOKUP(C61,Preenchimento!$A:$BV,5,0)</f>
        <v>#N/A</v>
      </c>
      <c r="G60" s="121" t="s">
        <v>296</v>
      </c>
      <c r="H60" s="193" t="e">
        <f>VLOOKUP(H61,Preenchimento!$A:$BV,3,0)</f>
        <v>#N/A</v>
      </c>
      <c r="I60" s="193" t="e">
        <f>VLOOKUP(I61,Preenchimento!$A:$BV,3,0)</f>
        <v>#N/A</v>
      </c>
      <c r="J60" s="120" t="s">
        <v>297</v>
      </c>
      <c r="K60" s="197" t="e">
        <f>VLOOKUP(H61,Preenchimento!$A:$BV,5,0)</f>
        <v>#N/A</v>
      </c>
      <c r="L60" s="198" t="e">
        <f>VLOOKUP(I61,Preenchimento!$A:$BV,5,0)</f>
        <v>#N/A</v>
      </c>
      <c r="M60" s="121" t="s">
        <v>296</v>
      </c>
      <c r="N60" s="193" t="e">
        <f>VLOOKUP(N61,Preenchimento!$A:$BV,3,0)</f>
        <v>#N/A</v>
      </c>
      <c r="O60" s="193" t="e">
        <f>VLOOKUP(O61,Preenchimento!$A:$BV,3,0)</f>
        <v>#N/A</v>
      </c>
      <c r="P60" s="120" t="s">
        <v>297</v>
      </c>
      <c r="Q60" s="197" t="e">
        <f>VLOOKUP(N61,Preenchimento!$A:$BV,5,0)</f>
        <v>#N/A</v>
      </c>
      <c r="R60" s="198" t="e">
        <f>VLOOKUP(O61,Preenchimento!$A:$BV,5,0)</f>
        <v>#N/A</v>
      </c>
      <c r="S60" s="121" t="s">
        <v>296</v>
      </c>
      <c r="T60" s="193" t="e">
        <f>VLOOKUP(T61,Preenchimento!$A:$BV,3,0)</f>
        <v>#N/A</v>
      </c>
      <c r="U60" s="193" t="e">
        <f>VLOOKUP(U61,Preenchimento!$A:$BV,3,0)</f>
        <v>#N/A</v>
      </c>
      <c r="V60" s="120" t="s">
        <v>297</v>
      </c>
      <c r="W60" s="197" t="e">
        <f>VLOOKUP(T61,Preenchimento!$A:$BV,5,0)</f>
        <v>#N/A</v>
      </c>
      <c r="X60" s="198" t="e">
        <f>VLOOKUP(U61,Preenchimento!$A:$BV,5,0)</f>
        <v>#N/A</v>
      </c>
    </row>
    <row r="61" spans="1:24" ht="9.75" customHeight="1" x14ac:dyDescent="0.15">
      <c r="A61" s="121" t="s">
        <v>298</v>
      </c>
      <c r="B61" s="193"/>
      <c r="C61" s="193"/>
      <c r="D61" s="120" t="s">
        <v>299</v>
      </c>
      <c r="F61" s="131" t="e">
        <f>VLOOKUP(B61,Preenchimento!$A:$BV,10,0)</f>
        <v>#N/A</v>
      </c>
      <c r="G61" s="121" t="s">
        <v>298</v>
      </c>
      <c r="H61" s="193"/>
      <c r="I61" s="193"/>
      <c r="J61" s="120" t="s">
        <v>299</v>
      </c>
      <c r="L61" s="131" t="e">
        <f>VLOOKUP(H61,Preenchimento!$A:$BV,10,0)</f>
        <v>#N/A</v>
      </c>
      <c r="M61" s="121" t="s">
        <v>298</v>
      </c>
      <c r="N61" s="193"/>
      <c r="O61" s="193"/>
      <c r="P61" s="120" t="s">
        <v>299</v>
      </c>
      <c r="R61" s="131" t="e">
        <f>VLOOKUP(N61,Preenchimento!$A:$BV,10,0)</f>
        <v>#N/A</v>
      </c>
      <c r="S61" s="121" t="s">
        <v>298</v>
      </c>
      <c r="T61" s="193"/>
      <c r="U61" s="193"/>
      <c r="V61" s="120" t="s">
        <v>299</v>
      </c>
      <c r="X61" s="131" t="e">
        <f>VLOOKUP(T61,Preenchimento!$A:$BV,10,0)</f>
        <v>#N/A</v>
      </c>
    </row>
    <row r="62" spans="1:24" ht="9.75" customHeight="1" x14ac:dyDescent="0.15">
      <c r="A62" s="121" t="s">
        <v>300</v>
      </c>
      <c r="C62" s="193" t="e">
        <f>VLOOKUP(B61,Preenchimento!$A:$BV,12,0)</f>
        <v>#N/A</v>
      </c>
      <c r="D62" s="193" t="e">
        <f>VLOOKUP(C61,Preenchimento!$A:$BV,12,0)</f>
        <v>#N/A</v>
      </c>
      <c r="E62" s="193" t="e">
        <f>VLOOKUP(D61,Preenchimento!$A:$BV,12,0)</f>
        <v>#N/A</v>
      </c>
      <c r="F62" s="194" t="e">
        <f>VLOOKUP(E61,Preenchimento!$A:$BV,12,0)</f>
        <v>#N/A</v>
      </c>
      <c r="G62" s="121" t="s">
        <v>300</v>
      </c>
      <c r="I62" s="193" t="e">
        <f>VLOOKUP(H61,Preenchimento!$A:$BV,12,0)</f>
        <v>#N/A</v>
      </c>
      <c r="J62" s="193" t="e">
        <f>VLOOKUP(I61,Preenchimento!$A:$BV,12,0)</f>
        <v>#N/A</v>
      </c>
      <c r="K62" s="193" t="e">
        <f>VLOOKUP(J61,Preenchimento!$A:$BV,12,0)</f>
        <v>#N/A</v>
      </c>
      <c r="L62" s="194" t="e">
        <f>VLOOKUP(K61,Preenchimento!$A:$BV,12,0)</f>
        <v>#N/A</v>
      </c>
      <c r="M62" s="121" t="s">
        <v>300</v>
      </c>
      <c r="O62" s="193" t="e">
        <f>VLOOKUP(N61,Preenchimento!$A:$BV,12,0)</f>
        <v>#N/A</v>
      </c>
      <c r="P62" s="193" t="e">
        <f>VLOOKUP(O61,Preenchimento!$A:$BV,12,0)</f>
        <v>#N/A</v>
      </c>
      <c r="Q62" s="193" t="e">
        <f>VLOOKUP(P61,Preenchimento!$A:$BV,12,0)</f>
        <v>#N/A</v>
      </c>
      <c r="R62" s="194" t="e">
        <f>VLOOKUP(Q61,Preenchimento!$A:$BV,12,0)</f>
        <v>#N/A</v>
      </c>
      <c r="S62" s="121" t="s">
        <v>300</v>
      </c>
      <c r="U62" s="193" t="e">
        <f>VLOOKUP(T61,Preenchimento!$A:$BV,12,0)</f>
        <v>#N/A</v>
      </c>
      <c r="V62" s="193" t="e">
        <f>VLOOKUP(U61,Preenchimento!$A:$BV,12,0)</f>
        <v>#N/A</v>
      </c>
      <c r="W62" s="193" t="e">
        <f>VLOOKUP(V61,Preenchimento!$A:$BV,12,0)</f>
        <v>#N/A</v>
      </c>
      <c r="X62" s="194" t="e">
        <f>VLOOKUP(W61,Preenchimento!$A:$BV,12,0)</f>
        <v>#N/A</v>
      </c>
    </row>
    <row r="63" spans="1:24" ht="9.75" customHeight="1" x14ac:dyDescent="0.15">
      <c r="A63" s="123" t="s">
        <v>301</v>
      </c>
      <c r="B63" s="195" t="e">
        <f>IF(VLOOKUP(B61,Preenchimento!$A:$BV,11,0)=0,"",VLOOKUP(B61,Preenchimento!$A:$BV,11,0))</f>
        <v>#N/A</v>
      </c>
      <c r="C63" s="195"/>
      <c r="D63" s="195"/>
      <c r="E63" s="195"/>
      <c r="F63" s="196"/>
      <c r="G63" s="123" t="s">
        <v>301</v>
      </c>
      <c r="H63" s="195" t="e">
        <f>IF(VLOOKUP(H61,Preenchimento!$A:$BV,11,0)=0,"",VLOOKUP(H61,Preenchimento!$A:$BV,11,0))</f>
        <v>#N/A</v>
      </c>
      <c r="I63" s="195"/>
      <c r="J63" s="195"/>
      <c r="K63" s="195"/>
      <c r="L63" s="196"/>
      <c r="M63" s="123" t="s">
        <v>301</v>
      </c>
      <c r="N63" s="195" t="e">
        <f>IF(VLOOKUP(N61,Preenchimento!$A:$BV,11,0)=0,"",VLOOKUP(N61,Preenchimento!$A:$BV,11,0))</f>
        <v>#N/A</v>
      </c>
      <c r="O63" s="195"/>
      <c r="P63" s="195"/>
      <c r="Q63" s="195"/>
      <c r="R63" s="196"/>
      <c r="S63" s="123" t="s">
        <v>301</v>
      </c>
      <c r="T63" s="195" t="e">
        <f>IF(VLOOKUP(T61,Preenchimento!$A:$BV,11,0)=0,"",VLOOKUP(T61,Preenchimento!$A:$BV,11,0))</f>
        <v>#N/A</v>
      </c>
      <c r="U63" s="195"/>
      <c r="V63" s="195"/>
      <c r="W63" s="195"/>
      <c r="X63" s="196"/>
    </row>
    <row r="64" spans="1:24" s="130" customFormat="1" ht="33.950000000000003" customHeight="1" x14ac:dyDescent="0.25">
      <c r="A64" s="199" t="str">
        <f>Sitio!$A$3</f>
        <v>Projeto 01</v>
      </c>
      <c r="B64" s="200"/>
      <c r="C64" s="200"/>
      <c r="D64" s="200"/>
      <c r="E64" s="200"/>
      <c r="F64" s="201"/>
      <c r="G64" s="199" t="str">
        <f>Sitio!$A$3</f>
        <v>Projeto 01</v>
      </c>
      <c r="H64" s="200"/>
      <c r="I64" s="200"/>
      <c r="J64" s="200"/>
      <c r="K64" s="200"/>
      <c r="L64" s="201"/>
      <c r="M64" s="199" t="str">
        <f>Sitio!$A$3</f>
        <v>Projeto 01</v>
      </c>
      <c r="N64" s="200"/>
      <c r="O64" s="200"/>
      <c r="P64" s="200"/>
      <c r="Q64" s="200"/>
      <c r="R64" s="201"/>
      <c r="S64" s="199" t="str">
        <f>Sitio!$A$3</f>
        <v>Projeto 01</v>
      </c>
      <c r="T64" s="200"/>
      <c r="U64" s="200"/>
      <c r="V64" s="200"/>
      <c r="W64" s="200"/>
      <c r="X64" s="201"/>
    </row>
    <row r="65" spans="1:24" ht="9.75" customHeight="1" x14ac:dyDescent="0.15">
      <c r="A65" s="121" t="s">
        <v>294</v>
      </c>
      <c r="B65" s="193">
        <f>Sitio!$E$3</f>
        <v>0</v>
      </c>
      <c r="C65" s="193"/>
      <c r="D65" s="193"/>
      <c r="E65" s="193"/>
      <c r="F65" s="194"/>
      <c r="G65" s="121" t="s">
        <v>294</v>
      </c>
      <c r="H65" s="193">
        <f>Sitio!$E$3</f>
        <v>0</v>
      </c>
      <c r="I65" s="193"/>
      <c r="J65" s="193"/>
      <c r="K65" s="193"/>
      <c r="L65" s="194"/>
      <c r="M65" s="121" t="s">
        <v>294</v>
      </c>
      <c r="N65" s="193">
        <f>Sitio!$E$3</f>
        <v>0</v>
      </c>
      <c r="O65" s="193"/>
      <c r="P65" s="193"/>
      <c r="Q65" s="193"/>
      <c r="R65" s="194"/>
      <c r="S65" s="121" t="s">
        <v>294</v>
      </c>
      <c r="T65" s="193">
        <f>Sitio!$E$3</f>
        <v>0</v>
      </c>
      <c r="U65" s="193"/>
      <c r="V65" s="193"/>
      <c r="W65" s="193"/>
      <c r="X65" s="194"/>
    </row>
    <row r="66" spans="1:24" ht="9.75" customHeight="1" x14ac:dyDescent="0.15">
      <c r="A66" s="121" t="s">
        <v>295</v>
      </c>
      <c r="C66" s="193" t="e">
        <f>VLOOKUP(B68,Preenchimento!$A:$BV,2,0)</f>
        <v>#N/A</v>
      </c>
      <c r="D66" s="193" t="e">
        <f>VLOOKUP(C68,Preenchimento!$A:$BV,2,0)</f>
        <v>#N/A</v>
      </c>
      <c r="E66" s="193" t="e">
        <f>VLOOKUP(D68,Preenchimento!$A:$BV,2,0)</f>
        <v>#N/A</v>
      </c>
      <c r="F66" s="194" t="e">
        <f>VLOOKUP(E68,Preenchimento!$A:$BV,2,0)</f>
        <v>#N/A</v>
      </c>
      <c r="G66" s="121" t="s">
        <v>295</v>
      </c>
      <c r="I66" s="193" t="e">
        <f>VLOOKUP(H68,Preenchimento!$A:$BV,2,0)</f>
        <v>#N/A</v>
      </c>
      <c r="J66" s="193" t="e">
        <f>VLOOKUP(I68,Preenchimento!$A:$BV,2,0)</f>
        <v>#N/A</v>
      </c>
      <c r="K66" s="193" t="e">
        <f>VLOOKUP(J68,Preenchimento!$A:$BV,2,0)</f>
        <v>#N/A</v>
      </c>
      <c r="L66" s="194" t="e">
        <f>VLOOKUP(K68,Preenchimento!$A:$BV,2,0)</f>
        <v>#N/A</v>
      </c>
      <c r="M66" s="121" t="s">
        <v>295</v>
      </c>
      <c r="O66" s="193" t="e">
        <f>VLOOKUP(N68,Preenchimento!$A:$BV,2,0)</f>
        <v>#N/A</v>
      </c>
      <c r="P66" s="193" t="e">
        <f>VLOOKUP(O68,Preenchimento!$A:$BV,2,0)</f>
        <v>#N/A</v>
      </c>
      <c r="Q66" s="193" t="e">
        <f>VLOOKUP(P68,Preenchimento!$A:$BV,2,0)</f>
        <v>#N/A</v>
      </c>
      <c r="R66" s="194" t="e">
        <f>VLOOKUP(Q68,Preenchimento!$A:$BV,2,0)</f>
        <v>#N/A</v>
      </c>
      <c r="S66" s="121" t="s">
        <v>295</v>
      </c>
      <c r="U66" s="193" t="e">
        <f>VLOOKUP(T68,Preenchimento!$A:$BV,2,0)</f>
        <v>#N/A</v>
      </c>
      <c r="V66" s="193" t="e">
        <f>VLOOKUP(U68,Preenchimento!$A:$BV,2,0)</f>
        <v>#N/A</v>
      </c>
      <c r="W66" s="193" t="e">
        <f>VLOOKUP(V68,Preenchimento!$A:$BV,2,0)</f>
        <v>#N/A</v>
      </c>
      <c r="X66" s="194" t="e">
        <f>VLOOKUP(W68,Preenchimento!$A:$BV,2,0)</f>
        <v>#N/A</v>
      </c>
    </row>
    <row r="67" spans="1:24" ht="9.75" customHeight="1" x14ac:dyDescent="0.15">
      <c r="A67" s="121" t="s">
        <v>296</v>
      </c>
      <c r="B67" s="193" t="e">
        <f>VLOOKUP(B68,Preenchimento!$A:$BV,3,0)</f>
        <v>#N/A</v>
      </c>
      <c r="C67" s="193" t="e">
        <f>VLOOKUP(C68,Preenchimento!$A:$BV,3,0)</f>
        <v>#N/A</v>
      </c>
      <c r="D67" s="120" t="s">
        <v>297</v>
      </c>
      <c r="E67" s="197" t="e">
        <f>VLOOKUP(B68,Preenchimento!$A:$BV,5,0)</f>
        <v>#N/A</v>
      </c>
      <c r="F67" s="198" t="e">
        <f>VLOOKUP(C68,Preenchimento!$A:$BV,5,0)</f>
        <v>#N/A</v>
      </c>
      <c r="G67" s="121" t="s">
        <v>296</v>
      </c>
      <c r="H67" s="193" t="e">
        <f>VLOOKUP(H68,Preenchimento!$A:$BV,3,0)</f>
        <v>#N/A</v>
      </c>
      <c r="I67" s="193" t="e">
        <f>VLOOKUP(I68,Preenchimento!$A:$BV,3,0)</f>
        <v>#N/A</v>
      </c>
      <c r="J67" s="120" t="s">
        <v>297</v>
      </c>
      <c r="K67" s="197" t="e">
        <f>VLOOKUP(H68,Preenchimento!$A:$BV,5,0)</f>
        <v>#N/A</v>
      </c>
      <c r="L67" s="198" t="e">
        <f>VLOOKUP(I68,Preenchimento!$A:$BV,5,0)</f>
        <v>#N/A</v>
      </c>
      <c r="M67" s="121" t="s">
        <v>296</v>
      </c>
      <c r="N67" s="193" t="e">
        <f>VLOOKUP(N68,Preenchimento!$A:$BV,3,0)</f>
        <v>#N/A</v>
      </c>
      <c r="O67" s="193" t="e">
        <f>VLOOKUP(O68,Preenchimento!$A:$BV,3,0)</f>
        <v>#N/A</v>
      </c>
      <c r="P67" s="120" t="s">
        <v>297</v>
      </c>
      <c r="Q67" s="197" t="e">
        <f>VLOOKUP(N68,Preenchimento!$A:$BV,5,0)</f>
        <v>#N/A</v>
      </c>
      <c r="R67" s="198" t="e">
        <f>VLOOKUP(O68,Preenchimento!$A:$BV,5,0)</f>
        <v>#N/A</v>
      </c>
      <c r="S67" s="121" t="s">
        <v>296</v>
      </c>
      <c r="T67" s="193" t="e">
        <f>VLOOKUP(T68,Preenchimento!$A:$BV,3,0)</f>
        <v>#N/A</v>
      </c>
      <c r="U67" s="193" t="e">
        <f>VLOOKUP(U68,Preenchimento!$A:$BV,3,0)</f>
        <v>#N/A</v>
      </c>
      <c r="V67" s="120" t="s">
        <v>297</v>
      </c>
      <c r="W67" s="197" t="e">
        <f>VLOOKUP(T68,Preenchimento!$A:$BV,5,0)</f>
        <v>#N/A</v>
      </c>
      <c r="X67" s="198" t="e">
        <f>VLOOKUP(U68,Preenchimento!$A:$BV,5,0)</f>
        <v>#N/A</v>
      </c>
    </row>
    <row r="68" spans="1:24" ht="9.75" customHeight="1" x14ac:dyDescent="0.15">
      <c r="A68" s="121" t="s">
        <v>298</v>
      </c>
      <c r="B68" s="193"/>
      <c r="C68" s="193"/>
      <c r="D68" s="120" t="s">
        <v>299</v>
      </c>
      <c r="F68" s="131" t="e">
        <f>VLOOKUP(B68,Preenchimento!$A:$BV,10,0)</f>
        <v>#N/A</v>
      </c>
      <c r="G68" s="121" t="s">
        <v>298</v>
      </c>
      <c r="H68" s="193"/>
      <c r="I68" s="193"/>
      <c r="J68" s="120" t="s">
        <v>299</v>
      </c>
      <c r="L68" s="131" t="e">
        <f>VLOOKUP(H68,Preenchimento!$A:$BV,10,0)</f>
        <v>#N/A</v>
      </c>
      <c r="M68" s="121" t="s">
        <v>298</v>
      </c>
      <c r="N68" s="193"/>
      <c r="O68" s="193"/>
      <c r="P68" s="120" t="s">
        <v>299</v>
      </c>
      <c r="R68" s="131" t="e">
        <f>VLOOKUP(N68,Preenchimento!$A:$BV,10,0)</f>
        <v>#N/A</v>
      </c>
      <c r="S68" s="121" t="s">
        <v>298</v>
      </c>
      <c r="T68" s="193"/>
      <c r="U68" s="193"/>
      <c r="V68" s="120" t="s">
        <v>299</v>
      </c>
      <c r="X68" s="131" t="e">
        <f>VLOOKUP(T68,Preenchimento!$A:$BV,10,0)</f>
        <v>#N/A</v>
      </c>
    </row>
    <row r="69" spans="1:24" ht="9.75" customHeight="1" x14ac:dyDescent="0.15">
      <c r="A69" s="121" t="s">
        <v>300</v>
      </c>
      <c r="C69" s="193" t="e">
        <f>VLOOKUP(B68,Preenchimento!$A:$BV,12,0)</f>
        <v>#N/A</v>
      </c>
      <c r="D69" s="193" t="e">
        <f>VLOOKUP(C68,Preenchimento!$A:$BV,12,0)</f>
        <v>#N/A</v>
      </c>
      <c r="E69" s="193" t="e">
        <f>VLOOKUP(D68,Preenchimento!$A:$BV,12,0)</f>
        <v>#N/A</v>
      </c>
      <c r="F69" s="194" t="e">
        <f>VLOOKUP(E68,Preenchimento!$A:$BV,12,0)</f>
        <v>#N/A</v>
      </c>
      <c r="G69" s="121" t="s">
        <v>300</v>
      </c>
      <c r="I69" s="193" t="e">
        <f>VLOOKUP(H68,Preenchimento!$A:$BV,12,0)</f>
        <v>#N/A</v>
      </c>
      <c r="J69" s="193" t="e">
        <f>VLOOKUP(I68,Preenchimento!$A:$BV,12,0)</f>
        <v>#N/A</v>
      </c>
      <c r="K69" s="193" t="e">
        <f>VLOOKUP(J68,Preenchimento!$A:$BV,12,0)</f>
        <v>#N/A</v>
      </c>
      <c r="L69" s="194" t="e">
        <f>VLOOKUP(K68,Preenchimento!$A:$BV,12,0)</f>
        <v>#N/A</v>
      </c>
      <c r="M69" s="121" t="s">
        <v>300</v>
      </c>
      <c r="O69" s="193" t="e">
        <f>VLOOKUP(N68,Preenchimento!$A:$BV,12,0)</f>
        <v>#N/A</v>
      </c>
      <c r="P69" s="193" t="e">
        <f>VLOOKUP(O68,Preenchimento!$A:$BV,12,0)</f>
        <v>#N/A</v>
      </c>
      <c r="Q69" s="193" t="e">
        <f>VLOOKUP(P68,Preenchimento!$A:$BV,12,0)</f>
        <v>#N/A</v>
      </c>
      <c r="R69" s="194" t="e">
        <f>VLOOKUP(Q68,Preenchimento!$A:$BV,12,0)</f>
        <v>#N/A</v>
      </c>
      <c r="S69" s="121" t="s">
        <v>300</v>
      </c>
      <c r="U69" s="193" t="e">
        <f>VLOOKUP(T68,Preenchimento!$A:$BV,12,0)</f>
        <v>#N/A</v>
      </c>
      <c r="V69" s="193" t="e">
        <f>VLOOKUP(U68,Preenchimento!$A:$BV,12,0)</f>
        <v>#N/A</v>
      </c>
      <c r="W69" s="193" t="e">
        <f>VLOOKUP(V68,Preenchimento!$A:$BV,12,0)</f>
        <v>#N/A</v>
      </c>
      <c r="X69" s="194" t="e">
        <f>VLOOKUP(W68,Preenchimento!$A:$BV,12,0)</f>
        <v>#N/A</v>
      </c>
    </row>
    <row r="70" spans="1:24" ht="9.75" customHeight="1" x14ac:dyDescent="0.15">
      <c r="A70" s="123" t="s">
        <v>301</v>
      </c>
      <c r="B70" s="195" t="e">
        <f>IF(VLOOKUP(B68,Preenchimento!$A:$BV,11,0)=0,"",VLOOKUP(B68,Preenchimento!$A:$BV,11,0))</f>
        <v>#N/A</v>
      </c>
      <c r="C70" s="195"/>
      <c r="D70" s="195"/>
      <c r="E70" s="195"/>
      <c r="F70" s="196"/>
      <c r="G70" s="123" t="s">
        <v>301</v>
      </c>
      <c r="H70" s="195" t="e">
        <f>IF(VLOOKUP(H68,Preenchimento!$A:$BV,11,0)=0,"",VLOOKUP(H68,Preenchimento!$A:$BV,11,0))</f>
        <v>#N/A</v>
      </c>
      <c r="I70" s="195"/>
      <c r="J70" s="195"/>
      <c r="K70" s="195"/>
      <c r="L70" s="196"/>
      <c r="M70" s="123" t="s">
        <v>301</v>
      </c>
      <c r="N70" s="195" t="e">
        <f>IF(VLOOKUP(N68,Preenchimento!$A:$BV,11,0)=0,"",VLOOKUP(N68,Preenchimento!$A:$BV,11,0))</f>
        <v>#N/A</v>
      </c>
      <c r="O70" s="195"/>
      <c r="P70" s="195"/>
      <c r="Q70" s="195"/>
      <c r="R70" s="196"/>
      <c r="S70" s="123" t="s">
        <v>301</v>
      </c>
      <c r="T70" s="195" t="e">
        <f>IF(VLOOKUP(T68,Preenchimento!$A:$BV,11,0)=0,"",VLOOKUP(T68,Preenchimento!$A:$BV,11,0))</f>
        <v>#N/A</v>
      </c>
      <c r="U70" s="195"/>
      <c r="V70" s="195"/>
      <c r="W70" s="195"/>
      <c r="X70" s="196"/>
    </row>
    <row r="71" spans="1:24" s="130" customFormat="1" ht="33.950000000000003" customHeight="1" x14ac:dyDescent="0.25">
      <c r="A71" s="199" t="str">
        <f>Sitio!$A$3</f>
        <v>Projeto 01</v>
      </c>
      <c r="B71" s="200"/>
      <c r="C71" s="200"/>
      <c r="D71" s="200"/>
      <c r="E71" s="200"/>
      <c r="F71" s="201"/>
      <c r="G71" s="199" t="str">
        <f>Sitio!$A$3</f>
        <v>Projeto 01</v>
      </c>
      <c r="H71" s="200"/>
      <c r="I71" s="200"/>
      <c r="J71" s="200"/>
      <c r="K71" s="200"/>
      <c r="L71" s="201"/>
      <c r="M71" s="199" t="str">
        <f>Sitio!$A$3</f>
        <v>Projeto 01</v>
      </c>
      <c r="N71" s="200"/>
      <c r="O71" s="200"/>
      <c r="P71" s="200"/>
      <c r="Q71" s="200"/>
      <c r="R71" s="201"/>
      <c r="S71" s="199" t="str">
        <f>Sitio!$A$3</f>
        <v>Projeto 01</v>
      </c>
      <c r="T71" s="200"/>
      <c r="U71" s="200"/>
      <c r="V71" s="200"/>
      <c r="W71" s="200"/>
      <c r="X71" s="201"/>
    </row>
    <row r="72" spans="1:24" ht="9.75" customHeight="1" x14ac:dyDescent="0.15">
      <c r="A72" s="121" t="s">
        <v>294</v>
      </c>
      <c r="B72" s="193">
        <f>Sitio!$E$3</f>
        <v>0</v>
      </c>
      <c r="C72" s="193"/>
      <c r="D72" s="193"/>
      <c r="E72" s="193"/>
      <c r="F72" s="194"/>
      <c r="G72" s="121" t="s">
        <v>294</v>
      </c>
      <c r="H72" s="193">
        <f>Sitio!$E$3</f>
        <v>0</v>
      </c>
      <c r="I72" s="193"/>
      <c r="J72" s="193"/>
      <c r="K72" s="193"/>
      <c r="L72" s="194"/>
      <c r="M72" s="121" t="s">
        <v>294</v>
      </c>
      <c r="N72" s="193">
        <f>Sitio!$E$3</f>
        <v>0</v>
      </c>
      <c r="O72" s="193"/>
      <c r="P72" s="193"/>
      <c r="Q72" s="193"/>
      <c r="R72" s="194"/>
      <c r="S72" s="121" t="s">
        <v>294</v>
      </c>
      <c r="T72" s="193">
        <f>Sitio!$E$3</f>
        <v>0</v>
      </c>
      <c r="U72" s="193"/>
      <c r="V72" s="193"/>
      <c r="W72" s="193"/>
      <c r="X72" s="194"/>
    </row>
    <row r="73" spans="1:24" ht="9.75" customHeight="1" x14ac:dyDescent="0.15">
      <c r="A73" s="121" t="s">
        <v>295</v>
      </c>
      <c r="C73" s="193" t="e">
        <f>VLOOKUP(B75,Preenchimento!$A:$BV,2,0)</f>
        <v>#N/A</v>
      </c>
      <c r="D73" s="193" t="e">
        <f>VLOOKUP(C75,Preenchimento!$A:$BV,2,0)</f>
        <v>#N/A</v>
      </c>
      <c r="E73" s="193" t="e">
        <f>VLOOKUP(D75,Preenchimento!$A:$BV,2,0)</f>
        <v>#N/A</v>
      </c>
      <c r="F73" s="194" t="e">
        <f>VLOOKUP(E75,Preenchimento!$A:$BV,2,0)</f>
        <v>#N/A</v>
      </c>
      <c r="G73" s="121" t="s">
        <v>295</v>
      </c>
      <c r="I73" s="193" t="e">
        <f>VLOOKUP(H75,Preenchimento!$A:$BV,2,0)</f>
        <v>#N/A</v>
      </c>
      <c r="J73" s="193" t="e">
        <f>VLOOKUP(I75,Preenchimento!$A:$BV,2,0)</f>
        <v>#N/A</v>
      </c>
      <c r="K73" s="193" t="e">
        <f>VLOOKUP(J75,Preenchimento!$A:$BV,2,0)</f>
        <v>#N/A</v>
      </c>
      <c r="L73" s="194" t="e">
        <f>VLOOKUP(K75,Preenchimento!$A:$BV,2,0)</f>
        <v>#N/A</v>
      </c>
      <c r="M73" s="121" t="s">
        <v>295</v>
      </c>
      <c r="O73" s="193" t="e">
        <f>VLOOKUP(N75,Preenchimento!$A:$BV,2,0)</f>
        <v>#N/A</v>
      </c>
      <c r="P73" s="193" t="e">
        <f>VLOOKUP(O75,Preenchimento!$A:$BV,2,0)</f>
        <v>#N/A</v>
      </c>
      <c r="Q73" s="193" t="e">
        <f>VLOOKUP(P75,Preenchimento!$A:$BV,2,0)</f>
        <v>#N/A</v>
      </c>
      <c r="R73" s="194" t="e">
        <f>VLOOKUP(Q75,Preenchimento!$A:$BV,2,0)</f>
        <v>#N/A</v>
      </c>
      <c r="S73" s="121" t="s">
        <v>295</v>
      </c>
      <c r="U73" s="193" t="e">
        <f>VLOOKUP(T75,Preenchimento!$A:$BV,2,0)</f>
        <v>#N/A</v>
      </c>
      <c r="V73" s="193" t="e">
        <f>VLOOKUP(U75,Preenchimento!$A:$BV,2,0)</f>
        <v>#N/A</v>
      </c>
      <c r="W73" s="193" t="e">
        <f>VLOOKUP(V75,Preenchimento!$A:$BV,2,0)</f>
        <v>#N/A</v>
      </c>
      <c r="X73" s="194" t="e">
        <f>VLOOKUP(W75,Preenchimento!$A:$BV,2,0)</f>
        <v>#N/A</v>
      </c>
    </row>
    <row r="74" spans="1:24" ht="9.75" customHeight="1" x14ac:dyDescent="0.15">
      <c r="A74" s="121" t="s">
        <v>296</v>
      </c>
      <c r="B74" s="193" t="e">
        <f>VLOOKUP(B75,Preenchimento!$A:$BV,3,0)</f>
        <v>#N/A</v>
      </c>
      <c r="C74" s="193" t="e">
        <f>VLOOKUP(C75,Preenchimento!$A:$BV,3,0)</f>
        <v>#N/A</v>
      </c>
      <c r="D74" s="120" t="s">
        <v>297</v>
      </c>
      <c r="E74" s="197" t="e">
        <f>VLOOKUP(B75,Preenchimento!$A:$BV,5,0)</f>
        <v>#N/A</v>
      </c>
      <c r="F74" s="198" t="e">
        <f>VLOOKUP(C75,Preenchimento!$A:$BV,5,0)</f>
        <v>#N/A</v>
      </c>
      <c r="G74" s="121" t="s">
        <v>296</v>
      </c>
      <c r="H74" s="193" t="e">
        <f>VLOOKUP(H75,Preenchimento!$A:$BV,3,0)</f>
        <v>#N/A</v>
      </c>
      <c r="I74" s="193" t="e">
        <f>VLOOKUP(I75,Preenchimento!$A:$BV,3,0)</f>
        <v>#N/A</v>
      </c>
      <c r="J74" s="120" t="s">
        <v>297</v>
      </c>
      <c r="K74" s="197" t="e">
        <f>VLOOKUP(H75,Preenchimento!$A:$BV,5,0)</f>
        <v>#N/A</v>
      </c>
      <c r="L74" s="198" t="e">
        <f>VLOOKUP(I75,Preenchimento!$A:$BV,5,0)</f>
        <v>#N/A</v>
      </c>
      <c r="M74" s="121" t="s">
        <v>296</v>
      </c>
      <c r="N74" s="193" t="e">
        <f>VLOOKUP(N75,Preenchimento!$A:$BV,3,0)</f>
        <v>#N/A</v>
      </c>
      <c r="O74" s="193" t="e">
        <f>VLOOKUP(O75,Preenchimento!$A:$BV,3,0)</f>
        <v>#N/A</v>
      </c>
      <c r="P74" s="120" t="s">
        <v>297</v>
      </c>
      <c r="Q74" s="197" t="e">
        <f>VLOOKUP(N75,Preenchimento!$A:$BV,5,0)</f>
        <v>#N/A</v>
      </c>
      <c r="R74" s="198" t="e">
        <f>VLOOKUP(O75,Preenchimento!$A:$BV,5,0)</f>
        <v>#N/A</v>
      </c>
      <c r="S74" s="121" t="s">
        <v>296</v>
      </c>
      <c r="T74" s="193" t="e">
        <f>VLOOKUP(T75,Preenchimento!$A:$BV,3,0)</f>
        <v>#N/A</v>
      </c>
      <c r="U74" s="193" t="e">
        <f>VLOOKUP(U75,Preenchimento!$A:$BV,3,0)</f>
        <v>#N/A</v>
      </c>
      <c r="V74" s="120" t="s">
        <v>297</v>
      </c>
      <c r="W74" s="197" t="e">
        <f>VLOOKUP(T75,Preenchimento!$A:$BV,5,0)</f>
        <v>#N/A</v>
      </c>
      <c r="X74" s="198" t="e">
        <f>VLOOKUP(U75,Preenchimento!$A:$BV,5,0)</f>
        <v>#N/A</v>
      </c>
    </row>
    <row r="75" spans="1:24" ht="9.75" customHeight="1" x14ac:dyDescent="0.15">
      <c r="A75" s="121" t="s">
        <v>298</v>
      </c>
      <c r="B75" s="193"/>
      <c r="C75" s="193"/>
      <c r="D75" s="120" t="s">
        <v>299</v>
      </c>
      <c r="F75" s="131" t="e">
        <f>VLOOKUP(B75,Preenchimento!$A:$BV,10,0)</f>
        <v>#N/A</v>
      </c>
      <c r="G75" s="121" t="s">
        <v>298</v>
      </c>
      <c r="H75" s="193"/>
      <c r="I75" s="193"/>
      <c r="J75" s="120" t="s">
        <v>299</v>
      </c>
      <c r="L75" s="131" t="e">
        <f>VLOOKUP(H75,Preenchimento!$A:$BV,10,0)</f>
        <v>#N/A</v>
      </c>
      <c r="M75" s="121" t="s">
        <v>298</v>
      </c>
      <c r="N75" s="193"/>
      <c r="O75" s="193"/>
      <c r="P75" s="120" t="s">
        <v>299</v>
      </c>
      <c r="R75" s="131" t="e">
        <f>VLOOKUP(N75,Preenchimento!$A:$BV,10,0)</f>
        <v>#N/A</v>
      </c>
      <c r="S75" s="121" t="s">
        <v>298</v>
      </c>
      <c r="T75" s="193"/>
      <c r="U75" s="193"/>
      <c r="V75" s="120" t="s">
        <v>299</v>
      </c>
      <c r="X75" s="131" t="e">
        <f>VLOOKUP(T75,Preenchimento!$A:$BV,10,0)</f>
        <v>#N/A</v>
      </c>
    </row>
    <row r="76" spans="1:24" ht="9.75" customHeight="1" x14ac:dyDescent="0.15">
      <c r="A76" s="121" t="s">
        <v>300</v>
      </c>
      <c r="C76" s="193" t="e">
        <f>VLOOKUP(B75,Preenchimento!$A:$BV,12,0)</f>
        <v>#N/A</v>
      </c>
      <c r="D76" s="193" t="e">
        <f>VLOOKUP(C75,Preenchimento!$A:$BV,12,0)</f>
        <v>#N/A</v>
      </c>
      <c r="E76" s="193" t="e">
        <f>VLOOKUP(D75,Preenchimento!$A:$BV,12,0)</f>
        <v>#N/A</v>
      </c>
      <c r="F76" s="194" t="e">
        <f>VLOOKUP(E75,Preenchimento!$A:$BV,12,0)</f>
        <v>#N/A</v>
      </c>
      <c r="G76" s="121" t="s">
        <v>300</v>
      </c>
      <c r="I76" s="193" t="e">
        <f>VLOOKUP(H75,Preenchimento!$A:$BV,12,0)</f>
        <v>#N/A</v>
      </c>
      <c r="J76" s="193" t="e">
        <f>VLOOKUP(I75,Preenchimento!$A:$BV,12,0)</f>
        <v>#N/A</v>
      </c>
      <c r="K76" s="193" t="e">
        <f>VLOOKUP(J75,Preenchimento!$A:$BV,12,0)</f>
        <v>#N/A</v>
      </c>
      <c r="L76" s="194" t="e">
        <f>VLOOKUP(K75,Preenchimento!$A:$BV,12,0)</f>
        <v>#N/A</v>
      </c>
      <c r="M76" s="121" t="s">
        <v>300</v>
      </c>
      <c r="O76" s="193" t="e">
        <f>VLOOKUP(N75,Preenchimento!$A:$BV,12,0)</f>
        <v>#N/A</v>
      </c>
      <c r="P76" s="193" t="e">
        <f>VLOOKUP(O75,Preenchimento!$A:$BV,12,0)</f>
        <v>#N/A</v>
      </c>
      <c r="Q76" s="193" t="e">
        <f>VLOOKUP(P75,Preenchimento!$A:$BV,12,0)</f>
        <v>#N/A</v>
      </c>
      <c r="R76" s="194" t="e">
        <f>VLOOKUP(Q75,Preenchimento!$A:$BV,12,0)</f>
        <v>#N/A</v>
      </c>
      <c r="S76" s="121" t="s">
        <v>300</v>
      </c>
      <c r="U76" s="193" t="e">
        <f>VLOOKUP(T75,Preenchimento!$A:$BV,12,0)</f>
        <v>#N/A</v>
      </c>
      <c r="V76" s="193" t="e">
        <f>VLOOKUP(U75,Preenchimento!$A:$BV,12,0)</f>
        <v>#N/A</v>
      </c>
      <c r="W76" s="193" t="e">
        <f>VLOOKUP(V75,Preenchimento!$A:$BV,12,0)</f>
        <v>#N/A</v>
      </c>
      <c r="X76" s="194" t="e">
        <f>VLOOKUP(W75,Preenchimento!$A:$BV,12,0)</f>
        <v>#N/A</v>
      </c>
    </row>
    <row r="77" spans="1:24" ht="9.75" customHeight="1" x14ac:dyDescent="0.15">
      <c r="A77" s="123" t="s">
        <v>301</v>
      </c>
      <c r="B77" s="195" t="e">
        <f>IF(VLOOKUP(B75,Preenchimento!$A:$BV,11,0)=0,"",VLOOKUP(B75,Preenchimento!$A:$BV,11,0))</f>
        <v>#N/A</v>
      </c>
      <c r="C77" s="195"/>
      <c r="D77" s="195"/>
      <c r="E77" s="195"/>
      <c r="F77" s="196"/>
      <c r="G77" s="123" t="s">
        <v>301</v>
      </c>
      <c r="H77" s="195" t="e">
        <f>IF(VLOOKUP(H75,Preenchimento!$A:$BV,11,0)=0,"",VLOOKUP(H75,Preenchimento!$A:$BV,11,0))</f>
        <v>#N/A</v>
      </c>
      <c r="I77" s="195"/>
      <c r="J77" s="195"/>
      <c r="K77" s="195"/>
      <c r="L77" s="196"/>
      <c r="M77" s="123" t="s">
        <v>301</v>
      </c>
      <c r="N77" s="195" t="e">
        <f>IF(VLOOKUP(N75,Preenchimento!$A:$BV,11,0)=0,"",VLOOKUP(N75,Preenchimento!$A:$BV,11,0))</f>
        <v>#N/A</v>
      </c>
      <c r="O77" s="195"/>
      <c r="P77" s="195"/>
      <c r="Q77" s="195"/>
      <c r="R77" s="196"/>
      <c r="S77" s="123" t="s">
        <v>301</v>
      </c>
      <c r="T77" s="195" t="e">
        <f>IF(VLOOKUP(T75,Preenchimento!$A:$BV,11,0)=0,"",VLOOKUP(T75,Preenchimento!$A:$BV,11,0))</f>
        <v>#N/A</v>
      </c>
      <c r="U77" s="195"/>
      <c r="V77" s="195"/>
      <c r="W77" s="195"/>
      <c r="X77" s="196"/>
    </row>
    <row r="78" spans="1:24" s="130" customFormat="1" ht="33.950000000000003" customHeight="1" x14ac:dyDescent="0.25">
      <c r="A78" s="199" t="str">
        <f>Sitio!$A$3</f>
        <v>Projeto 01</v>
      </c>
      <c r="B78" s="200"/>
      <c r="C78" s="200"/>
      <c r="D78" s="200"/>
      <c r="E78" s="200"/>
      <c r="F78" s="201"/>
      <c r="G78" s="199" t="str">
        <f>Sitio!$A$3</f>
        <v>Projeto 01</v>
      </c>
      <c r="H78" s="200"/>
      <c r="I78" s="200"/>
      <c r="J78" s="200"/>
      <c r="K78" s="200"/>
      <c r="L78" s="201"/>
      <c r="M78" s="199" t="str">
        <f>Sitio!$A$3</f>
        <v>Projeto 01</v>
      </c>
      <c r="N78" s="200"/>
      <c r="O78" s="200"/>
      <c r="P78" s="200"/>
      <c r="Q78" s="200"/>
      <c r="R78" s="201"/>
      <c r="S78" s="199" t="str">
        <f>Sitio!$A$3</f>
        <v>Projeto 01</v>
      </c>
      <c r="T78" s="200"/>
      <c r="U78" s="200"/>
      <c r="V78" s="200"/>
      <c r="W78" s="200"/>
      <c r="X78" s="201"/>
    </row>
    <row r="79" spans="1:24" ht="9.75" customHeight="1" x14ac:dyDescent="0.15">
      <c r="A79" s="121" t="s">
        <v>294</v>
      </c>
      <c r="B79" s="193">
        <f>Sitio!$E$3</f>
        <v>0</v>
      </c>
      <c r="C79" s="193"/>
      <c r="D79" s="193"/>
      <c r="E79" s="193"/>
      <c r="F79" s="194"/>
      <c r="G79" s="121" t="s">
        <v>294</v>
      </c>
      <c r="H79" s="193">
        <f>Sitio!$E$3</f>
        <v>0</v>
      </c>
      <c r="I79" s="193"/>
      <c r="J79" s="193"/>
      <c r="K79" s="193"/>
      <c r="L79" s="194"/>
      <c r="M79" s="121" t="s">
        <v>294</v>
      </c>
      <c r="N79" s="193">
        <f>Sitio!$E$3</f>
        <v>0</v>
      </c>
      <c r="O79" s="193"/>
      <c r="P79" s="193"/>
      <c r="Q79" s="193"/>
      <c r="R79" s="194"/>
      <c r="S79" s="121" t="s">
        <v>294</v>
      </c>
      <c r="T79" s="193">
        <f>Sitio!$E$3</f>
        <v>0</v>
      </c>
      <c r="U79" s="193"/>
      <c r="V79" s="193"/>
      <c r="W79" s="193"/>
      <c r="X79" s="194"/>
    </row>
    <row r="80" spans="1:24" ht="9.75" customHeight="1" x14ac:dyDescent="0.15">
      <c r="A80" s="121" t="s">
        <v>295</v>
      </c>
      <c r="C80" s="193" t="e">
        <f>VLOOKUP(B82,Preenchimento!$A:$BV,2,0)</f>
        <v>#N/A</v>
      </c>
      <c r="D80" s="193" t="e">
        <f>VLOOKUP(C82,Preenchimento!$A:$BV,2,0)</f>
        <v>#N/A</v>
      </c>
      <c r="E80" s="193" t="e">
        <f>VLOOKUP(D82,Preenchimento!$A:$BV,2,0)</f>
        <v>#N/A</v>
      </c>
      <c r="F80" s="194" t="e">
        <f>VLOOKUP(E82,Preenchimento!$A:$BV,2,0)</f>
        <v>#N/A</v>
      </c>
      <c r="G80" s="121" t="s">
        <v>295</v>
      </c>
      <c r="I80" s="193" t="e">
        <f>VLOOKUP(H82,Preenchimento!$A:$BV,2,0)</f>
        <v>#N/A</v>
      </c>
      <c r="J80" s="193" t="e">
        <f>VLOOKUP(I82,Preenchimento!$A:$BV,2,0)</f>
        <v>#N/A</v>
      </c>
      <c r="K80" s="193" t="e">
        <f>VLOOKUP(J82,Preenchimento!$A:$BV,2,0)</f>
        <v>#N/A</v>
      </c>
      <c r="L80" s="194" t="e">
        <f>VLOOKUP(K82,Preenchimento!$A:$BV,2,0)</f>
        <v>#N/A</v>
      </c>
      <c r="M80" s="121" t="s">
        <v>295</v>
      </c>
      <c r="O80" s="193" t="e">
        <f>VLOOKUP(N82,Preenchimento!$A:$BV,2,0)</f>
        <v>#N/A</v>
      </c>
      <c r="P80" s="193" t="e">
        <f>VLOOKUP(O82,Preenchimento!$A:$BV,2,0)</f>
        <v>#N/A</v>
      </c>
      <c r="Q80" s="193" t="e">
        <f>VLOOKUP(P82,Preenchimento!$A:$BV,2,0)</f>
        <v>#N/A</v>
      </c>
      <c r="R80" s="194" t="e">
        <f>VLOOKUP(Q82,Preenchimento!$A:$BV,2,0)</f>
        <v>#N/A</v>
      </c>
      <c r="S80" s="121" t="s">
        <v>295</v>
      </c>
      <c r="U80" s="193" t="e">
        <f>VLOOKUP(T82,Preenchimento!$A:$BV,2,0)</f>
        <v>#N/A</v>
      </c>
      <c r="V80" s="193" t="e">
        <f>VLOOKUP(U82,Preenchimento!$A:$BV,2,0)</f>
        <v>#N/A</v>
      </c>
      <c r="W80" s="193" t="e">
        <f>VLOOKUP(V82,Preenchimento!$A:$BV,2,0)</f>
        <v>#N/A</v>
      </c>
      <c r="X80" s="194" t="e">
        <f>VLOOKUP(W82,Preenchimento!$A:$BV,2,0)</f>
        <v>#N/A</v>
      </c>
    </row>
    <row r="81" spans="1:24" ht="9.75" customHeight="1" x14ac:dyDescent="0.15">
      <c r="A81" s="121" t="s">
        <v>296</v>
      </c>
      <c r="B81" s="193" t="e">
        <f>VLOOKUP(B82,Preenchimento!$A:$BV,3,0)</f>
        <v>#N/A</v>
      </c>
      <c r="C81" s="193" t="e">
        <f>VLOOKUP(C82,Preenchimento!$A:$BV,3,0)</f>
        <v>#N/A</v>
      </c>
      <c r="D81" s="120" t="s">
        <v>297</v>
      </c>
      <c r="E81" s="197" t="e">
        <f>VLOOKUP(B82,Preenchimento!$A:$BV,5,0)</f>
        <v>#N/A</v>
      </c>
      <c r="F81" s="198" t="e">
        <f>VLOOKUP(C82,Preenchimento!$A:$BV,5,0)</f>
        <v>#N/A</v>
      </c>
      <c r="G81" s="121" t="s">
        <v>296</v>
      </c>
      <c r="H81" s="193" t="e">
        <f>VLOOKUP(H82,Preenchimento!$A:$BV,3,0)</f>
        <v>#N/A</v>
      </c>
      <c r="I81" s="193" t="e">
        <f>VLOOKUP(I82,Preenchimento!$A:$BV,3,0)</f>
        <v>#N/A</v>
      </c>
      <c r="J81" s="120" t="s">
        <v>297</v>
      </c>
      <c r="K81" s="197" t="e">
        <f>VLOOKUP(H82,Preenchimento!$A:$BV,5,0)</f>
        <v>#N/A</v>
      </c>
      <c r="L81" s="198" t="e">
        <f>VLOOKUP(I82,Preenchimento!$A:$BV,5,0)</f>
        <v>#N/A</v>
      </c>
      <c r="M81" s="121" t="s">
        <v>296</v>
      </c>
      <c r="N81" s="193" t="e">
        <f>VLOOKUP(N82,Preenchimento!$A:$BV,3,0)</f>
        <v>#N/A</v>
      </c>
      <c r="O81" s="193" t="e">
        <f>VLOOKUP(O82,Preenchimento!$A:$BV,3,0)</f>
        <v>#N/A</v>
      </c>
      <c r="P81" s="120" t="s">
        <v>297</v>
      </c>
      <c r="Q81" s="197" t="e">
        <f>VLOOKUP(N82,Preenchimento!$A:$BV,5,0)</f>
        <v>#N/A</v>
      </c>
      <c r="R81" s="198" t="e">
        <f>VLOOKUP(O82,Preenchimento!$A:$BV,5,0)</f>
        <v>#N/A</v>
      </c>
      <c r="S81" s="121" t="s">
        <v>296</v>
      </c>
      <c r="T81" s="193" t="e">
        <f>VLOOKUP(T82,Preenchimento!$A:$BV,3,0)</f>
        <v>#N/A</v>
      </c>
      <c r="U81" s="193" t="e">
        <f>VLOOKUP(U82,Preenchimento!$A:$BV,3,0)</f>
        <v>#N/A</v>
      </c>
      <c r="V81" s="120" t="s">
        <v>297</v>
      </c>
      <c r="W81" s="197" t="e">
        <f>VLOOKUP(T82,Preenchimento!$A:$BV,5,0)</f>
        <v>#N/A</v>
      </c>
      <c r="X81" s="198" t="e">
        <f>VLOOKUP(U82,Preenchimento!$A:$BV,5,0)</f>
        <v>#N/A</v>
      </c>
    </row>
    <row r="82" spans="1:24" ht="9.75" customHeight="1" x14ac:dyDescent="0.15">
      <c r="A82" s="121" t="s">
        <v>298</v>
      </c>
      <c r="B82" s="193"/>
      <c r="C82" s="193"/>
      <c r="D82" s="120" t="s">
        <v>299</v>
      </c>
      <c r="F82" s="131" t="e">
        <f>VLOOKUP(B82,Preenchimento!$A:$BV,10,0)</f>
        <v>#N/A</v>
      </c>
      <c r="G82" s="121" t="s">
        <v>298</v>
      </c>
      <c r="H82" s="193"/>
      <c r="I82" s="193"/>
      <c r="J82" s="120" t="s">
        <v>299</v>
      </c>
      <c r="L82" s="131" t="e">
        <f>VLOOKUP(H82,Preenchimento!$A:$BV,10,0)</f>
        <v>#N/A</v>
      </c>
      <c r="M82" s="121" t="s">
        <v>298</v>
      </c>
      <c r="N82" s="193"/>
      <c r="O82" s="193"/>
      <c r="P82" s="120" t="s">
        <v>299</v>
      </c>
      <c r="R82" s="131" t="e">
        <f>VLOOKUP(N82,Preenchimento!$A:$BV,10,0)</f>
        <v>#N/A</v>
      </c>
      <c r="S82" s="121" t="s">
        <v>298</v>
      </c>
      <c r="T82" s="193"/>
      <c r="U82" s="193"/>
      <c r="V82" s="120" t="s">
        <v>299</v>
      </c>
      <c r="X82" s="131" t="e">
        <f>VLOOKUP(T82,Preenchimento!$A:$BV,10,0)</f>
        <v>#N/A</v>
      </c>
    </row>
    <row r="83" spans="1:24" ht="9.75" customHeight="1" x14ac:dyDescent="0.15">
      <c r="A83" s="121" t="s">
        <v>300</v>
      </c>
      <c r="C83" s="193" t="e">
        <f>VLOOKUP(B82,Preenchimento!$A:$BV,12,0)</f>
        <v>#N/A</v>
      </c>
      <c r="D83" s="193" t="e">
        <f>VLOOKUP(C82,Preenchimento!$A:$BV,12,0)</f>
        <v>#N/A</v>
      </c>
      <c r="E83" s="193" t="e">
        <f>VLOOKUP(D82,Preenchimento!$A:$BV,12,0)</f>
        <v>#N/A</v>
      </c>
      <c r="F83" s="194" t="e">
        <f>VLOOKUP(E82,Preenchimento!$A:$BV,12,0)</f>
        <v>#N/A</v>
      </c>
      <c r="G83" s="121" t="s">
        <v>300</v>
      </c>
      <c r="I83" s="193" t="e">
        <f>VLOOKUP(H82,Preenchimento!$A:$BV,12,0)</f>
        <v>#N/A</v>
      </c>
      <c r="J83" s="193" t="e">
        <f>VLOOKUP(I82,Preenchimento!$A:$BV,12,0)</f>
        <v>#N/A</v>
      </c>
      <c r="K83" s="193" t="e">
        <f>VLOOKUP(J82,Preenchimento!$A:$BV,12,0)</f>
        <v>#N/A</v>
      </c>
      <c r="L83" s="194" t="e">
        <f>VLOOKUP(K82,Preenchimento!$A:$BV,12,0)</f>
        <v>#N/A</v>
      </c>
      <c r="M83" s="121" t="s">
        <v>300</v>
      </c>
      <c r="O83" s="193" t="e">
        <f>VLOOKUP(N82,Preenchimento!$A:$BV,12,0)</f>
        <v>#N/A</v>
      </c>
      <c r="P83" s="193" t="e">
        <f>VLOOKUP(O82,Preenchimento!$A:$BV,12,0)</f>
        <v>#N/A</v>
      </c>
      <c r="Q83" s="193" t="e">
        <f>VLOOKUP(P82,Preenchimento!$A:$BV,12,0)</f>
        <v>#N/A</v>
      </c>
      <c r="R83" s="194" t="e">
        <f>VLOOKUP(Q82,Preenchimento!$A:$BV,12,0)</f>
        <v>#N/A</v>
      </c>
      <c r="S83" s="121" t="s">
        <v>300</v>
      </c>
      <c r="U83" s="193" t="e">
        <f>VLOOKUP(T82,Preenchimento!$A:$BV,12,0)</f>
        <v>#N/A</v>
      </c>
      <c r="V83" s="193" t="e">
        <f>VLOOKUP(U82,Preenchimento!$A:$BV,12,0)</f>
        <v>#N/A</v>
      </c>
      <c r="W83" s="193" t="e">
        <f>VLOOKUP(V82,Preenchimento!$A:$BV,12,0)</f>
        <v>#N/A</v>
      </c>
      <c r="X83" s="194" t="e">
        <f>VLOOKUP(W82,Preenchimento!$A:$BV,12,0)</f>
        <v>#N/A</v>
      </c>
    </row>
    <row r="84" spans="1:24" ht="9.75" customHeight="1" x14ac:dyDescent="0.15">
      <c r="A84" s="123" t="s">
        <v>301</v>
      </c>
      <c r="B84" s="195" t="e">
        <f>IF(VLOOKUP(B82,Preenchimento!$A:$BV,11,0)=0,"",VLOOKUP(B82,Preenchimento!$A:$BV,11,0))</f>
        <v>#N/A</v>
      </c>
      <c r="C84" s="195"/>
      <c r="D84" s="195"/>
      <c r="E84" s="195"/>
      <c r="F84" s="196"/>
      <c r="G84" s="123" t="s">
        <v>301</v>
      </c>
      <c r="H84" s="195" t="e">
        <f>IF(VLOOKUP(H82,Preenchimento!$A:$BV,11,0)=0,"",VLOOKUP(H82,Preenchimento!$A:$BV,11,0))</f>
        <v>#N/A</v>
      </c>
      <c r="I84" s="195"/>
      <c r="J84" s="195"/>
      <c r="K84" s="195"/>
      <c r="L84" s="196"/>
      <c r="M84" s="123" t="s">
        <v>301</v>
      </c>
      <c r="N84" s="195" t="e">
        <f>IF(VLOOKUP(N82,Preenchimento!$A:$BV,11,0)=0,"",VLOOKUP(N82,Preenchimento!$A:$BV,11,0))</f>
        <v>#N/A</v>
      </c>
      <c r="O84" s="195"/>
      <c r="P84" s="195"/>
      <c r="Q84" s="195"/>
      <c r="R84" s="196"/>
      <c r="S84" s="123" t="s">
        <v>301</v>
      </c>
      <c r="T84" s="195" t="e">
        <f>IF(VLOOKUP(T82,Preenchimento!$A:$BV,11,0)=0,"",VLOOKUP(T82,Preenchimento!$A:$BV,11,0))</f>
        <v>#N/A</v>
      </c>
      <c r="U84" s="195"/>
      <c r="V84" s="195"/>
      <c r="W84" s="195"/>
      <c r="X84" s="196"/>
    </row>
    <row r="85" spans="1:24" s="130" customFormat="1" ht="33.950000000000003" customHeight="1" x14ac:dyDescent="0.25">
      <c r="A85" s="199" t="str">
        <f>Sitio!$A$3</f>
        <v>Projeto 01</v>
      </c>
      <c r="B85" s="200"/>
      <c r="C85" s="200"/>
      <c r="D85" s="200"/>
      <c r="E85" s="200"/>
      <c r="F85" s="201"/>
      <c r="G85" s="199" t="str">
        <f>Sitio!$A$3</f>
        <v>Projeto 01</v>
      </c>
      <c r="H85" s="200"/>
      <c r="I85" s="200"/>
      <c r="J85" s="200"/>
      <c r="K85" s="200"/>
      <c r="L85" s="201"/>
      <c r="M85" s="199" t="str">
        <f>Sitio!$A$3</f>
        <v>Projeto 01</v>
      </c>
      <c r="N85" s="200"/>
      <c r="O85" s="200"/>
      <c r="P85" s="200"/>
      <c r="Q85" s="200"/>
      <c r="R85" s="201"/>
      <c r="S85" s="199" t="str">
        <f>Sitio!$A$3</f>
        <v>Projeto 01</v>
      </c>
      <c r="T85" s="200"/>
      <c r="U85" s="200"/>
      <c r="V85" s="200"/>
      <c r="W85" s="200"/>
      <c r="X85" s="201"/>
    </row>
    <row r="86" spans="1:24" ht="9.75" customHeight="1" x14ac:dyDescent="0.15">
      <c r="A86" s="121" t="s">
        <v>294</v>
      </c>
      <c r="B86" s="193">
        <f>Sitio!$E$3</f>
        <v>0</v>
      </c>
      <c r="C86" s="193"/>
      <c r="D86" s="193"/>
      <c r="E86" s="193"/>
      <c r="F86" s="194"/>
      <c r="G86" s="121" t="s">
        <v>294</v>
      </c>
      <c r="H86" s="193">
        <f>Sitio!$E$3</f>
        <v>0</v>
      </c>
      <c r="I86" s="193"/>
      <c r="J86" s="193"/>
      <c r="K86" s="193"/>
      <c r="L86" s="194"/>
      <c r="M86" s="121" t="s">
        <v>294</v>
      </c>
      <c r="N86" s="193">
        <f>Sitio!$E$3</f>
        <v>0</v>
      </c>
      <c r="O86" s="193"/>
      <c r="P86" s="193"/>
      <c r="Q86" s="193"/>
      <c r="R86" s="194"/>
      <c r="S86" s="121" t="s">
        <v>294</v>
      </c>
      <c r="T86" s="193">
        <f>Sitio!$E$3</f>
        <v>0</v>
      </c>
      <c r="U86" s="193"/>
      <c r="V86" s="193"/>
      <c r="W86" s="193"/>
      <c r="X86" s="194"/>
    </row>
    <row r="87" spans="1:24" ht="9.75" customHeight="1" x14ac:dyDescent="0.15">
      <c r="A87" s="121" t="s">
        <v>295</v>
      </c>
      <c r="C87" s="193" t="e">
        <f>VLOOKUP(B89,Preenchimento!$A:$BV,2,0)</f>
        <v>#N/A</v>
      </c>
      <c r="D87" s="193" t="e">
        <f>VLOOKUP(C89,Preenchimento!$A:$BV,2,0)</f>
        <v>#N/A</v>
      </c>
      <c r="E87" s="193" t="e">
        <f>VLOOKUP(D89,Preenchimento!$A:$BV,2,0)</f>
        <v>#N/A</v>
      </c>
      <c r="F87" s="194" t="e">
        <f>VLOOKUP(E89,Preenchimento!$A:$BV,2,0)</f>
        <v>#N/A</v>
      </c>
      <c r="G87" s="121" t="s">
        <v>295</v>
      </c>
      <c r="I87" s="193" t="e">
        <f>VLOOKUP(H89,Preenchimento!$A:$BV,2,0)</f>
        <v>#N/A</v>
      </c>
      <c r="J87" s="193" t="e">
        <f>VLOOKUP(I89,Preenchimento!$A:$BV,2,0)</f>
        <v>#N/A</v>
      </c>
      <c r="K87" s="193" t="e">
        <f>VLOOKUP(J89,Preenchimento!$A:$BV,2,0)</f>
        <v>#N/A</v>
      </c>
      <c r="L87" s="194" t="e">
        <f>VLOOKUP(K89,Preenchimento!$A:$BV,2,0)</f>
        <v>#N/A</v>
      </c>
      <c r="M87" s="121" t="s">
        <v>295</v>
      </c>
      <c r="O87" s="193" t="e">
        <f>VLOOKUP(N89,Preenchimento!$A:$BV,2,0)</f>
        <v>#N/A</v>
      </c>
      <c r="P87" s="193" t="e">
        <f>VLOOKUP(O89,Preenchimento!$A:$BV,2,0)</f>
        <v>#N/A</v>
      </c>
      <c r="Q87" s="193" t="e">
        <f>VLOOKUP(P89,Preenchimento!$A:$BV,2,0)</f>
        <v>#N/A</v>
      </c>
      <c r="R87" s="194" t="e">
        <f>VLOOKUP(Q89,Preenchimento!$A:$BV,2,0)</f>
        <v>#N/A</v>
      </c>
      <c r="S87" s="121" t="s">
        <v>295</v>
      </c>
      <c r="U87" s="193" t="e">
        <f>VLOOKUP(T89,Preenchimento!$A:$BV,2,0)</f>
        <v>#N/A</v>
      </c>
      <c r="V87" s="193" t="e">
        <f>VLOOKUP(U89,Preenchimento!$A:$BV,2,0)</f>
        <v>#N/A</v>
      </c>
      <c r="W87" s="193" t="e">
        <f>VLOOKUP(V89,Preenchimento!$A:$BV,2,0)</f>
        <v>#N/A</v>
      </c>
      <c r="X87" s="194" t="e">
        <f>VLOOKUP(W89,Preenchimento!$A:$BV,2,0)</f>
        <v>#N/A</v>
      </c>
    </row>
    <row r="88" spans="1:24" ht="9.75" customHeight="1" x14ac:dyDescent="0.15">
      <c r="A88" s="121" t="s">
        <v>296</v>
      </c>
      <c r="B88" s="193" t="e">
        <f>VLOOKUP(B89,Preenchimento!$A:$BV,3,0)</f>
        <v>#N/A</v>
      </c>
      <c r="C88" s="193" t="e">
        <f>VLOOKUP(C89,Preenchimento!$A:$BV,3,0)</f>
        <v>#N/A</v>
      </c>
      <c r="D88" s="120" t="s">
        <v>297</v>
      </c>
      <c r="E88" s="197" t="e">
        <f>VLOOKUP(B89,Preenchimento!$A:$BV,5,0)</f>
        <v>#N/A</v>
      </c>
      <c r="F88" s="198" t="e">
        <f>VLOOKUP(C89,Preenchimento!$A:$BV,5,0)</f>
        <v>#N/A</v>
      </c>
      <c r="G88" s="121" t="s">
        <v>296</v>
      </c>
      <c r="H88" s="193" t="e">
        <f>VLOOKUP(H89,Preenchimento!$A:$BV,3,0)</f>
        <v>#N/A</v>
      </c>
      <c r="I88" s="193" t="e">
        <f>VLOOKUP(I89,Preenchimento!$A:$BV,3,0)</f>
        <v>#N/A</v>
      </c>
      <c r="J88" s="120" t="s">
        <v>297</v>
      </c>
      <c r="K88" s="197" t="e">
        <f>VLOOKUP(H89,Preenchimento!$A:$BV,5,0)</f>
        <v>#N/A</v>
      </c>
      <c r="L88" s="198" t="e">
        <f>VLOOKUP(I89,Preenchimento!$A:$BV,5,0)</f>
        <v>#N/A</v>
      </c>
      <c r="M88" s="121" t="s">
        <v>296</v>
      </c>
      <c r="N88" s="193" t="e">
        <f>VLOOKUP(N89,Preenchimento!$A:$BV,3,0)</f>
        <v>#N/A</v>
      </c>
      <c r="O88" s="193" t="e">
        <f>VLOOKUP(O89,Preenchimento!$A:$BV,3,0)</f>
        <v>#N/A</v>
      </c>
      <c r="P88" s="120" t="s">
        <v>297</v>
      </c>
      <c r="Q88" s="197" t="e">
        <f>VLOOKUP(N89,Preenchimento!$A:$BV,5,0)</f>
        <v>#N/A</v>
      </c>
      <c r="R88" s="198" t="e">
        <f>VLOOKUP(O89,Preenchimento!$A:$BV,5,0)</f>
        <v>#N/A</v>
      </c>
      <c r="S88" s="121" t="s">
        <v>296</v>
      </c>
      <c r="T88" s="193" t="e">
        <f>VLOOKUP(T89,Preenchimento!$A:$BV,3,0)</f>
        <v>#N/A</v>
      </c>
      <c r="U88" s="193" t="e">
        <f>VLOOKUP(U89,Preenchimento!$A:$BV,3,0)</f>
        <v>#N/A</v>
      </c>
      <c r="V88" s="120" t="s">
        <v>297</v>
      </c>
      <c r="W88" s="197" t="e">
        <f>VLOOKUP(T89,Preenchimento!$A:$BV,5,0)</f>
        <v>#N/A</v>
      </c>
      <c r="X88" s="198" t="e">
        <f>VLOOKUP(U89,Preenchimento!$A:$BV,5,0)</f>
        <v>#N/A</v>
      </c>
    </row>
    <row r="89" spans="1:24" ht="9.75" customHeight="1" x14ac:dyDescent="0.15">
      <c r="A89" s="121" t="s">
        <v>298</v>
      </c>
      <c r="B89" s="193"/>
      <c r="C89" s="193"/>
      <c r="D89" s="120" t="s">
        <v>299</v>
      </c>
      <c r="F89" s="131" t="e">
        <f>VLOOKUP(B89,Preenchimento!$A:$BV,10,0)</f>
        <v>#N/A</v>
      </c>
      <c r="G89" s="121" t="s">
        <v>298</v>
      </c>
      <c r="H89" s="193"/>
      <c r="I89" s="193"/>
      <c r="J89" s="120" t="s">
        <v>299</v>
      </c>
      <c r="L89" s="131" t="e">
        <f>VLOOKUP(H89,Preenchimento!$A:$BV,10,0)</f>
        <v>#N/A</v>
      </c>
      <c r="M89" s="121" t="s">
        <v>298</v>
      </c>
      <c r="N89" s="193"/>
      <c r="O89" s="193"/>
      <c r="P89" s="120" t="s">
        <v>299</v>
      </c>
      <c r="R89" s="131" t="e">
        <f>VLOOKUP(N89,Preenchimento!$A:$BV,10,0)</f>
        <v>#N/A</v>
      </c>
      <c r="S89" s="121" t="s">
        <v>298</v>
      </c>
      <c r="T89" s="193"/>
      <c r="U89" s="193"/>
      <c r="V89" s="120" t="s">
        <v>299</v>
      </c>
      <c r="X89" s="131" t="e">
        <f>VLOOKUP(T89,Preenchimento!$A:$BV,10,0)</f>
        <v>#N/A</v>
      </c>
    </row>
    <row r="90" spans="1:24" ht="9.75" customHeight="1" x14ac:dyDescent="0.15">
      <c r="A90" s="121" t="s">
        <v>300</v>
      </c>
      <c r="C90" s="193" t="e">
        <f>VLOOKUP(B89,Preenchimento!$A:$BV,12,0)</f>
        <v>#N/A</v>
      </c>
      <c r="D90" s="193" t="e">
        <f>VLOOKUP(C89,Preenchimento!$A:$BV,12,0)</f>
        <v>#N/A</v>
      </c>
      <c r="E90" s="193" t="e">
        <f>VLOOKUP(D89,Preenchimento!$A:$BV,12,0)</f>
        <v>#N/A</v>
      </c>
      <c r="F90" s="194" t="e">
        <f>VLOOKUP(E89,Preenchimento!$A:$BV,12,0)</f>
        <v>#N/A</v>
      </c>
      <c r="G90" s="121" t="s">
        <v>300</v>
      </c>
      <c r="I90" s="193" t="e">
        <f>VLOOKUP(H89,Preenchimento!$A:$BV,12,0)</f>
        <v>#N/A</v>
      </c>
      <c r="J90" s="193" t="e">
        <f>VLOOKUP(I89,Preenchimento!$A:$BV,12,0)</f>
        <v>#N/A</v>
      </c>
      <c r="K90" s="193" t="e">
        <f>VLOOKUP(J89,Preenchimento!$A:$BV,12,0)</f>
        <v>#N/A</v>
      </c>
      <c r="L90" s="194" t="e">
        <f>VLOOKUP(K89,Preenchimento!$A:$BV,12,0)</f>
        <v>#N/A</v>
      </c>
      <c r="M90" s="121" t="s">
        <v>300</v>
      </c>
      <c r="O90" s="193" t="e">
        <f>VLOOKUP(N89,Preenchimento!$A:$BV,12,0)</f>
        <v>#N/A</v>
      </c>
      <c r="P90" s="193" t="e">
        <f>VLOOKUP(O89,Preenchimento!$A:$BV,12,0)</f>
        <v>#N/A</v>
      </c>
      <c r="Q90" s="193" t="e">
        <f>VLOOKUP(P89,Preenchimento!$A:$BV,12,0)</f>
        <v>#N/A</v>
      </c>
      <c r="R90" s="194" t="e">
        <f>VLOOKUP(Q89,Preenchimento!$A:$BV,12,0)</f>
        <v>#N/A</v>
      </c>
      <c r="S90" s="121" t="s">
        <v>300</v>
      </c>
      <c r="U90" s="193" t="e">
        <f>VLOOKUP(T89,Preenchimento!$A:$BV,12,0)</f>
        <v>#N/A</v>
      </c>
      <c r="V90" s="193" t="e">
        <f>VLOOKUP(U89,Preenchimento!$A:$BV,12,0)</f>
        <v>#N/A</v>
      </c>
      <c r="W90" s="193" t="e">
        <f>VLOOKUP(V89,Preenchimento!$A:$BV,12,0)</f>
        <v>#N/A</v>
      </c>
      <c r="X90" s="194" t="e">
        <f>VLOOKUP(W89,Preenchimento!$A:$BV,12,0)</f>
        <v>#N/A</v>
      </c>
    </row>
    <row r="91" spans="1:24" ht="9.75" customHeight="1" x14ac:dyDescent="0.15">
      <c r="A91" s="123" t="s">
        <v>301</v>
      </c>
      <c r="B91" s="195" t="e">
        <f>IF(VLOOKUP(B89,Preenchimento!$A:$BV,11,0)=0,"",VLOOKUP(B89,Preenchimento!$A:$BV,11,0))</f>
        <v>#N/A</v>
      </c>
      <c r="C91" s="195"/>
      <c r="D91" s="195"/>
      <c r="E91" s="195"/>
      <c r="F91" s="196"/>
      <c r="G91" s="123" t="s">
        <v>301</v>
      </c>
      <c r="H91" s="195" t="e">
        <f>IF(VLOOKUP(H89,Preenchimento!$A:$BV,11,0)=0,"",VLOOKUP(H89,Preenchimento!$A:$BV,11,0))</f>
        <v>#N/A</v>
      </c>
      <c r="I91" s="195"/>
      <c r="J91" s="195"/>
      <c r="K91" s="195"/>
      <c r="L91" s="196"/>
      <c r="M91" s="123" t="s">
        <v>301</v>
      </c>
      <c r="N91" s="195" t="e">
        <f>IF(VLOOKUP(N89,Preenchimento!$A:$BV,11,0)=0,"",VLOOKUP(N89,Preenchimento!$A:$BV,11,0))</f>
        <v>#N/A</v>
      </c>
      <c r="O91" s="195"/>
      <c r="P91" s="195"/>
      <c r="Q91" s="195"/>
      <c r="R91" s="196"/>
      <c r="S91" s="123" t="s">
        <v>301</v>
      </c>
      <c r="T91" s="195" t="e">
        <f>IF(VLOOKUP(T89,Preenchimento!$A:$BV,11,0)=0,"",VLOOKUP(T89,Preenchimento!$A:$BV,11,0))</f>
        <v>#N/A</v>
      </c>
      <c r="U91" s="195"/>
      <c r="V91" s="195"/>
      <c r="W91" s="195"/>
      <c r="X91" s="196"/>
    </row>
    <row r="92" spans="1:24" s="130" customFormat="1" ht="33.950000000000003" customHeight="1" x14ac:dyDescent="0.25">
      <c r="A92" s="199" t="str">
        <f>Sitio!$A$3</f>
        <v>Projeto 01</v>
      </c>
      <c r="B92" s="200"/>
      <c r="C92" s="200"/>
      <c r="D92" s="200"/>
      <c r="E92" s="200"/>
      <c r="F92" s="201"/>
      <c r="G92" s="199" t="str">
        <f>Sitio!$A$3</f>
        <v>Projeto 01</v>
      </c>
      <c r="H92" s="200"/>
      <c r="I92" s="200"/>
      <c r="J92" s="200"/>
      <c r="K92" s="200"/>
      <c r="L92" s="201"/>
      <c r="M92" s="199" t="str">
        <f>Sitio!$A$3</f>
        <v>Projeto 01</v>
      </c>
      <c r="N92" s="200"/>
      <c r="O92" s="200"/>
      <c r="P92" s="200"/>
      <c r="Q92" s="200"/>
      <c r="R92" s="201"/>
      <c r="S92" s="199" t="str">
        <f>Sitio!$A$3</f>
        <v>Projeto 01</v>
      </c>
      <c r="T92" s="200"/>
      <c r="U92" s="200"/>
      <c r="V92" s="200"/>
      <c r="W92" s="200"/>
      <c r="X92" s="201"/>
    </row>
    <row r="93" spans="1:24" ht="9.75" customHeight="1" x14ac:dyDescent="0.15">
      <c r="A93" s="121" t="s">
        <v>294</v>
      </c>
      <c r="B93" s="193">
        <f>Sitio!$E$3</f>
        <v>0</v>
      </c>
      <c r="C93" s="193"/>
      <c r="D93" s="193"/>
      <c r="E93" s="193"/>
      <c r="F93" s="194"/>
      <c r="G93" s="121" t="s">
        <v>294</v>
      </c>
      <c r="H93" s="193">
        <f>Sitio!$E$3</f>
        <v>0</v>
      </c>
      <c r="I93" s="193"/>
      <c r="J93" s="193"/>
      <c r="K93" s="193"/>
      <c r="L93" s="194"/>
      <c r="M93" s="121" t="s">
        <v>294</v>
      </c>
      <c r="N93" s="193">
        <f>Sitio!$E$3</f>
        <v>0</v>
      </c>
      <c r="O93" s="193"/>
      <c r="P93" s="193"/>
      <c r="Q93" s="193"/>
      <c r="R93" s="194"/>
      <c r="S93" s="121" t="s">
        <v>294</v>
      </c>
      <c r="T93" s="193">
        <f>Sitio!$E$3</f>
        <v>0</v>
      </c>
      <c r="U93" s="193"/>
      <c r="V93" s="193"/>
      <c r="W93" s="193"/>
      <c r="X93" s="194"/>
    </row>
    <row r="94" spans="1:24" ht="9.75" customHeight="1" x14ac:dyDescent="0.15">
      <c r="A94" s="121" t="s">
        <v>295</v>
      </c>
      <c r="C94" s="193" t="e">
        <f>VLOOKUP(B96,Preenchimento!$A:$BV,2,0)</f>
        <v>#N/A</v>
      </c>
      <c r="D94" s="193" t="e">
        <f>VLOOKUP(C96,Preenchimento!$A:$BV,2,0)</f>
        <v>#N/A</v>
      </c>
      <c r="E94" s="193" t="e">
        <f>VLOOKUP(D96,Preenchimento!$A:$BV,2,0)</f>
        <v>#N/A</v>
      </c>
      <c r="F94" s="194" t="e">
        <f>VLOOKUP(E96,Preenchimento!$A:$BV,2,0)</f>
        <v>#N/A</v>
      </c>
      <c r="G94" s="121" t="s">
        <v>295</v>
      </c>
      <c r="I94" s="193" t="e">
        <f>VLOOKUP(H96,Preenchimento!$A:$BV,2,0)</f>
        <v>#N/A</v>
      </c>
      <c r="J94" s="193" t="e">
        <f>VLOOKUP(I96,Preenchimento!$A:$BV,2,0)</f>
        <v>#N/A</v>
      </c>
      <c r="K94" s="193" t="e">
        <f>VLOOKUP(J96,Preenchimento!$A:$BV,2,0)</f>
        <v>#N/A</v>
      </c>
      <c r="L94" s="194" t="e">
        <f>VLOOKUP(K96,Preenchimento!$A:$BV,2,0)</f>
        <v>#N/A</v>
      </c>
      <c r="M94" s="121" t="s">
        <v>295</v>
      </c>
      <c r="O94" s="193" t="e">
        <f>VLOOKUP(N96,Preenchimento!$A:$BV,2,0)</f>
        <v>#N/A</v>
      </c>
      <c r="P94" s="193" t="e">
        <f>VLOOKUP(O96,Preenchimento!$A:$BV,2,0)</f>
        <v>#N/A</v>
      </c>
      <c r="Q94" s="193" t="e">
        <f>VLOOKUP(P96,Preenchimento!$A:$BV,2,0)</f>
        <v>#N/A</v>
      </c>
      <c r="R94" s="194" t="e">
        <f>VLOOKUP(Q96,Preenchimento!$A:$BV,2,0)</f>
        <v>#N/A</v>
      </c>
      <c r="S94" s="121" t="s">
        <v>295</v>
      </c>
      <c r="U94" s="193" t="e">
        <f>VLOOKUP(T96,Preenchimento!$A:$BV,2,0)</f>
        <v>#N/A</v>
      </c>
      <c r="V94" s="193" t="e">
        <f>VLOOKUP(U96,Preenchimento!$A:$BV,2,0)</f>
        <v>#N/A</v>
      </c>
      <c r="W94" s="193" t="e">
        <f>VLOOKUP(V96,Preenchimento!$A:$BV,2,0)</f>
        <v>#N/A</v>
      </c>
      <c r="X94" s="194" t="e">
        <f>VLOOKUP(W96,Preenchimento!$A:$BV,2,0)</f>
        <v>#N/A</v>
      </c>
    </row>
    <row r="95" spans="1:24" ht="9.75" customHeight="1" x14ac:dyDescent="0.15">
      <c r="A95" s="121" t="s">
        <v>296</v>
      </c>
      <c r="B95" s="193" t="e">
        <f>VLOOKUP(B96,Preenchimento!$A:$BV,3,0)</f>
        <v>#N/A</v>
      </c>
      <c r="C95" s="193" t="e">
        <f>VLOOKUP(C96,Preenchimento!$A:$BV,3,0)</f>
        <v>#N/A</v>
      </c>
      <c r="D95" s="120" t="s">
        <v>297</v>
      </c>
      <c r="E95" s="197" t="e">
        <f>VLOOKUP(B96,Preenchimento!$A:$BV,5,0)</f>
        <v>#N/A</v>
      </c>
      <c r="F95" s="198" t="e">
        <f>VLOOKUP(C96,Preenchimento!$A:$BV,5,0)</f>
        <v>#N/A</v>
      </c>
      <c r="G95" s="121" t="s">
        <v>296</v>
      </c>
      <c r="H95" s="193" t="e">
        <f>VLOOKUP(H96,Preenchimento!$A:$BV,3,0)</f>
        <v>#N/A</v>
      </c>
      <c r="I95" s="193" t="e">
        <f>VLOOKUP(I96,Preenchimento!$A:$BV,3,0)</f>
        <v>#N/A</v>
      </c>
      <c r="J95" s="120" t="s">
        <v>297</v>
      </c>
      <c r="K95" s="197" t="e">
        <f>VLOOKUP(H96,Preenchimento!$A:$BV,5,0)</f>
        <v>#N/A</v>
      </c>
      <c r="L95" s="198" t="e">
        <f>VLOOKUP(I96,Preenchimento!$A:$BV,5,0)</f>
        <v>#N/A</v>
      </c>
      <c r="M95" s="121" t="s">
        <v>296</v>
      </c>
      <c r="N95" s="193" t="e">
        <f>VLOOKUP(N96,Preenchimento!$A:$BV,3,0)</f>
        <v>#N/A</v>
      </c>
      <c r="O95" s="193" t="e">
        <f>VLOOKUP(O96,Preenchimento!$A:$BV,3,0)</f>
        <v>#N/A</v>
      </c>
      <c r="P95" s="120" t="s">
        <v>297</v>
      </c>
      <c r="Q95" s="197" t="e">
        <f>VLOOKUP(N96,Preenchimento!$A:$BV,5,0)</f>
        <v>#N/A</v>
      </c>
      <c r="R95" s="198" t="e">
        <f>VLOOKUP(O96,Preenchimento!$A:$BV,5,0)</f>
        <v>#N/A</v>
      </c>
      <c r="S95" s="121" t="s">
        <v>296</v>
      </c>
      <c r="T95" s="193" t="e">
        <f>VLOOKUP(T96,Preenchimento!$A:$BV,3,0)</f>
        <v>#N/A</v>
      </c>
      <c r="U95" s="193" t="e">
        <f>VLOOKUP(U96,Preenchimento!$A:$BV,3,0)</f>
        <v>#N/A</v>
      </c>
      <c r="V95" s="120" t="s">
        <v>297</v>
      </c>
      <c r="W95" s="197" t="e">
        <f>VLOOKUP(T96,Preenchimento!$A:$BV,5,0)</f>
        <v>#N/A</v>
      </c>
      <c r="X95" s="198" t="e">
        <f>VLOOKUP(U96,Preenchimento!$A:$BV,5,0)</f>
        <v>#N/A</v>
      </c>
    </row>
    <row r="96" spans="1:24" ht="9.75" customHeight="1" x14ac:dyDescent="0.15">
      <c r="A96" s="121" t="s">
        <v>298</v>
      </c>
      <c r="B96" s="193"/>
      <c r="C96" s="193"/>
      <c r="D96" s="120" t="s">
        <v>299</v>
      </c>
      <c r="F96" s="131" t="e">
        <f>VLOOKUP(B96,Preenchimento!$A:$BV,10,0)</f>
        <v>#N/A</v>
      </c>
      <c r="G96" s="121" t="s">
        <v>298</v>
      </c>
      <c r="H96" s="193"/>
      <c r="I96" s="193"/>
      <c r="J96" s="120" t="s">
        <v>299</v>
      </c>
      <c r="L96" s="131" t="e">
        <f>VLOOKUP(H96,Preenchimento!$A:$BV,10,0)</f>
        <v>#N/A</v>
      </c>
      <c r="M96" s="121" t="s">
        <v>298</v>
      </c>
      <c r="N96" s="193"/>
      <c r="O96" s="193"/>
      <c r="P96" s="120" t="s">
        <v>299</v>
      </c>
      <c r="R96" s="131" t="e">
        <f>VLOOKUP(N96,Preenchimento!$A:$BV,10,0)</f>
        <v>#N/A</v>
      </c>
      <c r="S96" s="121" t="s">
        <v>298</v>
      </c>
      <c r="T96" s="193"/>
      <c r="U96" s="193"/>
      <c r="V96" s="120" t="s">
        <v>299</v>
      </c>
      <c r="X96" s="131" t="e">
        <f>VLOOKUP(T96,Preenchimento!$A:$BV,10,0)</f>
        <v>#N/A</v>
      </c>
    </row>
    <row r="97" spans="1:24" ht="9.75" customHeight="1" x14ac:dyDescent="0.15">
      <c r="A97" s="121" t="s">
        <v>300</v>
      </c>
      <c r="C97" s="193" t="e">
        <f>VLOOKUP(B96,Preenchimento!$A:$BV,12,0)</f>
        <v>#N/A</v>
      </c>
      <c r="D97" s="193" t="e">
        <f>VLOOKUP(C96,Preenchimento!$A:$BV,12,0)</f>
        <v>#N/A</v>
      </c>
      <c r="E97" s="193" t="e">
        <f>VLOOKUP(D96,Preenchimento!$A:$BV,12,0)</f>
        <v>#N/A</v>
      </c>
      <c r="F97" s="194" t="e">
        <f>VLOOKUP(E96,Preenchimento!$A:$BV,12,0)</f>
        <v>#N/A</v>
      </c>
      <c r="G97" s="121" t="s">
        <v>300</v>
      </c>
      <c r="I97" s="193" t="e">
        <f>VLOOKUP(H96,Preenchimento!$A:$BV,12,0)</f>
        <v>#N/A</v>
      </c>
      <c r="J97" s="193" t="e">
        <f>VLOOKUP(I96,Preenchimento!$A:$BV,12,0)</f>
        <v>#N/A</v>
      </c>
      <c r="K97" s="193" t="e">
        <f>VLOOKUP(J96,Preenchimento!$A:$BV,12,0)</f>
        <v>#N/A</v>
      </c>
      <c r="L97" s="194" t="e">
        <f>VLOOKUP(K96,Preenchimento!$A:$BV,12,0)</f>
        <v>#N/A</v>
      </c>
      <c r="M97" s="121" t="s">
        <v>300</v>
      </c>
      <c r="O97" s="193" t="e">
        <f>VLOOKUP(N96,Preenchimento!$A:$BV,12,0)</f>
        <v>#N/A</v>
      </c>
      <c r="P97" s="193" t="e">
        <f>VLOOKUP(O96,Preenchimento!$A:$BV,12,0)</f>
        <v>#N/A</v>
      </c>
      <c r="Q97" s="193" t="e">
        <f>VLOOKUP(P96,Preenchimento!$A:$BV,12,0)</f>
        <v>#N/A</v>
      </c>
      <c r="R97" s="194" t="e">
        <f>VLOOKUP(Q96,Preenchimento!$A:$BV,12,0)</f>
        <v>#N/A</v>
      </c>
      <c r="S97" s="121" t="s">
        <v>300</v>
      </c>
      <c r="U97" s="193" t="e">
        <f>VLOOKUP(T96,Preenchimento!$A:$BV,12,0)</f>
        <v>#N/A</v>
      </c>
      <c r="V97" s="193" t="e">
        <f>VLOOKUP(U96,Preenchimento!$A:$BV,12,0)</f>
        <v>#N/A</v>
      </c>
      <c r="W97" s="193" t="e">
        <f>VLOOKUP(V96,Preenchimento!$A:$BV,12,0)</f>
        <v>#N/A</v>
      </c>
      <c r="X97" s="194" t="e">
        <f>VLOOKUP(W96,Preenchimento!$A:$BV,12,0)</f>
        <v>#N/A</v>
      </c>
    </row>
    <row r="98" spans="1:24" ht="9.75" customHeight="1" x14ac:dyDescent="0.15">
      <c r="A98" s="123" t="s">
        <v>301</v>
      </c>
      <c r="B98" s="195" t="e">
        <f>IF(VLOOKUP(B96,Preenchimento!$A:$BV,11,0)=0,"",VLOOKUP(B96,Preenchimento!$A:$BV,11,0))</f>
        <v>#N/A</v>
      </c>
      <c r="C98" s="195"/>
      <c r="D98" s="195"/>
      <c r="E98" s="195"/>
      <c r="F98" s="196"/>
      <c r="G98" s="123" t="s">
        <v>301</v>
      </c>
      <c r="H98" s="195" t="e">
        <f>IF(VLOOKUP(H96,Preenchimento!$A:$BV,11,0)=0,"",VLOOKUP(H96,Preenchimento!$A:$BV,11,0))</f>
        <v>#N/A</v>
      </c>
      <c r="I98" s="195"/>
      <c r="J98" s="195"/>
      <c r="K98" s="195"/>
      <c r="L98" s="196"/>
      <c r="M98" s="123" t="s">
        <v>301</v>
      </c>
      <c r="N98" s="195" t="e">
        <f>IF(VLOOKUP(N96,Preenchimento!$A:$BV,11,0)=0,"",VLOOKUP(N96,Preenchimento!$A:$BV,11,0))</f>
        <v>#N/A</v>
      </c>
      <c r="O98" s="195"/>
      <c r="P98" s="195"/>
      <c r="Q98" s="195"/>
      <c r="R98" s="196"/>
      <c r="S98" s="123" t="s">
        <v>301</v>
      </c>
      <c r="T98" s="195" t="e">
        <f>IF(VLOOKUP(T96,Preenchimento!$A:$BV,11,0)=0,"",VLOOKUP(T96,Preenchimento!$A:$BV,11,0))</f>
        <v>#N/A</v>
      </c>
      <c r="U98" s="195"/>
      <c r="V98" s="195"/>
      <c r="W98" s="195"/>
      <c r="X98" s="196"/>
    </row>
    <row r="99" spans="1:24" s="130" customFormat="1" ht="33.950000000000003" customHeight="1" x14ac:dyDescent="0.25">
      <c r="A99" s="199" t="str">
        <f>Sitio!$A$3</f>
        <v>Projeto 01</v>
      </c>
      <c r="B99" s="200"/>
      <c r="C99" s="200"/>
      <c r="D99" s="200"/>
      <c r="E99" s="200"/>
      <c r="F99" s="201"/>
      <c r="G99" s="199" t="str">
        <f>Sitio!$A$3</f>
        <v>Projeto 01</v>
      </c>
      <c r="H99" s="200"/>
      <c r="I99" s="200"/>
      <c r="J99" s="200"/>
      <c r="K99" s="200"/>
      <c r="L99" s="201"/>
      <c r="M99" s="199" t="str">
        <f>Sitio!$A$3</f>
        <v>Projeto 01</v>
      </c>
      <c r="N99" s="200"/>
      <c r="O99" s="200"/>
      <c r="P99" s="200"/>
      <c r="Q99" s="200"/>
      <c r="R99" s="201"/>
      <c r="S99" s="199" t="str">
        <f>Sitio!$A$3</f>
        <v>Projeto 01</v>
      </c>
      <c r="T99" s="200"/>
      <c r="U99" s="200"/>
      <c r="V99" s="200"/>
      <c r="W99" s="200"/>
      <c r="X99" s="201"/>
    </row>
    <row r="100" spans="1:24" ht="9.75" customHeight="1" x14ac:dyDescent="0.15">
      <c r="A100" s="121" t="s">
        <v>294</v>
      </c>
      <c r="B100" s="193">
        <f>Sitio!$E$3</f>
        <v>0</v>
      </c>
      <c r="C100" s="193"/>
      <c r="D100" s="193"/>
      <c r="E100" s="193"/>
      <c r="F100" s="194"/>
      <c r="G100" s="121" t="s">
        <v>294</v>
      </c>
      <c r="H100" s="193">
        <f>Sitio!$E$3</f>
        <v>0</v>
      </c>
      <c r="I100" s="193"/>
      <c r="J100" s="193"/>
      <c r="K100" s="193"/>
      <c r="L100" s="194"/>
      <c r="M100" s="121" t="s">
        <v>294</v>
      </c>
      <c r="N100" s="193">
        <f>Sitio!$E$3</f>
        <v>0</v>
      </c>
      <c r="O100" s="193"/>
      <c r="P100" s="193"/>
      <c r="Q100" s="193"/>
      <c r="R100" s="194"/>
      <c r="S100" s="121" t="s">
        <v>294</v>
      </c>
      <c r="T100" s="193">
        <f>Sitio!$E$3</f>
        <v>0</v>
      </c>
      <c r="U100" s="193"/>
      <c r="V100" s="193"/>
      <c r="W100" s="193"/>
      <c r="X100" s="194"/>
    </row>
    <row r="101" spans="1:24" ht="9.75" customHeight="1" x14ac:dyDescent="0.15">
      <c r="A101" s="121" t="s">
        <v>295</v>
      </c>
      <c r="C101" s="193" t="e">
        <f>VLOOKUP(B103,Preenchimento!$A:$BV,2,0)</f>
        <v>#N/A</v>
      </c>
      <c r="D101" s="193" t="e">
        <f>VLOOKUP(C103,Preenchimento!$A:$BV,2,0)</f>
        <v>#N/A</v>
      </c>
      <c r="E101" s="193" t="e">
        <f>VLOOKUP(D103,Preenchimento!$A:$BV,2,0)</f>
        <v>#N/A</v>
      </c>
      <c r="F101" s="194" t="e">
        <f>VLOOKUP(E103,Preenchimento!$A:$BV,2,0)</f>
        <v>#N/A</v>
      </c>
      <c r="G101" s="121" t="s">
        <v>295</v>
      </c>
      <c r="I101" s="193" t="e">
        <f>VLOOKUP(H103,Preenchimento!$A:$BV,2,0)</f>
        <v>#N/A</v>
      </c>
      <c r="J101" s="193" t="e">
        <f>VLOOKUP(I103,Preenchimento!$A:$BV,2,0)</f>
        <v>#N/A</v>
      </c>
      <c r="K101" s="193" t="e">
        <f>VLOOKUP(J103,Preenchimento!$A:$BV,2,0)</f>
        <v>#N/A</v>
      </c>
      <c r="L101" s="194" t="e">
        <f>VLOOKUP(K103,Preenchimento!$A:$BV,2,0)</f>
        <v>#N/A</v>
      </c>
      <c r="M101" s="121" t="s">
        <v>295</v>
      </c>
      <c r="O101" s="193" t="e">
        <f>VLOOKUP(N103,Preenchimento!$A:$BV,2,0)</f>
        <v>#N/A</v>
      </c>
      <c r="P101" s="193" t="e">
        <f>VLOOKUP(O103,Preenchimento!$A:$BV,2,0)</f>
        <v>#N/A</v>
      </c>
      <c r="Q101" s="193" t="e">
        <f>VLOOKUP(P103,Preenchimento!$A:$BV,2,0)</f>
        <v>#N/A</v>
      </c>
      <c r="R101" s="194" t="e">
        <f>VLOOKUP(Q103,Preenchimento!$A:$BV,2,0)</f>
        <v>#N/A</v>
      </c>
      <c r="S101" s="121" t="s">
        <v>295</v>
      </c>
      <c r="U101" s="193" t="e">
        <f>VLOOKUP(T103,Preenchimento!$A:$BV,2,0)</f>
        <v>#N/A</v>
      </c>
      <c r="V101" s="193" t="e">
        <f>VLOOKUP(U103,Preenchimento!$A:$BV,2,0)</f>
        <v>#N/A</v>
      </c>
      <c r="W101" s="193" t="e">
        <f>VLOOKUP(V103,Preenchimento!$A:$BV,2,0)</f>
        <v>#N/A</v>
      </c>
      <c r="X101" s="194" t="e">
        <f>VLOOKUP(W103,Preenchimento!$A:$BV,2,0)</f>
        <v>#N/A</v>
      </c>
    </row>
    <row r="102" spans="1:24" ht="9.75" customHeight="1" x14ac:dyDescent="0.15">
      <c r="A102" s="121" t="s">
        <v>296</v>
      </c>
      <c r="B102" s="193" t="e">
        <f>VLOOKUP(B103,Preenchimento!$A:$BV,3,0)</f>
        <v>#N/A</v>
      </c>
      <c r="C102" s="193" t="e">
        <f>VLOOKUP(C103,Preenchimento!$A:$BV,3,0)</f>
        <v>#N/A</v>
      </c>
      <c r="D102" s="120" t="s">
        <v>297</v>
      </c>
      <c r="E102" s="197" t="e">
        <f>VLOOKUP(B103,Preenchimento!$A:$BV,5,0)</f>
        <v>#N/A</v>
      </c>
      <c r="F102" s="198" t="e">
        <f>VLOOKUP(C103,Preenchimento!$A:$BV,5,0)</f>
        <v>#N/A</v>
      </c>
      <c r="G102" s="121" t="s">
        <v>296</v>
      </c>
      <c r="H102" s="193" t="e">
        <f>VLOOKUP(H103,Preenchimento!$A:$BV,3,0)</f>
        <v>#N/A</v>
      </c>
      <c r="I102" s="193" t="e">
        <f>VLOOKUP(I103,Preenchimento!$A:$BV,3,0)</f>
        <v>#N/A</v>
      </c>
      <c r="J102" s="120" t="s">
        <v>297</v>
      </c>
      <c r="K102" s="197" t="e">
        <f>VLOOKUP(H103,Preenchimento!$A:$BV,5,0)</f>
        <v>#N/A</v>
      </c>
      <c r="L102" s="198" t="e">
        <f>VLOOKUP(I103,Preenchimento!$A:$BV,5,0)</f>
        <v>#N/A</v>
      </c>
      <c r="M102" s="121" t="s">
        <v>296</v>
      </c>
      <c r="N102" s="193" t="e">
        <f>VLOOKUP(N103,Preenchimento!$A:$BV,3,0)</f>
        <v>#N/A</v>
      </c>
      <c r="O102" s="193" t="e">
        <f>VLOOKUP(O103,Preenchimento!$A:$BV,3,0)</f>
        <v>#N/A</v>
      </c>
      <c r="P102" s="120" t="s">
        <v>297</v>
      </c>
      <c r="Q102" s="197" t="e">
        <f>VLOOKUP(N103,Preenchimento!$A:$BV,5,0)</f>
        <v>#N/A</v>
      </c>
      <c r="R102" s="198" t="e">
        <f>VLOOKUP(O103,Preenchimento!$A:$BV,5,0)</f>
        <v>#N/A</v>
      </c>
      <c r="S102" s="121" t="s">
        <v>296</v>
      </c>
      <c r="T102" s="193" t="e">
        <f>VLOOKUP(T103,Preenchimento!$A:$BV,3,0)</f>
        <v>#N/A</v>
      </c>
      <c r="U102" s="193" t="e">
        <f>VLOOKUP(U103,Preenchimento!$A:$BV,3,0)</f>
        <v>#N/A</v>
      </c>
      <c r="V102" s="120" t="s">
        <v>297</v>
      </c>
      <c r="W102" s="197" t="e">
        <f>VLOOKUP(T103,Preenchimento!$A:$BV,5,0)</f>
        <v>#N/A</v>
      </c>
      <c r="X102" s="198" t="e">
        <f>VLOOKUP(U103,Preenchimento!$A:$BV,5,0)</f>
        <v>#N/A</v>
      </c>
    </row>
    <row r="103" spans="1:24" ht="9.75" customHeight="1" x14ac:dyDescent="0.15">
      <c r="A103" s="121" t="s">
        <v>298</v>
      </c>
      <c r="B103" s="193"/>
      <c r="C103" s="193"/>
      <c r="D103" s="120" t="s">
        <v>299</v>
      </c>
      <c r="F103" s="131" t="e">
        <f>VLOOKUP(B103,Preenchimento!$A:$BV,10,0)</f>
        <v>#N/A</v>
      </c>
      <c r="G103" s="121" t="s">
        <v>298</v>
      </c>
      <c r="H103" s="193"/>
      <c r="I103" s="193"/>
      <c r="J103" s="120" t="s">
        <v>299</v>
      </c>
      <c r="L103" s="131" t="e">
        <f>VLOOKUP(H103,Preenchimento!$A:$BV,10,0)</f>
        <v>#N/A</v>
      </c>
      <c r="M103" s="121" t="s">
        <v>298</v>
      </c>
      <c r="N103" s="193"/>
      <c r="O103" s="193"/>
      <c r="P103" s="120" t="s">
        <v>299</v>
      </c>
      <c r="R103" s="131" t="e">
        <f>VLOOKUP(N103,Preenchimento!$A:$BV,10,0)</f>
        <v>#N/A</v>
      </c>
      <c r="S103" s="121" t="s">
        <v>298</v>
      </c>
      <c r="T103" s="193"/>
      <c r="U103" s="193"/>
      <c r="V103" s="120" t="s">
        <v>299</v>
      </c>
      <c r="X103" s="131" t="e">
        <f>VLOOKUP(T103,Preenchimento!$A:$BV,10,0)</f>
        <v>#N/A</v>
      </c>
    </row>
    <row r="104" spans="1:24" ht="9.75" customHeight="1" x14ac:dyDescent="0.15">
      <c r="A104" s="121" t="s">
        <v>300</v>
      </c>
      <c r="C104" s="193" t="e">
        <f>VLOOKUP(B103,Preenchimento!$A:$BV,12,0)</f>
        <v>#N/A</v>
      </c>
      <c r="D104" s="193" t="e">
        <f>VLOOKUP(C103,Preenchimento!$A:$BV,12,0)</f>
        <v>#N/A</v>
      </c>
      <c r="E104" s="193" t="e">
        <f>VLOOKUP(D103,Preenchimento!$A:$BV,12,0)</f>
        <v>#N/A</v>
      </c>
      <c r="F104" s="194" t="e">
        <f>VLOOKUP(E103,Preenchimento!$A:$BV,12,0)</f>
        <v>#N/A</v>
      </c>
      <c r="G104" s="121" t="s">
        <v>300</v>
      </c>
      <c r="I104" s="193" t="e">
        <f>VLOOKUP(H103,Preenchimento!$A:$BV,12,0)</f>
        <v>#N/A</v>
      </c>
      <c r="J104" s="193" t="e">
        <f>VLOOKUP(I103,Preenchimento!$A:$BV,12,0)</f>
        <v>#N/A</v>
      </c>
      <c r="K104" s="193" t="e">
        <f>VLOOKUP(J103,Preenchimento!$A:$BV,12,0)</f>
        <v>#N/A</v>
      </c>
      <c r="L104" s="194" t="e">
        <f>VLOOKUP(K103,Preenchimento!$A:$BV,12,0)</f>
        <v>#N/A</v>
      </c>
      <c r="M104" s="121" t="s">
        <v>300</v>
      </c>
      <c r="O104" s="193" t="e">
        <f>VLOOKUP(N103,Preenchimento!$A:$BV,12,0)</f>
        <v>#N/A</v>
      </c>
      <c r="P104" s="193" t="e">
        <f>VLOOKUP(O103,Preenchimento!$A:$BV,12,0)</f>
        <v>#N/A</v>
      </c>
      <c r="Q104" s="193" t="e">
        <f>VLOOKUP(P103,Preenchimento!$A:$BV,12,0)</f>
        <v>#N/A</v>
      </c>
      <c r="R104" s="194" t="e">
        <f>VLOOKUP(Q103,Preenchimento!$A:$BV,12,0)</f>
        <v>#N/A</v>
      </c>
      <c r="S104" s="121" t="s">
        <v>300</v>
      </c>
      <c r="U104" s="193" t="e">
        <f>VLOOKUP(T103,Preenchimento!$A:$BV,12,0)</f>
        <v>#N/A</v>
      </c>
      <c r="V104" s="193" t="e">
        <f>VLOOKUP(U103,Preenchimento!$A:$BV,12,0)</f>
        <v>#N/A</v>
      </c>
      <c r="W104" s="193" t="e">
        <f>VLOOKUP(V103,Preenchimento!$A:$BV,12,0)</f>
        <v>#N/A</v>
      </c>
      <c r="X104" s="194" t="e">
        <f>VLOOKUP(W103,Preenchimento!$A:$BV,12,0)</f>
        <v>#N/A</v>
      </c>
    </row>
    <row r="105" spans="1:24" ht="9.75" customHeight="1" x14ac:dyDescent="0.15">
      <c r="A105" s="123" t="s">
        <v>301</v>
      </c>
      <c r="B105" s="195" t="e">
        <f>IF(VLOOKUP(B103,Preenchimento!$A:$BV,11,0)=0,"",VLOOKUP(B103,Preenchimento!$A:$BV,11,0))</f>
        <v>#N/A</v>
      </c>
      <c r="C105" s="195"/>
      <c r="D105" s="195"/>
      <c r="E105" s="195"/>
      <c r="F105" s="196"/>
      <c r="G105" s="123" t="s">
        <v>301</v>
      </c>
      <c r="H105" s="195" t="e">
        <f>IF(VLOOKUP(H103,Preenchimento!$A:$BV,11,0)=0,"",VLOOKUP(H103,Preenchimento!$A:$BV,11,0))</f>
        <v>#N/A</v>
      </c>
      <c r="I105" s="195"/>
      <c r="J105" s="195"/>
      <c r="K105" s="195"/>
      <c r="L105" s="196"/>
      <c r="M105" s="123" t="s">
        <v>301</v>
      </c>
      <c r="N105" s="195" t="e">
        <f>IF(VLOOKUP(N103,Preenchimento!$A:$BV,11,0)=0,"",VLOOKUP(N103,Preenchimento!$A:$BV,11,0))</f>
        <v>#N/A</v>
      </c>
      <c r="O105" s="195"/>
      <c r="P105" s="195"/>
      <c r="Q105" s="195"/>
      <c r="R105" s="196"/>
      <c r="S105" s="123" t="s">
        <v>301</v>
      </c>
      <c r="T105" s="195" t="e">
        <f>IF(VLOOKUP(T103,Preenchimento!$A:$BV,11,0)=0,"",VLOOKUP(T103,Preenchimento!$A:$BV,11,0))</f>
        <v>#N/A</v>
      </c>
      <c r="U105" s="195"/>
      <c r="V105" s="195"/>
      <c r="W105" s="195"/>
      <c r="X105" s="196"/>
    </row>
    <row r="106" spans="1:24" s="130" customFormat="1" ht="33.950000000000003" customHeight="1" x14ac:dyDescent="0.25">
      <c r="A106" s="199" t="str">
        <f>Sitio!$A$3</f>
        <v>Projeto 01</v>
      </c>
      <c r="B106" s="200"/>
      <c r="C106" s="200"/>
      <c r="D106" s="200"/>
      <c r="E106" s="200"/>
      <c r="F106" s="201"/>
      <c r="G106" s="199" t="str">
        <f>Sitio!$A$3</f>
        <v>Projeto 01</v>
      </c>
      <c r="H106" s="200"/>
      <c r="I106" s="200"/>
      <c r="J106" s="200"/>
      <c r="K106" s="200"/>
      <c r="L106" s="201"/>
      <c r="M106" s="199" t="str">
        <f>Sitio!$A$3</f>
        <v>Projeto 01</v>
      </c>
      <c r="N106" s="200"/>
      <c r="O106" s="200"/>
      <c r="P106" s="200"/>
      <c r="Q106" s="200"/>
      <c r="R106" s="201"/>
      <c r="S106" s="199" t="str">
        <f>Sitio!$A$3</f>
        <v>Projeto 01</v>
      </c>
      <c r="T106" s="200"/>
      <c r="U106" s="200"/>
      <c r="V106" s="200"/>
      <c r="W106" s="200"/>
      <c r="X106" s="201"/>
    </row>
    <row r="107" spans="1:24" ht="9.75" customHeight="1" x14ac:dyDescent="0.15">
      <c r="A107" s="121" t="s">
        <v>294</v>
      </c>
      <c r="B107" s="193">
        <f>Sitio!$E$3</f>
        <v>0</v>
      </c>
      <c r="C107" s="193"/>
      <c r="D107" s="193"/>
      <c r="E107" s="193"/>
      <c r="F107" s="194"/>
      <c r="G107" s="121" t="s">
        <v>294</v>
      </c>
      <c r="H107" s="193">
        <f>Sitio!$E$3</f>
        <v>0</v>
      </c>
      <c r="I107" s="193"/>
      <c r="J107" s="193"/>
      <c r="K107" s="193"/>
      <c r="L107" s="194"/>
      <c r="M107" s="121" t="s">
        <v>294</v>
      </c>
      <c r="N107" s="193">
        <f>Sitio!$E$3</f>
        <v>0</v>
      </c>
      <c r="O107" s="193"/>
      <c r="P107" s="193"/>
      <c r="Q107" s="193"/>
      <c r="R107" s="194"/>
      <c r="S107" s="121" t="s">
        <v>294</v>
      </c>
      <c r="T107" s="193">
        <f>Sitio!$E$3</f>
        <v>0</v>
      </c>
      <c r="U107" s="193"/>
      <c r="V107" s="193"/>
      <c r="W107" s="193"/>
      <c r="X107" s="194"/>
    </row>
    <row r="108" spans="1:24" ht="9.75" customHeight="1" x14ac:dyDescent="0.15">
      <c r="A108" s="121" t="s">
        <v>295</v>
      </c>
      <c r="C108" s="193" t="e">
        <f>VLOOKUP(B110,Preenchimento!$A:$BV,2,0)</f>
        <v>#N/A</v>
      </c>
      <c r="D108" s="193" t="e">
        <f>VLOOKUP(C110,Preenchimento!$A:$BV,2,0)</f>
        <v>#N/A</v>
      </c>
      <c r="E108" s="193" t="e">
        <f>VLOOKUP(D110,Preenchimento!$A:$BV,2,0)</f>
        <v>#N/A</v>
      </c>
      <c r="F108" s="194" t="e">
        <f>VLOOKUP(E110,Preenchimento!$A:$BV,2,0)</f>
        <v>#N/A</v>
      </c>
      <c r="G108" s="121" t="s">
        <v>295</v>
      </c>
      <c r="I108" s="193" t="e">
        <f>VLOOKUP(H110,Preenchimento!$A:$BV,2,0)</f>
        <v>#N/A</v>
      </c>
      <c r="J108" s="193" t="e">
        <f>VLOOKUP(I110,Preenchimento!$A:$BV,2,0)</f>
        <v>#N/A</v>
      </c>
      <c r="K108" s="193" t="e">
        <f>VLOOKUP(J110,Preenchimento!$A:$BV,2,0)</f>
        <v>#N/A</v>
      </c>
      <c r="L108" s="194" t="e">
        <f>VLOOKUP(K110,Preenchimento!$A:$BV,2,0)</f>
        <v>#N/A</v>
      </c>
      <c r="M108" s="121" t="s">
        <v>295</v>
      </c>
      <c r="O108" s="193" t="e">
        <f>VLOOKUP(N110,Preenchimento!$A:$BV,2,0)</f>
        <v>#N/A</v>
      </c>
      <c r="P108" s="193" t="e">
        <f>VLOOKUP(O110,Preenchimento!$A:$BV,2,0)</f>
        <v>#N/A</v>
      </c>
      <c r="Q108" s="193" t="e">
        <f>VLOOKUP(P110,Preenchimento!$A:$BV,2,0)</f>
        <v>#N/A</v>
      </c>
      <c r="R108" s="194" t="e">
        <f>VLOOKUP(Q110,Preenchimento!$A:$BV,2,0)</f>
        <v>#N/A</v>
      </c>
      <c r="S108" s="121" t="s">
        <v>295</v>
      </c>
      <c r="U108" s="193" t="e">
        <f>VLOOKUP(T110,Preenchimento!$A:$BV,2,0)</f>
        <v>#N/A</v>
      </c>
      <c r="V108" s="193" t="e">
        <f>VLOOKUP(U110,Preenchimento!$A:$BV,2,0)</f>
        <v>#N/A</v>
      </c>
      <c r="W108" s="193" t="e">
        <f>VLOOKUP(V110,Preenchimento!$A:$BV,2,0)</f>
        <v>#N/A</v>
      </c>
      <c r="X108" s="194" t="e">
        <f>VLOOKUP(W110,Preenchimento!$A:$BV,2,0)</f>
        <v>#N/A</v>
      </c>
    </row>
    <row r="109" spans="1:24" ht="9.75" customHeight="1" x14ac:dyDescent="0.15">
      <c r="A109" s="121" t="s">
        <v>296</v>
      </c>
      <c r="B109" s="193" t="e">
        <f>VLOOKUP(B110,Preenchimento!$A:$BV,3,0)</f>
        <v>#N/A</v>
      </c>
      <c r="C109" s="193" t="e">
        <f>VLOOKUP(C110,Preenchimento!$A:$BV,3,0)</f>
        <v>#N/A</v>
      </c>
      <c r="D109" s="120" t="s">
        <v>297</v>
      </c>
      <c r="E109" s="197" t="e">
        <f>VLOOKUP(B110,Preenchimento!$A:$BV,5,0)</f>
        <v>#N/A</v>
      </c>
      <c r="F109" s="198" t="e">
        <f>VLOOKUP(C110,Preenchimento!$A:$BV,5,0)</f>
        <v>#N/A</v>
      </c>
      <c r="G109" s="121" t="s">
        <v>296</v>
      </c>
      <c r="H109" s="193" t="e">
        <f>VLOOKUP(H110,Preenchimento!$A:$BV,3,0)</f>
        <v>#N/A</v>
      </c>
      <c r="I109" s="193" t="e">
        <f>VLOOKUP(I110,Preenchimento!$A:$BV,3,0)</f>
        <v>#N/A</v>
      </c>
      <c r="J109" s="120" t="s">
        <v>297</v>
      </c>
      <c r="K109" s="197" t="e">
        <f>VLOOKUP(H110,Preenchimento!$A:$BV,5,0)</f>
        <v>#N/A</v>
      </c>
      <c r="L109" s="198" t="e">
        <f>VLOOKUP(I110,Preenchimento!$A:$BV,5,0)</f>
        <v>#N/A</v>
      </c>
      <c r="M109" s="121" t="s">
        <v>296</v>
      </c>
      <c r="N109" s="193" t="e">
        <f>VLOOKUP(N110,Preenchimento!$A:$BV,3,0)</f>
        <v>#N/A</v>
      </c>
      <c r="O109" s="193" t="e">
        <f>VLOOKUP(O110,Preenchimento!$A:$BV,3,0)</f>
        <v>#N/A</v>
      </c>
      <c r="P109" s="120" t="s">
        <v>297</v>
      </c>
      <c r="Q109" s="197" t="e">
        <f>VLOOKUP(N110,Preenchimento!$A:$BV,5,0)</f>
        <v>#N/A</v>
      </c>
      <c r="R109" s="198" t="e">
        <f>VLOOKUP(O110,Preenchimento!$A:$BV,5,0)</f>
        <v>#N/A</v>
      </c>
      <c r="S109" s="121" t="s">
        <v>296</v>
      </c>
      <c r="T109" s="193" t="e">
        <f>VLOOKUP(T110,Preenchimento!$A:$BV,3,0)</f>
        <v>#N/A</v>
      </c>
      <c r="U109" s="193" t="e">
        <f>VLOOKUP(U110,Preenchimento!$A:$BV,3,0)</f>
        <v>#N/A</v>
      </c>
      <c r="V109" s="120" t="s">
        <v>297</v>
      </c>
      <c r="W109" s="197" t="e">
        <f>VLOOKUP(T110,Preenchimento!$A:$BV,5,0)</f>
        <v>#N/A</v>
      </c>
      <c r="X109" s="198" t="e">
        <f>VLOOKUP(U110,Preenchimento!$A:$BV,5,0)</f>
        <v>#N/A</v>
      </c>
    </row>
    <row r="110" spans="1:24" ht="9.75" customHeight="1" x14ac:dyDescent="0.15">
      <c r="A110" s="121" t="s">
        <v>298</v>
      </c>
      <c r="B110" s="193"/>
      <c r="C110" s="193"/>
      <c r="D110" s="120" t="s">
        <v>299</v>
      </c>
      <c r="F110" s="131" t="e">
        <f>VLOOKUP(B110,Preenchimento!$A:$BV,10,0)</f>
        <v>#N/A</v>
      </c>
      <c r="G110" s="121" t="s">
        <v>298</v>
      </c>
      <c r="H110" s="193"/>
      <c r="I110" s="193"/>
      <c r="J110" s="120" t="s">
        <v>299</v>
      </c>
      <c r="L110" s="131" t="e">
        <f>VLOOKUP(H110,Preenchimento!$A:$BV,10,0)</f>
        <v>#N/A</v>
      </c>
      <c r="M110" s="121" t="s">
        <v>298</v>
      </c>
      <c r="N110" s="193"/>
      <c r="O110" s="193"/>
      <c r="P110" s="120" t="s">
        <v>299</v>
      </c>
      <c r="R110" s="131" t="e">
        <f>VLOOKUP(N110,Preenchimento!$A:$BV,10,0)</f>
        <v>#N/A</v>
      </c>
      <c r="S110" s="121" t="s">
        <v>298</v>
      </c>
      <c r="T110" s="193"/>
      <c r="U110" s="193"/>
      <c r="V110" s="120" t="s">
        <v>299</v>
      </c>
      <c r="X110" s="131" t="e">
        <f>VLOOKUP(T110,Preenchimento!$A:$BV,10,0)</f>
        <v>#N/A</v>
      </c>
    </row>
    <row r="111" spans="1:24" ht="9.75" customHeight="1" x14ac:dyDescent="0.15">
      <c r="A111" s="121" t="s">
        <v>300</v>
      </c>
      <c r="C111" s="193" t="e">
        <f>VLOOKUP(B110,Preenchimento!$A:$BV,12,0)</f>
        <v>#N/A</v>
      </c>
      <c r="D111" s="193" t="e">
        <f>VLOOKUP(C110,Preenchimento!$A:$BV,12,0)</f>
        <v>#N/A</v>
      </c>
      <c r="E111" s="193" t="e">
        <f>VLOOKUP(D110,Preenchimento!$A:$BV,12,0)</f>
        <v>#N/A</v>
      </c>
      <c r="F111" s="194" t="e">
        <f>VLOOKUP(E110,Preenchimento!$A:$BV,12,0)</f>
        <v>#N/A</v>
      </c>
      <c r="G111" s="121" t="s">
        <v>300</v>
      </c>
      <c r="I111" s="193" t="e">
        <f>VLOOKUP(H110,Preenchimento!$A:$BV,12,0)</f>
        <v>#N/A</v>
      </c>
      <c r="J111" s="193" t="e">
        <f>VLOOKUP(I110,Preenchimento!$A:$BV,12,0)</f>
        <v>#N/A</v>
      </c>
      <c r="K111" s="193" t="e">
        <f>VLOOKUP(J110,Preenchimento!$A:$BV,12,0)</f>
        <v>#N/A</v>
      </c>
      <c r="L111" s="194" t="e">
        <f>VLOOKUP(K110,Preenchimento!$A:$BV,12,0)</f>
        <v>#N/A</v>
      </c>
      <c r="M111" s="121" t="s">
        <v>300</v>
      </c>
      <c r="O111" s="193" t="e">
        <f>VLOOKUP(N110,Preenchimento!$A:$BV,12,0)</f>
        <v>#N/A</v>
      </c>
      <c r="P111" s="193" t="e">
        <f>VLOOKUP(O110,Preenchimento!$A:$BV,12,0)</f>
        <v>#N/A</v>
      </c>
      <c r="Q111" s="193" t="e">
        <f>VLOOKUP(P110,Preenchimento!$A:$BV,12,0)</f>
        <v>#N/A</v>
      </c>
      <c r="R111" s="194" t="e">
        <f>VLOOKUP(Q110,Preenchimento!$A:$BV,12,0)</f>
        <v>#N/A</v>
      </c>
      <c r="S111" s="121" t="s">
        <v>300</v>
      </c>
      <c r="U111" s="193" t="e">
        <f>VLOOKUP(T110,Preenchimento!$A:$BV,12,0)</f>
        <v>#N/A</v>
      </c>
      <c r="V111" s="193" t="e">
        <f>VLOOKUP(U110,Preenchimento!$A:$BV,12,0)</f>
        <v>#N/A</v>
      </c>
      <c r="W111" s="193" t="e">
        <f>VLOOKUP(V110,Preenchimento!$A:$BV,12,0)</f>
        <v>#N/A</v>
      </c>
      <c r="X111" s="194" t="e">
        <f>VLOOKUP(W110,Preenchimento!$A:$BV,12,0)</f>
        <v>#N/A</v>
      </c>
    </row>
    <row r="112" spans="1:24" ht="9.75" customHeight="1" x14ac:dyDescent="0.15">
      <c r="A112" s="123" t="s">
        <v>301</v>
      </c>
      <c r="B112" s="195" t="e">
        <f>IF(VLOOKUP(B110,Preenchimento!$A:$BV,11,0)=0,"",VLOOKUP(B110,Preenchimento!$A:$BV,11,0))</f>
        <v>#N/A</v>
      </c>
      <c r="C112" s="195"/>
      <c r="D112" s="195"/>
      <c r="E112" s="195"/>
      <c r="F112" s="196"/>
      <c r="G112" s="123" t="s">
        <v>301</v>
      </c>
      <c r="H112" s="195" t="e">
        <f>IF(VLOOKUP(H110,Preenchimento!$A:$BV,11,0)=0,"",VLOOKUP(H110,Preenchimento!$A:$BV,11,0))</f>
        <v>#N/A</v>
      </c>
      <c r="I112" s="195"/>
      <c r="J112" s="195"/>
      <c r="K112" s="195"/>
      <c r="L112" s="196"/>
      <c r="M112" s="123" t="s">
        <v>301</v>
      </c>
      <c r="N112" s="195" t="e">
        <f>IF(VLOOKUP(N110,Preenchimento!$A:$BV,11,0)=0,"",VLOOKUP(N110,Preenchimento!$A:$BV,11,0))</f>
        <v>#N/A</v>
      </c>
      <c r="O112" s="195"/>
      <c r="P112" s="195"/>
      <c r="Q112" s="195"/>
      <c r="R112" s="196"/>
      <c r="S112" s="123" t="s">
        <v>301</v>
      </c>
      <c r="T112" s="195" t="e">
        <f>IF(VLOOKUP(T110,Preenchimento!$A:$BV,11,0)=0,"",VLOOKUP(T110,Preenchimento!$A:$BV,11,0))</f>
        <v>#N/A</v>
      </c>
      <c r="U112" s="195"/>
      <c r="V112" s="195"/>
      <c r="W112" s="195"/>
      <c r="X112" s="196"/>
    </row>
    <row r="113" spans="1:24" s="130" customFormat="1" ht="33.950000000000003" customHeight="1" x14ac:dyDescent="0.25">
      <c r="A113" s="199" t="str">
        <f>Sitio!$A$3</f>
        <v>Projeto 01</v>
      </c>
      <c r="B113" s="200"/>
      <c r="C113" s="200"/>
      <c r="D113" s="200"/>
      <c r="E113" s="200"/>
      <c r="F113" s="201"/>
      <c r="G113" s="199" t="str">
        <f>Sitio!$A$3</f>
        <v>Projeto 01</v>
      </c>
      <c r="H113" s="200"/>
      <c r="I113" s="200"/>
      <c r="J113" s="200"/>
      <c r="K113" s="200"/>
      <c r="L113" s="201"/>
      <c r="M113" s="199" t="str">
        <f>Sitio!$A$3</f>
        <v>Projeto 01</v>
      </c>
      <c r="N113" s="200"/>
      <c r="O113" s="200"/>
      <c r="P113" s="200"/>
      <c r="Q113" s="200"/>
      <c r="R113" s="201"/>
      <c r="S113" s="199" t="str">
        <f>Sitio!$A$3</f>
        <v>Projeto 01</v>
      </c>
      <c r="T113" s="200"/>
      <c r="U113" s="200"/>
      <c r="V113" s="200"/>
      <c r="W113" s="200"/>
      <c r="X113" s="201"/>
    </row>
    <row r="114" spans="1:24" ht="9.75" customHeight="1" x14ac:dyDescent="0.15">
      <c r="A114" s="121" t="s">
        <v>294</v>
      </c>
      <c r="B114" s="193">
        <f>Sitio!$E$3</f>
        <v>0</v>
      </c>
      <c r="C114" s="193"/>
      <c r="D114" s="193"/>
      <c r="E114" s="193"/>
      <c r="F114" s="194"/>
      <c r="G114" s="121" t="s">
        <v>294</v>
      </c>
      <c r="H114" s="193">
        <f>Sitio!$E$3</f>
        <v>0</v>
      </c>
      <c r="I114" s="193"/>
      <c r="J114" s="193"/>
      <c r="K114" s="193"/>
      <c r="L114" s="194"/>
      <c r="M114" s="121" t="s">
        <v>294</v>
      </c>
      <c r="N114" s="193">
        <f>Sitio!$E$3</f>
        <v>0</v>
      </c>
      <c r="O114" s="193"/>
      <c r="P114" s="193"/>
      <c r="Q114" s="193"/>
      <c r="R114" s="194"/>
      <c r="S114" s="121" t="s">
        <v>294</v>
      </c>
      <c r="T114" s="193">
        <f>Sitio!$E$3</f>
        <v>0</v>
      </c>
      <c r="U114" s="193"/>
      <c r="V114" s="193"/>
      <c r="W114" s="193"/>
      <c r="X114" s="194"/>
    </row>
    <row r="115" spans="1:24" ht="9.75" customHeight="1" x14ac:dyDescent="0.15">
      <c r="A115" s="121" t="s">
        <v>295</v>
      </c>
      <c r="C115" s="193" t="e">
        <f>VLOOKUP(B117,Preenchimento!$A:$BV,2,0)</f>
        <v>#N/A</v>
      </c>
      <c r="D115" s="193" t="e">
        <f>VLOOKUP(C117,Preenchimento!$A:$BV,2,0)</f>
        <v>#N/A</v>
      </c>
      <c r="E115" s="193" t="e">
        <f>VLOOKUP(D117,Preenchimento!$A:$BV,2,0)</f>
        <v>#N/A</v>
      </c>
      <c r="F115" s="194" t="e">
        <f>VLOOKUP(E117,Preenchimento!$A:$BV,2,0)</f>
        <v>#N/A</v>
      </c>
      <c r="G115" s="121" t="s">
        <v>295</v>
      </c>
      <c r="I115" s="193" t="e">
        <f>VLOOKUP(H117,Preenchimento!$A:$BV,2,0)</f>
        <v>#N/A</v>
      </c>
      <c r="J115" s="193" t="e">
        <f>VLOOKUP(I117,Preenchimento!$A:$BV,2,0)</f>
        <v>#N/A</v>
      </c>
      <c r="K115" s="193" t="e">
        <f>VLOOKUP(J117,Preenchimento!$A:$BV,2,0)</f>
        <v>#N/A</v>
      </c>
      <c r="L115" s="194" t="e">
        <f>VLOOKUP(K117,Preenchimento!$A:$BV,2,0)</f>
        <v>#N/A</v>
      </c>
      <c r="M115" s="121" t="s">
        <v>295</v>
      </c>
      <c r="O115" s="193" t="e">
        <f>VLOOKUP(N117,Preenchimento!$A:$BV,2,0)</f>
        <v>#N/A</v>
      </c>
      <c r="P115" s="193" t="e">
        <f>VLOOKUP(O117,Preenchimento!$A:$BV,2,0)</f>
        <v>#N/A</v>
      </c>
      <c r="Q115" s="193" t="e">
        <f>VLOOKUP(P117,Preenchimento!$A:$BV,2,0)</f>
        <v>#N/A</v>
      </c>
      <c r="R115" s="194" t="e">
        <f>VLOOKUP(Q117,Preenchimento!$A:$BV,2,0)</f>
        <v>#N/A</v>
      </c>
      <c r="S115" s="121" t="s">
        <v>295</v>
      </c>
      <c r="U115" s="193" t="e">
        <f>VLOOKUP(T117,Preenchimento!$A:$BV,2,0)</f>
        <v>#N/A</v>
      </c>
      <c r="V115" s="193" t="e">
        <f>VLOOKUP(U117,Preenchimento!$A:$BV,2,0)</f>
        <v>#N/A</v>
      </c>
      <c r="W115" s="193" t="e">
        <f>VLOOKUP(V117,Preenchimento!$A:$BV,2,0)</f>
        <v>#N/A</v>
      </c>
      <c r="X115" s="194" t="e">
        <f>VLOOKUP(W117,Preenchimento!$A:$BV,2,0)</f>
        <v>#N/A</v>
      </c>
    </row>
    <row r="116" spans="1:24" ht="9.75" customHeight="1" x14ac:dyDescent="0.15">
      <c r="A116" s="121" t="s">
        <v>296</v>
      </c>
      <c r="B116" s="193" t="e">
        <f>VLOOKUP(B117,Preenchimento!$A:$BV,3,0)</f>
        <v>#N/A</v>
      </c>
      <c r="C116" s="193" t="e">
        <f>VLOOKUP(C117,Preenchimento!$A:$BV,3,0)</f>
        <v>#N/A</v>
      </c>
      <c r="D116" s="120" t="s">
        <v>297</v>
      </c>
      <c r="E116" s="197" t="e">
        <f>VLOOKUP(B117,Preenchimento!$A:$BV,5,0)</f>
        <v>#N/A</v>
      </c>
      <c r="F116" s="198" t="e">
        <f>VLOOKUP(C117,Preenchimento!$A:$BV,5,0)</f>
        <v>#N/A</v>
      </c>
      <c r="G116" s="121" t="s">
        <v>296</v>
      </c>
      <c r="H116" s="193" t="e">
        <f>VLOOKUP(H117,Preenchimento!$A:$BV,3,0)</f>
        <v>#N/A</v>
      </c>
      <c r="I116" s="193" t="e">
        <f>VLOOKUP(I117,Preenchimento!$A:$BV,3,0)</f>
        <v>#N/A</v>
      </c>
      <c r="J116" s="120" t="s">
        <v>297</v>
      </c>
      <c r="K116" s="197" t="e">
        <f>VLOOKUP(H117,Preenchimento!$A:$BV,5,0)</f>
        <v>#N/A</v>
      </c>
      <c r="L116" s="198" t="e">
        <f>VLOOKUP(I117,Preenchimento!$A:$BV,5,0)</f>
        <v>#N/A</v>
      </c>
      <c r="M116" s="121" t="s">
        <v>296</v>
      </c>
      <c r="N116" s="193" t="e">
        <f>VLOOKUP(N117,Preenchimento!$A:$BV,3,0)</f>
        <v>#N/A</v>
      </c>
      <c r="O116" s="193" t="e">
        <f>VLOOKUP(O117,Preenchimento!$A:$BV,3,0)</f>
        <v>#N/A</v>
      </c>
      <c r="P116" s="120" t="s">
        <v>297</v>
      </c>
      <c r="Q116" s="197" t="e">
        <f>VLOOKUP(N117,Preenchimento!$A:$BV,5,0)</f>
        <v>#N/A</v>
      </c>
      <c r="R116" s="198" t="e">
        <f>VLOOKUP(O117,Preenchimento!$A:$BV,5,0)</f>
        <v>#N/A</v>
      </c>
      <c r="S116" s="121" t="s">
        <v>296</v>
      </c>
      <c r="T116" s="193" t="e">
        <f>VLOOKUP(T117,Preenchimento!$A:$BV,3,0)</f>
        <v>#N/A</v>
      </c>
      <c r="U116" s="193" t="e">
        <f>VLOOKUP(U117,Preenchimento!$A:$BV,3,0)</f>
        <v>#N/A</v>
      </c>
      <c r="V116" s="120" t="s">
        <v>297</v>
      </c>
      <c r="W116" s="197" t="e">
        <f>VLOOKUP(T117,Preenchimento!$A:$BV,5,0)</f>
        <v>#N/A</v>
      </c>
      <c r="X116" s="198" t="e">
        <f>VLOOKUP(U117,Preenchimento!$A:$BV,5,0)</f>
        <v>#N/A</v>
      </c>
    </row>
    <row r="117" spans="1:24" ht="9.75" customHeight="1" x14ac:dyDescent="0.15">
      <c r="A117" s="121" t="s">
        <v>298</v>
      </c>
      <c r="B117" s="193"/>
      <c r="C117" s="193"/>
      <c r="D117" s="120" t="s">
        <v>299</v>
      </c>
      <c r="F117" s="131" t="e">
        <f>VLOOKUP(B117,Preenchimento!$A:$BV,10,0)</f>
        <v>#N/A</v>
      </c>
      <c r="G117" s="121" t="s">
        <v>298</v>
      </c>
      <c r="H117" s="193"/>
      <c r="I117" s="193"/>
      <c r="J117" s="120" t="s">
        <v>299</v>
      </c>
      <c r="L117" s="131" t="e">
        <f>VLOOKUP(H117,Preenchimento!$A:$BV,10,0)</f>
        <v>#N/A</v>
      </c>
      <c r="M117" s="121" t="s">
        <v>298</v>
      </c>
      <c r="N117" s="193"/>
      <c r="O117" s="193"/>
      <c r="P117" s="120" t="s">
        <v>299</v>
      </c>
      <c r="R117" s="131" t="e">
        <f>VLOOKUP(N117,Preenchimento!$A:$BV,10,0)</f>
        <v>#N/A</v>
      </c>
      <c r="S117" s="121" t="s">
        <v>298</v>
      </c>
      <c r="T117" s="193"/>
      <c r="U117" s="193"/>
      <c r="V117" s="120" t="s">
        <v>299</v>
      </c>
      <c r="X117" s="131" t="e">
        <f>VLOOKUP(T117,Preenchimento!$A:$BV,10,0)</f>
        <v>#N/A</v>
      </c>
    </row>
    <row r="118" spans="1:24" ht="9.75" customHeight="1" x14ac:dyDescent="0.15">
      <c r="A118" s="121" t="s">
        <v>300</v>
      </c>
      <c r="C118" s="193" t="e">
        <f>VLOOKUP(B117,Preenchimento!$A:$BV,12,0)</f>
        <v>#N/A</v>
      </c>
      <c r="D118" s="193" t="e">
        <f>VLOOKUP(C117,Preenchimento!$A:$BV,12,0)</f>
        <v>#N/A</v>
      </c>
      <c r="E118" s="193" t="e">
        <f>VLOOKUP(D117,Preenchimento!$A:$BV,12,0)</f>
        <v>#N/A</v>
      </c>
      <c r="F118" s="194" t="e">
        <f>VLOOKUP(E117,Preenchimento!$A:$BV,12,0)</f>
        <v>#N/A</v>
      </c>
      <c r="G118" s="121" t="s">
        <v>300</v>
      </c>
      <c r="I118" s="193" t="e">
        <f>VLOOKUP(H117,Preenchimento!$A:$BV,12,0)</f>
        <v>#N/A</v>
      </c>
      <c r="J118" s="193" t="e">
        <f>VLOOKUP(I117,Preenchimento!$A:$BV,12,0)</f>
        <v>#N/A</v>
      </c>
      <c r="K118" s="193" t="e">
        <f>VLOOKUP(J117,Preenchimento!$A:$BV,12,0)</f>
        <v>#N/A</v>
      </c>
      <c r="L118" s="194" t="e">
        <f>VLOOKUP(K117,Preenchimento!$A:$BV,12,0)</f>
        <v>#N/A</v>
      </c>
      <c r="M118" s="121" t="s">
        <v>300</v>
      </c>
      <c r="O118" s="193" t="e">
        <f>VLOOKUP(N117,Preenchimento!$A:$BV,12,0)</f>
        <v>#N/A</v>
      </c>
      <c r="P118" s="193" t="e">
        <f>VLOOKUP(O117,Preenchimento!$A:$BV,12,0)</f>
        <v>#N/A</v>
      </c>
      <c r="Q118" s="193" t="e">
        <f>VLOOKUP(P117,Preenchimento!$A:$BV,12,0)</f>
        <v>#N/A</v>
      </c>
      <c r="R118" s="194" t="e">
        <f>VLOOKUP(Q117,Preenchimento!$A:$BV,12,0)</f>
        <v>#N/A</v>
      </c>
      <c r="S118" s="121" t="s">
        <v>300</v>
      </c>
      <c r="U118" s="193" t="e">
        <f>VLOOKUP(T117,Preenchimento!$A:$BV,12,0)</f>
        <v>#N/A</v>
      </c>
      <c r="V118" s="193" t="e">
        <f>VLOOKUP(U117,Preenchimento!$A:$BV,12,0)</f>
        <v>#N/A</v>
      </c>
      <c r="W118" s="193" t="e">
        <f>VLOOKUP(V117,Preenchimento!$A:$BV,12,0)</f>
        <v>#N/A</v>
      </c>
      <c r="X118" s="194" t="e">
        <f>VLOOKUP(W117,Preenchimento!$A:$BV,12,0)</f>
        <v>#N/A</v>
      </c>
    </row>
    <row r="119" spans="1:24" ht="9.75" customHeight="1" x14ac:dyDescent="0.15">
      <c r="A119" s="123" t="s">
        <v>301</v>
      </c>
      <c r="B119" s="195" t="e">
        <f>IF(VLOOKUP(B117,Preenchimento!$A:$BV,11,0)=0,"",VLOOKUP(B117,Preenchimento!$A:$BV,11,0))</f>
        <v>#N/A</v>
      </c>
      <c r="C119" s="195"/>
      <c r="D119" s="195"/>
      <c r="E119" s="195"/>
      <c r="F119" s="196"/>
      <c r="G119" s="123" t="s">
        <v>301</v>
      </c>
      <c r="H119" s="195" t="e">
        <f>IF(VLOOKUP(H117,Preenchimento!$A:$BV,11,0)=0,"",VLOOKUP(H117,Preenchimento!$A:$BV,11,0))</f>
        <v>#N/A</v>
      </c>
      <c r="I119" s="195"/>
      <c r="J119" s="195"/>
      <c r="K119" s="195"/>
      <c r="L119" s="196"/>
      <c r="M119" s="123" t="s">
        <v>301</v>
      </c>
      <c r="N119" s="195" t="e">
        <f>IF(VLOOKUP(N117,Preenchimento!$A:$BV,11,0)=0,"",VLOOKUP(N117,Preenchimento!$A:$BV,11,0))</f>
        <v>#N/A</v>
      </c>
      <c r="O119" s="195"/>
      <c r="P119" s="195"/>
      <c r="Q119" s="195"/>
      <c r="R119" s="196"/>
      <c r="S119" s="123" t="s">
        <v>301</v>
      </c>
      <c r="T119" s="195" t="e">
        <f>IF(VLOOKUP(T117,Preenchimento!$A:$BV,11,0)=0,"",VLOOKUP(T117,Preenchimento!$A:$BV,11,0))</f>
        <v>#N/A</v>
      </c>
      <c r="U119" s="195"/>
      <c r="V119" s="195"/>
      <c r="W119" s="195"/>
      <c r="X119" s="196"/>
    </row>
    <row r="120" spans="1:24" s="130" customFormat="1" ht="33.950000000000003" customHeight="1" x14ac:dyDescent="0.25">
      <c r="A120" s="199" t="str">
        <f>Sitio!$A$3</f>
        <v>Projeto 01</v>
      </c>
      <c r="B120" s="200"/>
      <c r="C120" s="200"/>
      <c r="D120" s="200"/>
      <c r="E120" s="200"/>
      <c r="F120" s="201"/>
      <c r="G120" s="199" t="str">
        <f>Sitio!$A$3</f>
        <v>Projeto 01</v>
      </c>
      <c r="H120" s="200"/>
      <c r="I120" s="200"/>
      <c r="J120" s="200"/>
      <c r="K120" s="200"/>
      <c r="L120" s="201"/>
      <c r="M120" s="199" t="str">
        <f>Sitio!$A$3</f>
        <v>Projeto 01</v>
      </c>
      <c r="N120" s="200"/>
      <c r="O120" s="200"/>
      <c r="P120" s="200"/>
      <c r="Q120" s="200"/>
      <c r="R120" s="201"/>
      <c r="S120" s="199" t="str">
        <f>Sitio!$A$3</f>
        <v>Projeto 01</v>
      </c>
      <c r="T120" s="200"/>
      <c r="U120" s="200"/>
      <c r="V120" s="200"/>
      <c r="W120" s="200"/>
      <c r="X120" s="201"/>
    </row>
    <row r="121" spans="1:24" ht="9.75" customHeight="1" x14ac:dyDescent="0.15">
      <c r="A121" s="121" t="s">
        <v>294</v>
      </c>
      <c r="B121" s="193">
        <f>Sitio!$E$3</f>
        <v>0</v>
      </c>
      <c r="C121" s="193"/>
      <c r="D121" s="193"/>
      <c r="E121" s="193"/>
      <c r="F121" s="194"/>
      <c r="G121" s="121" t="s">
        <v>294</v>
      </c>
      <c r="H121" s="193">
        <f>Sitio!$E$3</f>
        <v>0</v>
      </c>
      <c r="I121" s="193"/>
      <c r="J121" s="193"/>
      <c r="K121" s="193"/>
      <c r="L121" s="194"/>
      <c r="M121" s="121" t="s">
        <v>294</v>
      </c>
      <c r="N121" s="193">
        <f>Sitio!$E$3</f>
        <v>0</v>
      </c>
      <c r="O121" s="193"/>
      <c r="P121" s="193"/>
      <c r="Q121" s="193"/>
      <c r="R121" s="194"/>
      <c r="S121" s="121" t="s">
        <v>294</v>
      </c>
      <c r="T121" s="193">
        <f>Sitio!$E$3</f>
        <v>0</v>
      </c>
      <c r="U121" s="193"/>
      <c r="V121" s="193"/>
      <c r="W121" s="193"/>
      <c r="X121" s="194"/>
    </row>
    <row r="122" spans="1:24" ht="9.75" customHeight="1" x14ac:dyDescent="0.15">
      <c r="A122" s="121" t="s">
        <v>295</v>
      </c>
      <c r="C122" s="193" t="e">
        <f>VLOOKUP(B124,Preenchimento!$A:$BV,2,0)</f>
        <v>#N/A</v>
      </c>
      <c r="D122" s="193" t="e">
        <f>VLOOKUP(C124,Preenchimento!$A:$BV,2,0)</f>
        <v>#N/A</v>
      </c>
      <c r="E122" s="193" t="e">
        <f>VLOOKUP(D124,Preenchimento!$A:$BV,2,0)</f>
        <v>#N/A</v>
      </c>
      <c r="F122" s="194" t="e">
        <f>VLOOKUP(E124,Preenchimento!$A:$BV,2,0)</f>
        <v>#N/A</v>
      </c>
      <c r="G122" s="121" t="s">
        <v>295</v>
      </c>
      <c r="I122" s="193" t="e">
        <f>VLOOKUP(H124,Preenchimento!$A:$BV,2,0)</f>
        <v>#N/A</v>
      </c>
      <c r="J122" s="193" t="e">
        <f>VLOOKUP(I124,Preenchimento!$A:$BV,2,0)</f>
        <v>#N/A</v>
      </c>
      <c r="K122" s="193" t="e">
        <f>VLOOKUP(J124,Preenchimento!$A:$BV,2,0)</f>
        <v>#N/A</v>
      </c>
      <c r="L122" s="194" t="e">
        <f>VLOOKUP(K124,Preenchimento!$A:$BV,2,0)</f>
        <v>#N/A</v>
      </c>
      <c r="M122" s="121" t="s">
        <v>295</v>
      </c>
      <c r="O122" s="193" t="e">
        <f>VLOOKUP(N124,Preenchimento!$A:$BV,2,0)</f>
        <v>#N/A</v>
      </c>
      <c r="P122" s="193" t="e">
        <f>VLOOKUP(O124,Preenchimento!$A:$BV,2,0)</f>
        <v>#N/A</v>
      </c>
      <c r="Q122" s="193" t="e">
        <f>VLOOKUP(P124,Preenchimento!$A:$BV,2,0)</f>
        <v>#N/A</v>
      </c>
      <c r="R122" s="194" t="e">
        <f>VLOOKUP(Q124,Preenchimento!$A:$BV,2,0)</f>
        <v>#N/A</v>
      </c>
      <c r="S122" s="121" t="s">
        <v>295</v>
      </c>
      <c r="U122" s="193" t="e">
        <f>VLOOKUP(T124,Preenchimento!$A:$BV,2,0)</f>
        <v>#N/A</v>
      </c>
      <c r="V122" s="193" t="e">
        <f>VLOOKUP(U124,Preenchimento!$A:$BV,2,0)</f>
        <v>#N/A</v>
      </c>
      <c r="W122" s="193" t="e">
        <f>VLOOKUP(V124,Preenchimento!$A:$BV,2,0)</f>
        <v>#N/A</v>
      </c>
      <c r="X122" s="194" t="e">
        <f>VLOOKUP(W124,Preenchimento!$A:$BV,2,0)</f>
        <v>#N/A</v>
      </c>
    </row>
    <row r="123" spans="1:24" ht="9.75" customHeight="1" x14ac:dyDescent="0.15">
      <c r="A123" s="121" t="s">
        <v>296</v>
      </c>
      <c r="B123" s="193" t="e">
        <f>VLOOKUP(B124,Preenchimento!$A:$BV,3,0)</f>
        <v>#N/A</v>
      </c>
      <c r="C123" s="193" t="e">
        <f>VLOOKUP(C124,Preenchimento!$A:$BV,3,0)</f>
        <v>#N/A</v>
      </c>
      <c r="D123" s="120" t="s">
        <v>297</v>
      </c>
      <c r="E123" s="197" t="e">
        <f>VLOOKUP(B124,Preenchimento!$A:$BV,5,0)</f>
        <v>#N/A</v>
      </c>
      <c r="F123" s="198" t="e">
        <f>VLOOKUP(C124,Preenchimento!$A:$BV,5,0)</f>
        <v>#N/A</v>
      </c>
      <c r="G123" s="121" t="s">
        <v>296</v>
      </c>
      <c r="H123" s="193" t="e">
        <f>VLOOKUP(H124,Preenchimento!$A:$BV,3,0)</f>
        <v>#N/A</v>
      </c>
      <c r="I123" s="193" t="e">
        <f>VLOOKUP(I124,Preenchimento!$A:$BV,3,0)</f>
        <v>#N/A</v>
      </c>
      <c r="J123" s="120" t="s">
        <v>297</v>
      </c>
      <c r="K123" s="197" t="e">
        <f>VLOOKUP(H124,Preenchimento!$A:$BV,5,0)</f>
        <v>#N/A</v>
      </c>
      <c r="L123" s="198" t="e">
        <f>VLOOKUP(I124,Preenchimento!$A:$BV,5,0)</f>
        <v>#N/A</v>
      </c>
      <c r="M123" s="121" t="s">
        <v>296</v>
      </c>
      <c r="N123" s="193" t="e">
        <f>VLOOKUP(N124,Preenchimento!$A:$BV,3,0)</f>
        <v>#N/A</v>
      </c>
      <c r="O123" s="193" t="e">
        <f>VLOOKUP(O124,Preenchimento!$A:$BV,3,0)</f>
        <v>#N/A</v>
      </c>
      <c r="P123" s="120" t="s">
        <v>297</v>
      </c>
      <c r="Q123" s="197" t="e">
        <f>VLOOKUP(N124,Preenchimento!$A:$BV,5,0)</f>
        <v>#N/A</v>
      </c>
      <c r="R123" s="198" t="e">
        <f>VLOOKUP(O124,Preenchimento!$A:$BV,5,0)</f>
        <v>#N/A</v>
      </c>
      <c r="S123" s="121" t="s">
        <v>296</v>
      </c>
      <c r="T123" s="193" t="e">
        <f>VLOOKUP(T124,Preenchimento!$A:$BV,3,0)</f>
        <v>#N/A</v>
      </c>
      <c r="U123" s="193" t="e">
        <f>VLOOKUP(U124,Preenchimento!$A:$BV,3,0)</f>
        <v>#N/A</v>
      </c>
      <c r="V123" s="120" t="s">
        <v>297</v>
      </c>
      <c r="W123" s="197" t="e">
        <f>VLOOKUP(T124,Preenchimento!$A:$BV,5,0)</f>
        <v>#N/A</v>
      </c>
      <c r="X123" s="198" t="e">
        <f>VLOOKUP(U124,Preenchimento!$A:$BV,5,0)</f>
        <v>#N/A</v>
      </c>
    </row>
    <row r="124" spans="1:24" ht="9.75" customHeight="1" x14ac:dyDescent="0.15">
      <c r="A124" s="121" t="s">
        <v>298</v>
      </c>
      <c r="B124" s="193"/>
      <c r="C124" s="193"/>
      <c r="D124" s="120" t="s">
        <v>299</v>
      </c>
      <c r="F124" s="131" t="e">
        <f>VLOOKUP(B124,Preenchimento!$A:$BV,10,0)</f>
        <v>#N/A</v>
      </c>
      <c r="G124" s="121" t="s">
        <v>298</v>
      </c>
      <c r="H124" s="193"/>
      <c r="I124" s="193"/>
      <c r="J124" s="120" t="s">
        <v>299</v>
      </c>
      <c r="L124" s="131" t="e">
        <f>VLOOKUP(H124,Preenchimento!$A:$BV,10,0)</f>
        <v>#N/A</v>
      </c>
      <c r="M124" s="121" t="s">
        <v>298</v>
      </c>
      <c r="N124" s="193"/>
      <c r="O124" s="193"/>
      <c r="P124" s="120" t="s">
        <v>299</v>
      </c>
      <c r="R124" s="131" t="e">
        <f>VLOOKUP(N124,Preenchimento!$A:$BV,10,0)</f>
        <v>#N/A</v>
      </c>
      <c r="S124" s="121" t="s">
        <v>298</v>
      </c>
      <c r="T124" s="193"/>
      <c r="U124" s="193"/>
      <c r="V124" s="120" t="s">
        <v>299</v>
      </c>
      <c r="X124" s="131" t="e">
        <f>VLOOKUP(T124,Preenchimento!$A:$BV,10,0)</f>
        <v>#N/A</v>
      </c>
    </row>
    <row r="125" spans="1:24" ht="9.75" customHeight="1" x14ac:dyDescent="0.15">
      <c r="A125" s="121" t="s">
        <v>300</v>
      </c>
      <c r="C125" s="193" t="e">
        <f>VLOOKUP(B124,Preenchimento!$A:$BV,12,0)</f>
        <v>#N/A</v>
      </c>
      <c r="D125" s="193" t="e">
        <f>VLOOKUP(C124,Preenchimento!$A:$BV,12,0)</f>
        <v>#N/A</v>
      </c>
      <c r="E125" s="193" t="e">
        <f>VLOOKUP(D124,Preenchimento!$A:$BV,12,0)</f>
        <v>#N/A</v>
      </c>
      <c r="F125" s="194" t="e">
        <f>VLOOKUP(E124,Preenchimento!$A:$BV,12,0)</f>
        <v>#N/A</v>
      </c>
      <c r="G125" s="121" t="s">
        <v>300</v>
      </c>
      <c r="I125" s="193" t="e">
        <f>VLOOKUP(H124,Preenchimento!$A:$BV,12,0)</f>
        <v>#N/A</v>
      </c>
      <c r="J125" s="193" t="e">
        <f>VLOOKUP(I124,Preenchimento!$A:$BV,12,0)</f>
        <v>#N/A</v>
      </c>
      <c r="K125" s="193" t="e">
        <f>VLOOKUP(J124,Preenchimento!$A:$BV,12,0)</f>
        <v>#N/A</v>
      </c>
      <c r="L125" s="194" t="e">
        <f>VLOOKUP(K124,Preenchimento!$A:$BV,12,0)</f>
        <v>#N/A</v>
      </c>
      <c r="M125" s="121" t="s">
        <v>300</v>
      </c>
      <c r="O125" s="193" t="e">
        <f>VLOOKUP(N124,Preenchimento!$A:$BV,12,0)</f>
        <v>#N/A</v>
      </c>
      <c r="P125" s="193" t="e">
        <f>VLOOKUP(O124,Preenchimento!$A:$BV,12,0)</f>
        <v>#N/A</v>
      </c>
      <c r="Q125" s="193" t="e">
        <f>VLOOKUP(P124,Preenchimento!$A:$BV,12,0)</f>
        <v>#N/A</v>
      </c>
      <c r="R125" s="194" t="e">
        <f>VLOOKUP(Q124,Preenchimento!$A:$BV,12,0)</f>
        <v>#N/A</v>
      </c>
      <c r="S125" s="121" t="s">
        <v>300</v>
      </c>
      <c r="U125" s="193" t="e">
        <f>VLOOKUP(T124,Preenchimento!$A:$BV,12,0)</f>
        <v>#N/A</v>
      </c>
      <c r="V125" s="193" t="e">
        <f>VLOOKUP(U124,Preenchimento!$A:$BV,12,0)</f>
        <v>#N/A</v>
      </c>
      <c r="W125" s="193" t="e">
        <f>VLOOKUP(V124,Preenchimento!$A:$BV,12,0)</f>
        <v>#N/A</v>
      </c>
      <c r="X125" s="194" t="e">
        <f>VLOOKUP(W124,Preenchimento!$A:$BV,12,0)</f>
        <v>#N/A</v>
      </c>
    </row>
    <row r="126" spans="1:24" ht="9.75" customHeight="1" x14ac:dyDescent="0.15">
      <c r="A126" s="123" t="s">
        <v>301</v>
      </c>
      <c r="B126" s="195" t="e">
        <f>IF(VLOOKUP(B124,Preenchimento!$A:$BV,11,0)=0,"",VLOOKUP(B124,Preenchimento!$A:$BV,11,0))</f>
        <v>#N/A</v>
      </c>
      <c r="C126" s="195"/>
      <c r="D126" s="195"/>
      <c r="E126" s="195"/>
      <c r="F126" s="196"/>
      <c r="G126" s="123" t="s">
        <v>301</v>
      </c>
      <c r="H126" s="195" t="e">
        <f>IF(VLOOKUP(H124,Preenchimento!$A:$BV,11,0)=0,"",VLOOKUP(H124,Preenchimento!$A:$BV,11,0))</f>
        <v>#N/A</v>
      </c>
      <c r="I126" s="195"/>
      <c r="J126" s="195"/>
      <c r="K126" s="195"/>
      <c r="L126" s="196"/>
      <c r="M126" s="123" t="s">
        <v>301</v>
      </c>
      <c r="N126" s="195" t="e">
        <f>IF(VLOOKUP(N124,Preenchimento!$A:$BV,11,0)=0,"",VLOOKUP(N124,Preenchimento!$A:$BV,11,0))</f>
        <v>#N/A</v>
      </c>
      <c r="O126" s="195"/>
      <c r="P126" s="195"/>
      <c r="Q126" s="195"/>
      <c r="R126" s="196"/>
      <c r="S126" s="123" t="s">
        <v>301</v>
      </c>
      <c r="T126" s="195" t="e">
        <f>IF(VLOOKUP(T124,Preenchimento!$A:$BV,11,0)=0,"",VLOOKUP(T124,Preenchimento!$A:$BV,11,0))</f>
        <v>#N/A</v>
      </c>
      <c r="U126" s="195"/>
      <c r="V126" s="195"/>
      <c r="W126" s="195"/>
      <c r="X126" s="196"/>
    </row>
    <row r="127" spans="1:24" s="130" customFormat="1" ht="33.950000000000003" customHeight="1" x14ac:dyDescent="0.25">
      <c r="A127" s="199" t="str">
        <f>Sitio!$A$3</f>
        <v>Projeto 01</v>
      </c>
      <c r="B127" s="200"/>
      <c r="C127" s="200"/>
      <c r="D127" s="200"/>
      <c r="E127" s="200"/>
      <c r="F127" s="201"/>
      <c r="G127" s="199" t="str">
        <f>Sitio!$A$3</f>
        <v>Projeto 01</v>
      </c>
      <c r="H127" s="200"/>
      <c r="I127" s="200"/>
      <c r="J127" s="200"/>
      <c r="K127" s="200"/>
      <c r="L127" s="201"/>
      <c r="M127" s="199" t="str">
        <f>Sitio!$A$3</f>
        <v>Projeto 01</v>
      </c>
      <c r="N127" s="200"/>
      <c r="O127" s="200"/>
      <c r="P127" s="200"/>
      <c r="Q127" s="200"/>
      <c r="R127" s="201"/>
      <c r="S127" s="199" t="str">
        <f>Sitio!$A$3</f>
        <v>Projeto 01</v>
      </c>
      <c r="T127" s="200"/>
      <c r="U127" s="200"/>
      <c r="V127" s="200"/>
      <c r="W127" s="200"/>
      <c r="X127" s="201"/>
    </row>
    <row r="128" spans="1:24" ht="9.75" customHeight="1" x14ac:dyDescent="0.15">
      <c r="A128" s="121" t="s">
        <v>294</v>
      </c>
      <c r="B128" s="193">
        <f>Sitio!$E$3</f>
        <v>0</v>
      </c>
      <c r="C128" s="193"/>
      <c r="D128" s="193"/>
      <c r="E128" s="193"/>
      <c r="F128" s="194"/>
      <c r="G128" s="121" t="s">
        <v>294</v>
      </c>
      <c r="H128" s="193">
        <f>Sitio!$E$3</f>
        <v>0</v>
      </c>
      <c r="I128" s="193"/>
      <c r="J128" s="193"/>
      <c r="K128" s="193"/>
      <c r="L128" s="194"/>
      <c r="M128" s="121" t="s">
        <v>294</v>
      </c>
      <c r="N128" s="193">
        <f>Sitio!$E$3</f>
        <v>0</v>
      </c>
      <c r="O128" s="193"/>
      <c r="P128" s="193"/>
      <c r="Q128" s="193"/>
      <c r="R128" s="194"/>
      <c r="S128" s="121" t="s">
        <v>294</v>
      </c>
      <c r="T128" s="193">
        <f>Sitio!$E$3</f>
        <v>0</v>
      </c>
      <c r="U128" s="193"/>
      <c r="V128" s="193"/>
      <c r="W128" s="193"/>
      <c r="X128" s="194"/>
    </row>
    <row r="129" spans="1:24" ht="9.75" customHeight="1" x14ac:dyDescent="0.15">
      <c r="A129" s="121" t="s">
        <v>295</v>
      </c>
      <c r="C129" s="193" t="e">
        <f>VLOOKUP(B131,Preenchimento!$A:$BV,2,0)</f>
        <v>#N/A</v>
      </c>
      <c r="D129" s="193" t="e">
        <f>VLOOKUP(C131,Preenchimento!$A:$BV,2,0)</f>
        <v>#N/A</v>
      </c>
      <c r="E129" s="193" t="e">
        <f>VLOOKUP(D131,Preenchimento!$A:$BV,2,0)</f>
        <v>#N/A</v>
      </c>
      <c r="F129" s="194" t="e">
        <f>VLOOKUP(E131,Preenchimento!$A:$BV,2,0)</f>
        <v>#N/A</v>
      </c>
      <c r="G129" s="121" t="s">
        <v>295</v>
      </c>
      <c r="I129" s="193" t="e">
        <f>VLOOKUP(H131,Preenchimento!$A:$BV,2,0)</f>
        <v>#N/A</v>
      </c>
      <c r="J129" s="193" t="e">
        <f>VLOOKUP(I131,Preenchimento!$A:$BV,2,0)</f>
        <v>#N/A</v>
      </c>
      <c r="K129" s="193" t="e">
        <f>VLOOKUP(J131,Preenchimento!$A:$BV,2,0)</f>
        <v>#N/A</v>
      </c>
      <c r="L129" s="194" t="e">
        <f>VLOOKUP(K131,Preenchimento!$A:$BV,2,0)</f>
        <v>#N/A</v>
      </c>
      <c r="M129" s="121" t="s">
        <v>295</v>
      </c>
      <c r="O129" s="193" t="e">
        <f>VLOOKUP(N131,Preenchimento!$A:$BV,2,0)</f>
        <v>#N/A</v>
      </c>
      <c r="P129" s="193" t="e">
        <f>VLOOKUP(O131,Preenchimento!$A:$BV,2,0)</f>
        <v>#N/A</v>
      </c>
      <c r="Q129" s="193" t="e">
        <f>VLOOKUP(P131,Preenchimento!$A:$BV,2,0)</f>
        <v>#N/A</v>
      </c>
      <c r="R129" s="194" t="e">
        <f>VLOOKUP(Q131,Preenchimento!$A:$BV,2,0)</f>
        <v>#N/A</v>
      </c>
      <c r="S129" s="121" t="s">
        <v>295</v>
      </c>
      <c r="U129" s="193" t="e">
        <f>VLOOKUP(T131,Preenchimento!$A:$BV,2,0)</f>
        <v>#N/A</v>
      </c>
      <c r="V129" s="193" t="e">
        <f>VLOOKUP(U131,Preenchimento!$A:$BV,2,0)</f>
        <v>#N/A</v>
      </c>
      <c r="W129" s="193" t="e">
        <f>VLOOKUP(V131,Preenchimento!$A:$BV,2,0)</f>
        <v>#N/A</v>
      </c>
      <c r="X129" s="194" t="e">
        <f>VLOOKUP(W131,Preenchimento!$A:$BV,2,0)</f>
        <v>#N/A</v>
      </c>
    </row>
    <row r="130" spans="1:24" ht="9.75" customHeight="1" x14ac:dyDescent="0.15">
      <c r="A130" s="121" t="s">
        <v>296</v>
      </c>
      <c r="B130" s="193" t="e">
        <f>VLOOKUP(B131,Preenchimento!$A:$BV,3,0)</f>
        <v>#N/A</v>
      </c>
      <c r="C130" s="193" t="e">
        <f>VLOOKUP(C131,Preenchimento!$A:$BV,3,0)</f>
        <v>#N/A</v>
      </c>
      <c r="D130" s="120" t="s">
        <v>297</v>
      </c>
      <c r="E130" s="197" t="e">
        <f>VLOOKUP(B131,Preenchimento!$A:$BV,5,0)</f>
        <v>#N/A</v>
      </c>
      <c r="F130" s="198" t="e">
        <f>VLOOKUP(C131,Preenchimento!$A:$BV,5,0)</f>
        <v>#N/A</v>
      </c>
      <c r="G130" s="121" t="s">
        <v>296</v>
      </c>
      <c r="H130" s="193" t="e">
        <f>VLOOKUP(H131,Preenchimento!$A:$BV,3,0)</f>
        <v>#N/A</v>
      </c>
      <c r="I130" s="193" t="e">
        <f>VLOOKUP(I131,Preenchimento!$A:$BV,3,0)</f>
        <v>#N/A</v>
      </c>
      <c r="J130" s="120" t="s">
        <v>297</v>
      </c>
      <c r="K130" s="197" t="e">
        <f>VLOOKUP(H131,Preenchimento!$A:$BV,5,0)</f>
        <v>#N/A</v>
      </c>
      <c r="L130" s="198" t="e">
        <f>VLOOKUP(I131,Preenchimento!$A:$BV,5,0)</f>
        <v>#N/A</v>
      </c>
      <c r="M130" s="121" t="s">
        <v>296</v>
      </c>
      <c r="N130" s="193" t="e">
        <f>VLOOKUP(N131,Preenchimento!$A:$BV,3,0)</f>
        <v>#N/A</v>
      </c>
      <c r="O130" s="193" t="e">
        <f>VLOOKUP(O131,Preenchimento!$A:$BV,3,0)</f>
        <v>#N/A</v>
      </c>
      <c r="P130" s="120" t="s">
        <v>297</v>
      </c>
      <c r="Q130" s="197" t="e">
        <f>VLOOKUP(N131,Preenchimento!$A:$BV,5,0)</f>
        <v>#N/A</v>
      </c>
      <c r="R130" s="198" t="e">
        <f>VLOOKUP(O131,Preenchimento!$A:$BV,5,0)</f>
        <v>#N/A</v>
      </c>
      <c r="S130" s="121" t="s">
        <v>296</v>
      </c>
      <c r="T130" s="193" t="e">
        <f>VLOOKUP(T131,Preenchimento!$A:$BV,3,0)</f>
        <v>#N/A</v>
      </c>
      <c r="U130" s="193" t="e">
        <f>VLOOKUP(U131,Preenchimento!$A:$BV,3,0)</f>
        <v>#N/A</v>
      </c>
      <c r="V130" s="120" t="s">
        <v>297</v>
      </c>
      <c r="W130" s="197" t="e">
        <f>VLOOKUP(T131,Preenchimento!$A:$BV,5,0)</f>
        <v>#N/A</v>
      </c>
      <c r="X130" s="198" t="e">
        <f>VLOOKUP(U131,Preenchimento!$A:$BV,5,0)</f>
        <v>#N/A</v>
      </c>
    </row>
    <row r="131" spans="1:24" ht="9.75" customHeight="1" x14ac:dyDescent="0.15">
      <c r="A131" s="121" t="s">
        <v>298</v>
      </c>
      <c r="B131" s="193"/>
      <c r="C131" s="193"/>
      <c r="D131" s="120" t="s">
        <v>299</v>
      </c>
      <c r="F131" s="131" t="e">
        <f>VLOOKUP(B131,Preenchimento!$A:$BV,10,0)</f>
        <v>#N/A</v>
      </c>
      <c r="G131" s="121" t="s">
        <v>298</v>
      </c>
      <c r="H131" s="193"/>
      <c r="I131" s="193"/>
      <c r="J131" s="120" t="s">
        <v>299</v>
      </c>
      <c r="L131" s="131" t="e">
        <f>VLOOKUP(H131,Preenchimento!$A:$BV,10,0)</f>
        <v>#N/A</v>
      </c>
      <c r="M131" s="121" t="s">
        <v>298</v>
      </c>
      <c r="N131" s="193"/>
      <c r="O131" s="193"/>
      <c r="P131" s="120" t="s">
        <v>299</v>
      </c>
      <c r="R131" s="131" t="e">
        <f>VLOOKUP(N131,Preenchimento!$A:$BV,10,0)</f>
        <v>#N/A</v>
      </c>
      <c r="S131" s="121" t="s">
        <v>298</v>
      </c>
      <c r="T131" s="193"/>
      <c r="U131" s="193"/>
      <c r="V131" s="120" t="s">
        <v>299</v>
      </c>
      <c r="X131" s="131" t="e">
        <f>VLOOKUP(T131,Preenchimento!$A:$BV,10,0)</f>
        <v>#N/A</v>
      </c>
    </row>
    <row r="132" spans="1:24" ht="9.75" customHeight="1" x14ac:dyDescent="0.15">
      <c r="A132" s="121" t="s">
        <v>300</v>
      </c>
      <c r="C132" s="193" t="e">
        <f>VLOOKUP(B131,Preenchimento!$A:$BV,12,0)</f>
        <v>#N/A</v>
      </c>
      <c r="D132" s="193" t="e">
        <f>VLOOKUP(C131,Preenchimento!$A:$BV,12,0)</f>
        <v>#N/A</v>
      </c>
      <c r="E132" s="193" t="e">
        <f>VLOOKUP(D131,Preenchimento!$A:$BV,12,0)</f>
        <v>#N/A</v>
      </c>
      <c r="F132" s="194" t="e">
        <f>VLOOKUP(E131,Preenchimento!$A:$BV,12,0)</f>
        <v>#N/A</v>
      </c>
      <c r="G132" s="121" t="s">
        <v>300</v>
      </c>
      <c r="I132" s="193" t="e">
        <f>VLOOKUP(H131,Preenchimento!$A:$BV,12,0)</f>
        <v>#N/A</v>
      </c>
      <c r="J132" s="193" t="e">
        <f>VLOOKUP(I131,Preenchimento!$A:$BV,12,0)</f>
        <v>#N/A</v>
      </c>
      <c r="K132" s="193" t="e">
        <f>VLOOKUP(J131,Preenchimento!$A:$BV,12,0)</f>
        <v>#N/A</v>
      </c>
      <c r="L132" s="194" t="e">
        <f>VLOOKUP(K131,Preenchimento!$A:$BV,12,0)</f>
        <v>#N/A</v>
      </c>
      <c r="M132" s="121" t="s">
        <v>300</v>
      </c>
      <c r="O132" s="193" t="e">
        <f>VLOOKUP(N131,Preenchimento!$A:$BV,12,0)</f>
        <v>#N/A</v>
      </c>
      <c r="P132" s="193" t="e">
        <f>VLOOKUP(O131,Preenchimento!$A:$BV,12,0)</f>
        <v>#N/A</v>
      </c>
      <c r="Q132" s="193" t="e">
        <f>VLOOKUP(P131,Preenchimento!$A:$BV,12,0)</f>
        <v>#N/A</v>
      </c>
      <c r="R132" s="194" t="e">
        <f>VLOOKUP(Q131,Preenchimento!$A:$BV,12,0)</f>
        <v>#N/A</v>
      </c>
      <c r="S132" s="121" t="s">
        <v>300</v>
      </c>
      <c r="U132" s="193" t="e">
        <f>VLOOKUP(T131,Preenchimento!$A:$BV,12,0)</f>
        <v>#N/A</v>
      </c>
      <c r="V132" s="193" t="e">
        <f>VLOOKUP(U131,Preenchimento!$A:$BV,12,0)</f>
        <v>#N/A</v>
      </c>
      <c r="W132" s="193" t="e">
        <f>VLOOKUP(V131,Preenchimento!$A:$BV,12,0)</f>
        <v>#N/A</v>
      </c>
      <c r="X132" s="194" t="e">
        <f>VLOOKUP(W131,Preenchimento!$A:$BV,12,0)</f>
        <v>#N/A</v>
      </c>
    </row>
    <row r="133" spans="1:24" ht="9.75" customHeight="1" x14ac:dyDescent="0.15">
      <c r="A133" s="123" t="s">
        <v>301</v>
      </c>
      <c r="B133" s="195" t="e">
        <f>IF(VLOOKUP(B131,Preenchimento!$A:$BV,11,0)=0,"",VLOOKUP(B131,Preenchimento!$A:$BV,11,0))</f>
        <v>#N/A</v>
      </c>
      <c r="C133" s="195"/>
      <c r="D133" s="195"/>
      <c r="E133" s="195"/>
      <c r="F133" s="196"/>
      <c r="G133" s="123" t="s">
        <v>301</v>
      </c>
      <c r="H133" s="195" t="e">
        <f>IF(VLOOKUP(H131,Preenchimento!$A:$BV,11,0)=0,"",VLOOKUP(H131,Preenchimento!$A:$BV,11,0))</f>
        <v>#N/A</v>
      </c>
      <c r="I133" s="195"/>
      <c r="J133" s="195"/>
      <c r="K133" s="195"/>
      <c r="L133" s="196"/>
      <c r="M133" s="123" t="s">
        <v>301</v>
      </c>
      <c r="N133" s="195" t="e">
        <f>IF(VLOOKUP(N131,Preenchimento!$A:$BV,11,0)=0,"",VLOOKUP(N131,Preenchimento!$A:$BV,11,0))</f>
        <v>#N/A</v>
      </c>
      <c r="O133" s="195"/>
      <c r="P133" s="195"/>
      <c r="Q133" s="195"/>
      <c r="R133" s="196"/>
      <c r="S133" s="123" t="s">
        <v>301</v>
      </c>
      <c r="T133" s="195" t="e">
        <f>IF(VLOOKUP(T131,Preenchimento!$A:$BV,11,0)=0,"",VLOOKUP(T131,Preenchimento!$A:$BV,11,0))</f>
        <v>#N/A</v>
      </c>
      <c r="U133" s="195"/>
      <c r="V133" s="195"/>
      <c r="W133" s="195"/>
      <c r="X133" s="196"/>
    </row>
    <row r="134" spans="1:24" s="130" customFormat="1" ht="33.950000000000003" customHeight="1" x14ac:dyDescent="0.25">
      <c r="A134" s="199" t="str">
        <f>Sitio!$A$3</f>
        <v>Projeto 01</v>
      </c>
      <c r="B134" s="200"/>
      <c r="C134" s="200"/>
      <c r="D134" s="200"/>
      <c r="E134" s="200"/>
      <c r="F134" s="201"/>
      <c r="G134" s="199" t="str">
        <f>Sitio!$A$3</f>
        <v>Projeto 01</v>
      </c>
      <c r="H134" s="200"/>
      <c r="I134" s="200"/>
      <c r="J134" s="200"/>
      <c r="K134" s="200"/>
      <c r="L134" s="201"/>
      <c r="M134" s="199" t="str">
        <f>Sitio!$A$3</f>
        <v>Projeto 01</v>
      </c>
      <c r="N134" s="200"/>
      <c r="O134" s="200"/>
      <c r="P134" s="200"/>
      <c r="Q134" s="200"/>
      <c r="R134" s="201"/>
      <c r="S134" s="199" t="str">
        <f>Sitio!$A$3</f>
        <v>Projeto 01</v>
      </c>
      <c r="T134" s="200"/>
      <c r="U134" s="200"/>
      <c r="V134" s="200"/>
      <c r="W134" s="200"/>
      <c r="X134" s="201"/>
    </row>
    <row r="135" spans="1:24" ht="9.75" customHeight="1" x14ac:dyDescent="0.15">
      <c r="A135" s="121" t="s">
        <v>294</v>
      </c>
      <c r="B135" s="193">
        <f>Sitio!$E$3</f>
        <v>0</v>
      </c>
      <c r="C135" s="193"/>
      <c r="D135" s="193"/>
      <c r="E135" s="193"/>
      <c r="F135" s="194"/>
      <c r="G135" s="121" t="s">
        <v>294</v>
      </c>
      <c r="H135" s="193">
        <f>Sitio!$E$3</f>
        <v>0</v>
      </c>
      <c r="I135" s="193"/>
      <c r="J135" s="193"/>
      <c r="K135" s="193"/>
      <c r="L135" s="194"/>
      <c r="M135" s="121" t="s">
        <v>294</v>
      </c>
      <c r="N135" s="193">
        <f>Sitio!$E$3</f>
        <v>0</v>
      </c>
      <c r="O135" s="193"/>
      <c r="P135" s="193"/>
      <c r="Q135" s="193"/>
      <c r="R135" s="194"/>
      <c r="S135" s="121" t="s">
        <v>294</v>
      </c>
      <c r="T135" s="193">
        <f>Sitio!$E$3</f>
        <v>0</v>
      </c>
      <c r="U135" s="193"/>
      <c r="V135" s="193"/>
      <c r="W135" s="193"/>
      <c r="X135" s="194"/>
    </row>
    <row r="136" spans="1:24" ht="9.75" customHeight="1" x14ac:dyDescent="0.15">
      <c r="A136" s="121" t="s">
        <v>295</v>
      </c>
      <c r="C136" s="193" t="e">
        <f>VLOOKUP(B138,Preenchimento!$A:$BV,2,0)</f>
        <v>#N/A</v>
      </c>
      <c r="D136" s="193" t="e">
        <f>VLOOKUP(C138,Preenchimento!$A:$BV,2,0)</f>
        <v>#N/A</v>
      </c>
      <c r="E136" s="193" t="e">
        <f>VLOOKUP(D138,Preenchimento!$A:$BV,2,0)</f>
        <v>#N/A</v>
      </c>
      <c r="F136" s="194" t="e">
        <f>VLOOKUP(E138,Preenchimento!$A:$BV,2,0)</f>
        <v>#N/A</v>
      </c>
      <c r="G136" s="121" t="s">
        <v>295</v>
      </c>
      <c r="I136" s="193" t="e">
        <f>VLOOKUP(H138,Preenchimento!$A:$BV,2,0)</f>
        <v>#N/A</v>
      </c>
      <c r="J136" s="193" t="e">
        <f>VLOOKUP(I138,Preenchimento!$A:$BV,2,0)</f>
        <v>#N/A</v>
      </c>
      <c r="K136" s="193" t="e">
        <f>VLOOKUP(J138,Preenchimento!$A:$BV,2,0)</f>
        <v>#N/A</v>
      </c>
      <c r="L136" s="194" t="e">
        <f>VLOOKUP(K138,Preenchimento!$A:$BV,2,0)</f>
        <v>#N/A</v>
      </c>
      <c r="M136" s="121" t="s">
        <v>295</v>
      </c>
      <c r="O136" s="193" t="e">
        <f>VLOOKUP(N138,Preenchimento!$A:$BV,2,0)</f>
        <v>#N/A</v>
      </c>
      <c r="P136" s="193" t="e">
        <f>VLOOKUP(O138,Preenchimento!$A:$BV,2,0)</f>
        <v>#N/A</v>
      </c>
      <c r="Q136" s="193" t="e">
        <f>VLOOKUP(P138,Preenchimento!$A:$BV,2,0)</f>
        <v>#N/A</v>
      </c>
      <c r="R136" s="194" t="e">
        <f>VLOOKUP(Q138,Preenchimento!$A:$BV,2,0)</f>
        <v>#N/A</v>
      </c>
      <c r="S136" s="121" t="s">
        <v>295</v>
      </c>
      <c r="U136" s="193" t="e">
        <f>VLOOKUP(T138,Preenchimento!$A:$BV,2,0)</f>
        <v>#N/A</v>
      </c>
      <c r="V136" s="193" t="e">
        <f>VLOOKUP(U138,Preenchimento!$A:$BV,2,0)</f>
        <v>#N/A</v>
      </c>
      <c r="W136" s="193" t="e">
        <f>VLOOKUP(V138,Preenchimento!$A:$BV,2,0)</f>
        <v>#N/A</v>
      </c>
      <c r="X136" s="194" t="e">
        <f>VLOOKUP(W138,Preenchimento!$A:$BV,2,0)</f>
        <v>#N/A</v>
      </c>
    </row>
    <row r="137" spans="1:24" ht="9.75" customHeight="1" x14ac:dyDescent="0.15">
      <c r="A137" s="121" t="s">
        <v>296</v>
      </c>
      <c r="B137" s="193" t="e">
        <f>VLOOKUP(B138,Preenchimento!$A:$BV,3,0)</f>
        <v>#N/A</v>
      </c>
      <c r="C137" s="193" t="e">
        <f>VLOOKUP(C138,Preenchimento!$A:$BV,3,0)</f>
        <v>#N/A</v>
      </c>
      <c r="D137" s="120" t="s">
        <v>297</v>
      </c>
      <c r="E137" s="197" t="e">
        <f>VLOOKUP(B138,Preenchimento!$A:$BV,5,0)</f>
        <v>#N/A</v>
      </c>
      <c r="F137" s="198" t="e">
        <f>VLOOKUP(C138,Preenchimento!$A:$BV,5,0)</f>
        <v>#N/A</v>
      </c>
      <c r="G137" s="121" t="s">
        <v>296</v>
      </c>
      <c r="H137" s="193" t="e">
        <f>VLOOKUP(H138,Preenchimento!$A:$BV,3,0)</f>
        <v>#N/A</v>
      </c>
      <c r="I137" s="193" t="e">
        <f>VLOOKUP(I138,Preenchimento!$A:$BV,3,0)</f>
        <v>#N/A</v>
      </c>
      <c r="J137" s="120" t="s">
        <v>297</v>
      </c>
      <c r="K137" s="197" t="e">
        <f>VLOOKUP(H138,Preenchimento!$A:$BV,5,0)</f>
        <v>#N/A</v>
      </c>
      <c r="L137" s="198" t="e">
        <f>VLOOKUP(I138,Preenchimento!$A:$BV,5,0)</f>
        <v>#N/A</v>
      </c>
      <c r="M137" s="121" t="s">
        <v>296</v>
      </c>
      <c r="N137" s="193" t="e">
        <f>VLOOKUP(N138,Preenchimento!$A:$BV,3,0)</f>
        <v>#N/A</v>
      </c>
      <c r="O137" s="193" t="e">
        <f>VLOOKUP(O138,Preenchimento!$A:$BV,3,0)</f>
        <v>#N/A</v>
      </c>
      <c r="P137" s="120" t="s">
        <v>297</v>
      </c>
      <c r="Q137" s="197" t="e">
        <f>VLOOKUP(N138,Preenchimento!$A:$BV,5,0)</f>
        <v>#N/A</v>
      </c>
      <c r="R137" s="198" t="e">
        <f>VLOOKUP(O138,Preenchimento!$A:$BV,5,0)</f>
        <v>#N/A</v>
      </c>
      <c r="S137" s="121" t="s">
        <v>296</v>
      </c>
      <c r="T137" s="193" t="e">
        <f>VLOOKUP(T138,Preenchimento!$A:$BV,3,0)</f>
        <v>#N/A</v>
      </c>
      <c r="U137" s="193" t="e">
        <f>VLOOKUP(U138,Preenchimento!$A:$BV,3,0)</f>
        <v>#N/A</v>
      </c>
      <c r="V137" s="120" t="s">
        <v>297</v>
      </c>
      <c r="W137" s="197" t="e">
        <f>VLOOKUP(T138,Preenchimento!$A:$BV,5,0)</f>
        <v>#N/A</v>
      </c>
      <c r="X137" s="198" t="e">
        <f>VLOOKUP(U138,Preenchimento!$A:$BV,5,0)</f>
        <v>#N/A</v>
      </c>
    </row>
    <row r="138" spans="1:24" ht="9.75" customHeight="1" x14ac:dyDescent="0.15">
      <c r="A138" s="121" t="s">
        <v>298</v>
      </c>
      <c r="B138" s="193"/>
      <c r="C138" s="193"/>
      <c r="D138" s="120" t="s">
        <v>299</v>
      </c>
      <c r="F138" s="131" t="e">
        <f>VLOOKUP(B138,Preenchimento!$A:$BV,10,0)</f>
        <v>#N/A</v>
      </c>
      <c r="G138" s="121" t="s">
        <v>298</v>
      </c>
      <c r="H138" s="193"/>
      <c r="I138" s="193"/>
      <c r="J138" s="120" t="s">
        <v>299</v>
      </c>
      <c r="L138" s="131" t="e">
        <f>VLOOKUP(H138,Preenchimento!$A:$BV,10,0)</f>
        <v>#N/A</v>
      </c>
      <c r="M138" s="121" t="s">
        <v>298</v>
      </c>
      <c r="N138" s="193"/>
      <c r="O138" s="193"/>
      <c r="P138" s="120" t="s">
        <v>299</v>
      </c>
      <c r="R138" s="131" t="e">
        <f>VLOOKUP(N138,Preenchimento!$A:$BV,10,0)</f>
        <v>#N/A</v>
      </c>
      <c r="S138" s="121" t="s">
        <v>298</v>
      </c>
      <c r="T138" s="193"/>
      <c r="U138" s="193"/>
      <c r="V138" s="120" t="s">
        <v>299</v>
      </c>
      <c r="X138" s="131" t="e">
        <f>VLOOKUP(T138,Preenchimento!$A:$BV,10,0)</f>
        <v>#N/A</v>
      </c>
    </row>
    <row r="139" spans="1:24" ht="9.75" customHeight="1" x14ac:dyDescent="0.15">
      <c r="A139" s="121" t="s">
        <v>300</v>
      </c>
      <c r="C139" s="193" t="e">
        <f>VLOOKUP(B138,Preenchimento!$A:$BV,12,0)</f>
        <v>#N/A</v>
      </c>
      <c r="D139" s="193" t="e">
        <f>VLOOKUP(C138,Preenchimento!$A:$BV,12,0)</f>
        <v>#N/A</v>
      </c>
      <c r="E139" s="193" t="e">
        <f>VLOOKUP(D138,Preenchimento!$A:$BV,12,0)</f>
        <v>#N/A</v>
      </c>
      <c r="F139" s="194" t="e">
        <f>VLOOKUP(E138,Preenchimento!$A:$BV,12,0)</f>
        <v>#N/A</v>
      </c>
      <c r="G139" s="121" t="s">
        <v>300</v>
      </c>
      <c r="I139" s="193" t="e">
        <f>VLOOKUP(H138,Preenchimento!$A:$BV,12,0)</f>
        <v>#N/A</v>
      </c>
      <c r="J139" s="193" t="e">
        <f>VLOOKUP(I138,Preenchimento!$A:$BV,12,0)</f>
        <v>#N/A</v>
      </c>
      <c r="K139" s="193" t="e">
        <f>VLOOKUP(J138,Preenchimento!$A:$BV,12,0)</f>
        <v>#N/A</v>
      </c>
      <c r="L139" s="194" t="e">
        <f>VLOOKUP(K138,Preenchimento!$A:$BV,12,0)</f>
        <v>#N/A</v>
      </c>
      <c r="M139" s="121" t="s">
        <v>300</v>
      </c>
      <c r="O139" s="193" t="e">
        <f>VLOOKUP(N138,Preenchimento!$A:$BV,12,0)</f>
        <v>#N/A</v>
      </c>
      <c r="P139" s="193" t="e">
        <f>VLOOKUP(O138,Preenchimento!$A:$BV,12,0)</f>
        <v>#N/A</v>
      </c>
      <c r="Q139" s="193" t="e">
        <f>VLOOKUP(P138,Preenchimento!$A:$BV,12,0)</f>
        <v>#N/A</v>
      </c>
      <c r="R139" s="194" t="e">
        <f>VLOOKUP(Q138,Preenchimento!$A:$BV,12,0)</f>
        <v>#N/A</v>
      </c>
      <c r="S139" s="121" t="s">
        <v>300</v>
      </c>
      <c r="U139" s="193" t="e">
        <f>VLOOKUP(T138,Preenchimento!$A:$BV,12,0)</f>
        <v>#N/A</v>
      </c>
      <c r="V139" s="193" t="e">
        <f>VLOOKUP(U138,Preenchimento!$A:$BV,12,0)</f>
        <v>#N/A</v>
      </c>
      <c r="W139" s="193" t="e">
        <f>VLOOKUP(V138,Preenchimento!$A:$BV,12,0)</f>
        <v>#N/A</v>
      </c>
      <c r="X139" s="194" t="e">
        <f>VLOOKUP(W138,Preenchimento!$A:$BV,12,0)</f>
        <v>#N/A</v>
      </c>
    </row>
    <row r="140" spans="1:24" ht="9.75" customHeight="1" x14ac:dyDescent="0.15">
      <c r="A140" s="123" t="s">
        <v>301</v>
      </c>
      <c r="B140" s="195" t="e">
        <f>IF(VLOOKUP(B138,Preenchimento!$A:$BV,11,0)=0,"",VLOOKUP(B138,Preenchimento!$A:$BV,11,0))</f>
        <v>#N/A</v>
      </c>
      <c r="C140" s="195"/>
      <c r="D140" s="195"/>
      <c r="E140" s="195"/>
      <c r="F140" s="196"/>
      <c r="G140" s="123" t="s">
        <v>301</v>
      </c>
      <c r="H140" s="195" t="e">
        <f>IF(VLOOKUP(H138,Preenchimento!$A:$BV,11,0)=0,"",VLOOKUP(H138,Preenchimento!$A:$BV,11,0))</f>
        <v>#N/A</v>
      </c>
      <c r="I140" s="195"/>
      <c r="J140" s="195"/>
      <c r="K140" s="195"/>
      <c r="L140" s="196"/>
      <c r="M140" s="123" t="s">
        <v>301</v>
      </c>
      <c r="N140" s="195" t="e">
        <f>IF(VLOOKUP(N138,Preenchimento!$A:$BV,11,0)=0,"",VLOOKUP(N138,Preenchimento!$A:$BV,11,0))</f>
        <v>#N/A</v>
      </c>
      <c r="O140" s="195"/>
      <c r="P140" s="195"/>
      <c r="Q140" s="195"/>
      <c r="R140" s="196"/>
      <c r="S140" s="123" t="s">
        <v>301</v>
      </c>
      <c r="T140" s="195" t="e">
        <f>IF(VLOOKUP(T138,Preenchimento!$A:$BV,11,0)=0,"",VLOOKUP(T138,Preenchimento!$A:$BV,11,0))</f>
        <v>#N/A</v>
      </c>
      <c r="U140" s="195"/>
      <c r="V140" s="195"/>
      <c r="W140" s="195"/>
      <c r="X140" s="196"/>
    </row>
    <row r="141" spans="1:24" s="130" customFormat="1" ht="33.950000000000003" customHeight="1" x14ac:dyDescent="0.25">
      <c r="A141" s="199" t="str">
        <f>Sitio!$A$3</f>
        <v>Projeto 01</v>
      </c>
      <c r="B141" s="200"/>
      <c r="C141" s="200"/>
      <c r="D141" s="200"/>
      <c r="E141" s="200"/>
      <c r="F141" s="201"/>
      <c r="G141" s="199" t="str">
        <f>Sitio!$A$3</f>
        <v>Projeto 01</v>
      </c>
      <c r="H141" s="200"/>
      <c r="I141" s="200"/>
      <c r="J141" s="200"/>
      <c r="K141" s="200"/>
      <c r="L141" s="201"/>
      <c r="M141" s="199" t="str">
        <f>Sitio!$A$3</f>
        <v>Projeto 01</v>
      </c>
      <c r="N141" s="200"/>
      <c r="O141" s="200"/>
      <c r="P141" s="200"/>
      <c r="Q141" s="200"/>
      <c r="R141" s="201"/>
      <c r="S141" s="199" t="str">
        <f>Sitio!$A$3</f>
        <v>Projeto 01</v>
      </c>
      <c r="T141" s="200"/>
      <c r="U141" s="200"/>
      <c r="V141" s="200"/>
      <c r="W141" s="200"/>
      <c r="X141" s="201"/>
    </row>
    <row r="142" spans="1:24" ht="9.75" customHeight="1" x14ac:dyDescent="0.15">
      <c r="A142" s="121" t="s">
        <v>294</v>
      </c>
      <c r="B142" s="193">
        <f>Sitio!$E$3</f>
        <v>0</v>
      </c>
      <c r="C142" s="193"/>
      <c r="D142" s="193"/>
      <c r="E142" s="193"/>
      <c r="F142" s="194"/>
      <c r="G142" s="121" t="s">
        <v>294</v>
      </c>
      <c r="H142" s="193">
        <f>Sitio!$E$3</f>
        <v>0</v>
      </c>
      <c r="I142" s="193"/>
      <c r="J142" s="193"/>
      <c r="K142" s="193"/>
      <c r="L142" s="194"/>
      <c r="M142" s="121" t="s">
        <v>294</v>
      </c>
      <c r="N142" s="193">
        <f>Sitio!$E$3</f>
        <v>0</v>
      </c>
      <c r="O142" s="193"/>
      <c r="P142" s="193"/>
      <c r="Q142" s="193"/>
      <c r="R142" s="194"/>
      <c r="S142" s="121" t="s">
        <v>294</v>
      </c>
      <c r="T142" s="193">
        <f>Sitio!$E$3</f>
        <v>0</v>
      </c>
      <c r="U142" s="193"/>
      <c r="V142" s="193"/>
      <c r="W142" s="193"/>
      <c r="X142" s="194"/>
    </row>
    <row r="143" spans="1:24" ht="9.75" customHeight="1" x14ac:dyDescent="0.15">
      <c r="A143" s="121" t="s">
        <v>295</v>
      </c>
      <c r="C143" s="193" t="e">
        <f>VLOOKUP(B145,Preenchimento!$A:$BV,2,0)</f>
        <v>#N/A</v>
      </c>
      <c r="D143" s="193" t="e">
        <f>VLOOKUP(C145,Preenchimento!$A:$BV,2,0)</f>
        <v>#N/A</v>
      </c>
      <c r="E143" s="193" t="e">
        <f>VLOOKUP(D145,Preenchimento!$A:$BV,2,0)</f>
        <v>#N/A</v>
      </c>
      <c r="F143" s="194" t="e">
        <f>VLOOKUP(E145,Preenchimento!$A:$BV,2,0)</f>
        <v>#N/A</v>
      </c>
      <c r="G143" s="121" t="s">
        <v>295</v>
      </c>
      <c r="I143" s="193" t="e">
        <f>VLOOKUP(H145,Preenchimento!$A:$BV,2,0)</f>
        <v>#N/A</v>
      </c>
      <c r="J143" s="193" t="e">
        <f>VLOOKUP(I145,Preenchimento!$A:$BV,2,0)</f>
        <v>#N/A</v>
      </c>
      <c r="K143" s="193" t="e">
        <f>VLOOKUP(J145,Preenchimento!$A:$BV,2,0)</f>
        <v>#N/A</v>
      </c>
      <c r="L143" s="194" t="e">
        <f>VLOOKUP(K145,Preenchimento!$A:$BV,2,0)</f>
        <v>#N/A</v>
      </c>
      <c r="M143" s="121" t="s">
        <v>295</v>
      </c>
      <c r="O143" s="193" t="e">
        <f>VLOOKUP(N145,Preenchimento!$A:$BV,2,0)</f>
        <v>#N/A</v>
      </c>
      <c r="P143" s="193" t="e">
        <f>VLOOKUP(O145,Preenchimento!$A:$BV,2,0)</f>
        <v>#N/A</v>
      </c>
      <c r="Q143" s="193" t="e">
        <f>VLOOKUP(P145,Preenchimento!$A:$BV,2,0)</f>
        <v>#N/A</v>
      </c>
      <c r="R143" s="194" t="e">
        <f>VLOOKUP(Q145,Preenchimento!$A:$BV,2,0)</f>
        <v>#N/A</v>
      </c>
      <c r="S143" s="121" t="s">
        <v>295</v>
      </c>
      <c r="U143" s="193" t="e">
        <f>VLOOKUP(T145,Preenchimento!$A:$BV,2,0)</f>
        <v>#N/A</v>
      </c>
      <c r="V143" s="193" t="e">
        <f>VLOOKUP(U145,Preenchimento!$A:$BV,2,0)</f>
        <v>#N/A</v>
      </c>
      <c r="W143" s="193" t="e">
        <f>VLOOKUP(V145,Preenchimento!$A:$BV,2,0)</f>
        <v>#N/A</v>
      </c>
      <c r="X143" s="194" t="e">
        <f>VLOOKUP(W145,Preenchimento!$A:$BV,2,0)</f>
        <v>#N/A</v>
      </c>
    </row>
    <row r="144" spans="1:24" ht="9.75" customHeight="1" x14ac:dyDescent="0.15">
      <c r="A144" s="121" t="s">
        <v>296</v>
      </c>
      <c r="B144" s="193" t="e">
        <f>VLOOKUP(B145,Preenchimento!$A:$BV,3,0)</f>
        <v>#N/A</v>
      </c>
      <c r="C144" s="193" t="e">
        <f>VLOOKUP(C145,Preenchimento!$A:$BV,3,0)</f>
        <v>#N/A</v>
      </c>
      <c r="D144" s="120" t="s">
        <v>297</v>
      </c>
      <c r="E144" s="197" t="e">
        <f>VLOOKUP(B145,Preenchimento!$A:$BV,5,0)</f>
        <v>#N/A</v>
      </c>
      <c r="F144" s="198" t="e">
        <f>VLOOKUP(C145,Preenchimento!$A:$BV,5,0)</f>
        <v>#N/A</v>
      </c>
      <c r="G144" s="121" t="s">
        <v>296</v>
      </c>
      <c r="H144" s="193" t="e">
        <f>VLOOKUP(H145,Preenchimento!$A:$BV,3,0)</f>
        <v>#N/A</v>
      </c>
      <c r="I144" s="193" t="e">
        <f>VLOOKUP(I145,Preenchimento!$A:$BV,3,0)</f>
        <v>#N/A</v>
      </c>
      <c r="J144" s="120" t="s">
        <v>297</v>
      </c>
      <c r="K144" s="197" t="e">
        <f>VLOOKUP(H145,Preenchimento!$A:$BV,5,0)</f>
        <v>#N/A</v>
      </c>
      <c r="L144" s="198" t="e">
        <f>VLOOKUP(I145,Preenchimento!$A:$BV,5,0)</f>
        <v>#N/A</v>
      </c>
      <c r="M144" s="121" t="s">
        <v>296</v>
      </c>
      <c r="N144" s="193" t="e">
        <f>VLOOKUP(N145,Preenchimento!$A:$BV,3,0)</f>
        <v>#N/A</v>
      </c>
      <c r="O144" s="193" t="e">
        <f>VLOOKUP(O145,Preenchimento!$A:$BV,3,0)</f>
        <v>#N/A</v>
      </c>
      <c r="P144" s="120" t="s">
        <v>297</v>
      </c>
      <c r="Q144" s="197" t="e">
        <f>VLOOKUP(N145,Preenchimento!$A:$BV,5,0)</f>
        <v>#N/A</v>
      </c>
      <c r="R144" s="198" t="e">
        <f>VLOOKUP(O145,Preenchimento!$A:$BV,5,0)</f>
        <v>#N/A</v>
      </c>
      <c r="S144" s="121" t="s">
        <v>296</v>
      </c>
      <c r="T144" s="193" t="e">
        <f>VLOOKUP(T145,Preenchimento!$A:$BV,3,0)</f>
        <v>#N/A</v>
      </c>
      <c r="U144" s="193" t="e">
        <f>VLOOKUP(U145,Preenchimento!$A:$BV,3,0)</f>
        <v>#N/A</v>
      </c>
      <c r="V144" s="120" t="s">
        <v>297</v>
      </c>
      <c r="W144" s="197" t="e">
        <f>VLOOKUP(T145,Preenchimento!$A:$BV,5,0)</f>
        <v>#N/A</v>
      </c>
      <c r="X144" s="198" t="e">
        <f>VLOOKUP(U145,Preenchimento!$A:$BV,5,0)</f>
        <v>#N/A</v>
      </c>
    </row>
    <row r="145" spans="1:24" ht="9.75" customHeight="1" x14ac:dyDescent="0.15">
      <c r="A145" s="121" t="s">
        <v>298</v>
      </c>
      <c r="B145" s="193"/>
      <c r="C145" s="193"/>
      <c r="D145" s="120" t="s">
        <v>299</v>
      </c>
      <c r="F145" s="131" t="e">
        <f>VLOOKUP(B145,Preenchimento!$A:$BV,10,0)</f>
        <v>#N/A</v>
      </c>
      <c r="G145" s="121" t="s">
        <v>298</v>
      </c>
      <c r="H145" s="193"/>
      <c r="I145" s="193"/>
      <c r="J145" s="120" t="s">
        <v>299</v>
      </c>
      <c r="L145" s="131" t="e">
        <f>VLOOKUP(H145,Preenchimento!$A:$BV,10,0)</f>
        <v>#N/A</v>
      </c>
      <c r="M145" s="121" t="s">
        <v>298</v>
      </c>
      <c r="N145" s="193"/>
      <c r="O145" s="193"/>
      <c r="P145" s="120" t="s">
        <v>299</v>
      </c>
      <c r="R145" s="131" t="e">
        <f>VLOOKUP(N145,Preenchimento!$A:$BV,10,0)</f>
        <v>#N/A</v>
      </c>
      <c r="S145" s="121" t="s">
        <v>298</v>
      </c>
      <c r="T145" s="193"/>
      <c r="U145" s="193"/>
      <c r="V145" s="120" t="s">
        <v>299</v>
      </c>
      <c r="X145" s="131" t="e">
        <f>VLOOKUP(T145,Preenchimento!$A:$BV,10,0)</f>
        <v>#N/A</v>
      </c>
    </row>
    <row r="146" spans="1:24" ht="9.75" customHeight="1" x14ac:dyDescent="0.15">
      <c r="A146" s="121" t="s">
        <v>300</v>
      </c>
      <c r="C146" s="193" t="e">
        <f>VLOOKUP(B145,Preenchimento!$A:$BV,12,0)</f>
        <v>#N/A</v>
      </c>
      <c r="D146" s="193" t="e">
        <f>VLOOKUP(C145,Preenchimento!$A:$BV,12,0)</f>
        <v>#N/A</v>
      </c>
      <c r="E146" s="193" t="e">
        <f>VLOOKUP(D145,Preenchimento!$A:$BV,12,0)</f>
        <v>#N/A</v>
      </c>
      <c r="F146" s="194" t="e">
        <f>VLOOKUP(E145,Preenchimento!$A:$BV,12,0)</f>
        <v>#N/A</v>
      </c>
      <c r="G146" s="121" t="s">
        <v>300</v>
      </c>
      <c r="I146" s="193" t="e">
        <f>VLOOKUP(H145,Preenchimento!$A:$BV,12,0)</f>
        <v>#N/A</v>
      </c>
      <c r="J146" s="193" t="e">
        <f>VLOOKUP(I145,Preenchimento!$A:$BV,12,0)</f>
        <v>#N/A</v>
      </c>
      <c r="K146" s="193" t="e">
        <f>VLOOKUP(J145,Preenchimento!$A:$BV,12,0)</f>
        <v>#N/A</v>
      </c>
      <c r="L146" s="194" t="e">
        <f>VLOOKUP(K145,Preenchimento!$A:$BV,12,0)</f>
        <v>#N/A</v>
      </c>
      <c r="M146" s="121" t="s">
        <v>300</v>
      </c>
      <c r="O146" s="193" t="e">
        <f>VLOOKUP(N145,Preenchimento!$A:$BV,12,0)</f>
        <v>#N/A</v>
      </c>
      <c r="P146" s="193" t="e">
        <f>VLOOKUP(O145,Preenchimento!$A:$BV,12,0)</f>
        <v>#N/A</v>
      </c>
      <c r="Q146" s="193" t="e">
        <f>VLOOKUP(P145,Preenchimento!$A:$BV,12,0)</f>
        <v>#N/A</v>
      </c>
      <c r="R146" s="194" t="e">
        <f>VLOOKUP(Q145,Preenchimento!$A:$BV,12,0)</f>
        <v>#N/A</v>
      </c>
      <c r="S146" s="121" t="s">
        <v>300</v>
      </c>
      <c r="U146" s="193" t="e">
        <f>VLOOKUP(T145,Preenchimento!$A:$BV,12,0)</f>
        <v>#N/A</v>
      </c>
      <c r="V146" s="193" t="e">
        <f>VLOOKUP(U145,Preenchimento!$A:$BV,12,0)</f>
        <v>#N/A</v>
      </c>
      <c r="W146" s="193" t="e">
        <f>VLOOKUP(V145,Preenchimento!$A:$BV,12,0)</f>
        <v>#N/A</v>
      </c>
      <c r="X146" s="194" t="e">
        <f>VLOOKUP(W145,Preenchimento!$A:$BV,12,0)</f>
        <v>#N/A</v>
      </c>
    </row>
    <row r="147" spans="1:24" ht="9.75" customHeight="1" x14ac:dyDescent="0.15">
      <c r="A147" s="123" t="s">
        <v>301</v>
      </c>
      <c r="B147" s="195" t="e">
        <f>IF(VLOOKUP(B145,Preenchimento!$A:$BV,11,0)=0,"",VLOOKUP(B145,Preenchimento!$A:$BV,11,0))</f>
        <v>#N/A</v>
      </c>
      <c r="C147" s="195"/>
      <c r="D147" s="195"/>
      <c r="E147" s="195"/>
      <c r="F147" s="196"/>
      <c r="G147" s="123" t="s">
        <v>301</v>
      </c>
      <c r="H147" s="195" t="e">
        <f>IF(VLOOKUP(H145,Preenchimento!$A:$BV,11,0)=0,"",VLOOKUP(H145,Preenchimento!$A:$BV,11,0))</f>
        <v>#N/A</v>
      </c>
      <c r="I147" s="195"/>
      <c r="J147" s="195"/>
      <c r="K147" s="195"/>
      <c r="L147" s="196"/>
      <c r="M147" s="123" t="s">
        <v>301</v>
      </c>
      <c r="N147" s="195" t="e">
        <f>IF(VLOOKUP(N145,Preenchimento!$A:$BV,11,0)=0,"",VLOOKUP(N145,Preenchimento!$A:$BV,11,0))</f>
        <v>#N/A</v>
      </c>
      <c r="O147" s="195"/>
      <c r="P147" s="195"/>
      <c r="Q147" s="195"/>
      <c r="R147" s="196"/>
      <c r="S147" s="123" t="s">
        <v>301</v>
      </c>
      <c r="T147" s="195" t="e">
        <f>IF(VLOOKUP(T145,Preenchimento!$A:$BV,11,0)=0,"",VLOOKUP(T145,Preenchimento!$A:$BV,11,0))</f>
        <v>#N/A</v>
      </c>
      <c r="U147" s="195"/>
      <c r="V147" s="195"/>
      <c r="W147" s="195"/>
      <c r="X147" s="196"/>
    </row>
    <row r="148" spans="1:24" s="130" customFormat="1" ht="33.950000000000003" customHeight="1" x14ac:dyDescent="0.25">
      <c r="A148" s="199" t="str">
        <f>Sitio!$A$3</f>
        <v>Projeto 01</v>
      </c>
      <c r="B148" s="200"/>
      <c r="C148" s="200"/>
      <c r="D148" s="200"/>
      <c r="E148" s="200"/>
      <c r="F148" s="201"/>
      <c r="G148" s="199" t="str">
        <f>Sitio!$A$3</f>
        <v>Projeto 01</v>
      </c>
      <c r="H148" s="200"/>
      <c r="I148" s="200"/>
      <c r="J148" s="200"/>
      <c r="K148" s="200"/>
      <c r="L148" s="201"/>
      <c r="M148" s="199" t="str">
        <f>Sitio!$A$3</f>
        <v>Projeto 01</v>
      </c>
      <c r="N148" s="200"/>
      <c r="O148" s="200"/>
      <c r="P148" s="200"/>
      <c r="Q148" s="200"/>
      <c r="R148" s="201"/>
      <c r="S148" s="199" t="str">
        <f>Sitio!$A$3</f>
        <v>Projeto 01</v>
      </c>
      <c r="T148" s="200"/>
      <c r="U148" s="200"/>
      <c r="V148" s="200"/>
      <c r="W148" s="200"/>
      <c r="X148" s="201"/>
    </row>
    <row r="149" spans="1:24" ht="9.75" customHeight="1" x14ac:dyDescent="0.15">
      <c r="A149" s="121" t="s">
        <v>294</v>
      </c>
      <c r="B149" s="193">
        <f>Sitio!$E$3</f>
        <v>0</v>
      </c>
      <c r="C149" s="193"/>
      <c r="D149" s="193"/>
      <c r="E149" s="193"/>
      <c r="F149" s="194"/>
      <c r="G149" s="121" t="s">
        <v>294</v>
      </c>
      <c r="H149" s="193">
        <f>Sitio!$E$3</f>
        <v>0</v>
      </c>
      <c r="I149" s="193"/>
      <c r="J149" s="193"/>
      <c r="K149" s="193"/>
      <c r="L149" s="194"/>
      <c r="M149" s="121" t="s">
        <v>294</v>
      </c>
      <c r="N149" s="193">
        <f>Sitio!$E$3</f>
        <v>0</v>
      </c>
      <c r="O149" s="193"/>
      <c r="P149" s="193"/>
      <c r="Q149" s="193"/>
      <c r="R149" s="194"/>
      <c r="S149" s="121" t="s">
        <v>294</v>
      </c>
      <c r="T149" s="193">
        <f>Sitio!$E$3</f>
        <v>0</v>
      </c>
      <c r="U149" s="193"/>
      <c r="V149" s="193"/>
      <c r="W149" s="193"/>
      <c r="X149" s="194"/>
    </row>
    <row r="150" spans="1:24" ht="9.75" customHeight="1" x14ac:dyDescent="0.15">
      <c r="A150" s="121" t="s">
        <v>295</v>
      </c>
      <c r="C150" s="193" t="e">
        <f>VLOOKUP(B152,Preenchimento!$A:$BV,2,0)</f>
        <v>#N/A</v>
      </c>
      <c r="D150" s="193" t="e">
        <f>VLOOKUP(C152,Preenchimento!$A:$BV,2,0)</f>
        <v>#N/A</v>
      </c>
      <c r="E150" s="193" t="e">
        <f>VLOOKUP(D152,Preenchimento!$A:$BV,2,0)</f>
        <v>#N/A</v>
      </c>
      <c r="F150" s="194" t="e">
        <f>VLOOKUP(E152,Preenchimento!$A:$BV,2,0)</f>
        <v>#N/A</v>
      </c>
      <c r="G150" s="121" t="s">
        <v>295</v>
      </c>
      <c r="I150" s="193" t="e">
        <f>VLOOKUP(H152,Preenchimento!$A:$BV,2,0)</f>
        <v>#N/A</v>
      </c>
      <c r="J150" s="193" t="e">
        <f>VLOOKUP(I152,Preenchimento!$A:$BV,2,0)</f>
        <v>#N/A</v>
      </c>
      <c r="K150" s="193" t="e">
        <f>VLOOKUP(J152,Preenchimento!$A:$BV,2,0)</f>
        <v>#N/A</v>
      </c>
      <c r="L150" s="194" t="e">
        <f>VLOOKUP(K152,Preenchimento!$A:$BV,2,0)</f>
        <v>#N/A</v>
      </c>
      <c r="M150" s="121" t="s">
        <v>295</v>
      </c>
      <c r="O150" s="193" t="e">
        <f>VLOOKUP(N152,Preenchimento!$A:$BV,2,0)</f>
        <v>#N/A</v>
      </c>
      <c r="P150" s="193" t="e">
        <f>VLOOKUP(O152,Preenchimento!$A:$BV,2,0)</f>
        <v>#N/A</v>
      </c>
      <c r="Q150" s="193" t="e">
        <f>VLOOKUP(P152,Preenchimento!$A:$BV,2,0)</f>
        <v>#N/A</v>
      </c>
      <c r="R150" s="194" t="e">
        <f>VLOOKUP(Q152,Preenchimento!$A:$BV,2,0)</f>
        <v>#N/A</v>
      </c>
      <c r="S150" s="121" t="s">
        <v>295</v>
      </c>
      <c r="U150" s="193" t="e">
        <f>VLOOKUP(T152,Preenchimento!$A:$BV,2,0)</f>
        <v>#N/A</v>
      </c>
      <c r="V150" s="193" t="e">
        <f>VLOOKUP(U152,Preenchimento!$A:$BV,2,0)</f>
        <v>#N/A</v>
      </c>
      <c r="W150" s="193" t="e">
        <f>VLOOKUP(V152,Preenchimento!$A:$BV,2,0)</f>
        <v>#N/A</v>
      </c>
      <c r="X150" s="194" t="e">
        <f>VLOOKUP(W152,Preenchimento!$A:$BV,2,0)</f>
        <v>#N/A</v>
      </c>
    </row>
    <row r="151" spans="1:24" ht="9.75" customHeight="1" x14ac:dyDescent="0.15">
      <c r="A151" s="121" t="s">
        <v>296</v>
      </c>
      <c r="B151" s="193" t="e">
        <f>VLOOKUP(B152,Preenchimento!$A:$BV,3,0)</f>
        <v>#N/A</v>
      </c>
      <c r="C151" s="193" t="e">
        <f>VLOOKUP(C152,Preenchimento!$A:$BV,3,0)</f>
        <v>#N/A</v>
      </c>
      <c r="D151" s="120" t="s">
        <v>297</v>
      </c>
      <c r="E151" s="197" t="e">
        <f>VLOOKUP(B152,Preenchimento!$A:$BV,5,0)</f>
        <v>#N/A</v>
      </c>
      <c r="F151" s="198" t="e">
        <f>VLOOKUP(C152,Preenchimento!$A:$BV,5,0)</f>
        <v>#N/A</v>
      </c>
      <c r="G151" s="121" t="s">
        <v>296</v>
      </c>
      <c r="H151" s="193" t="e">
        <f>VLOOKUP(H152,Preenchimento!$A:$BV,3,0)</f>
        <v>#N/A</v>
      </c>
      <c r="I151" s="193" t="e">
        <f>VLOOKUP(I152,Preenchimento!$A:$BV,3,0)</f>
        <v>#N/A</v>
      </c>
      <c r="J151" s="120" t="s">
        <v>297</v>
      </c>
      <c r="K151" s="197" t="e">
        <f>VLOOKUP(H152,Preenchimento!$A:$BV,5,0)</f>
        <v>#N/A</v>
      </c>
      <c r="L151" s="198" t="e">
        <f>VLOOKUP(I152,Preenchimento!$A:$BV,5,0)</f>
        <v>#N/A</v>
      </c>
      <c r="M151" s="121" t="s">
        <v>296</v>
      </c>
      <c r="N151" s="193" t="e">
        <f>VLOOKUP(N152,Preenchimento!$A:$BV,3,0)</f>
        <v>#N/A</v>
      </c>
      <c r="O151" s="193" t="e">
        <f>VLOOKUP(O152,Preenchimento!$A:$BV,3,0)</f>
        <v>#N/A</v>
      </c>
      <c r="P151" s="120" t="s">
        <v>297</v>
      </c>
      <c r="Q151" s="197" t="e">
        <f>VLOOKUP(N152,Preenchimento!$A:$BV,5,0)</f>
        <v>#N/A</v>
      </c>
      <c r="R151" s="198" t="e">
        <f>VLOOKUP(O152,Preenchimento!$A:$BV,5,0)</f>
        <v>#N/A</v>
      </c>
      <c r="S151" s="121" t="s">
        <v>296</v>
      </c>
      <c r="T151" s="193" t="e">
        <f>VLOOKUP(T152,Preenchimento!$A:$BV,3,0)</f>
        <v>#N/A</v>
      </c>
      <c r="U151" s="193" t="e">
        <f>VLOOKUP(U152,Preenchimento!$A:$BV,3,0)</f>
        <v>#N/A</v>
      </c>
      <c r="V151" s="120" t="s">
        <v>297</v>
      </c>
      <c r="W151" s="197" t="e">
        <f>VLOOKUP(T152,Preenchimento!$A:$BV,5,0)</f>
        <v>#N/A</v>
      </c>
      <c r="X151" s="198" t="e">
        <f>VLOOKUP(U152,Preenchimento!$A:$BV,5,0)</f>
        <v>#N/A</v>
      </c>
    </row>
    <row r="152" spans="1:24" ht="9.75" customHeight="1" x14ac:dyDescent="0.15">
      <c r="A152" s="121" t="s">
        <v>298</v>
      </c>
      <c r="B152" s="193"/>
      <c r="C152" s="193"/>
      <c r="D152" s="120" t="s">
        <v>299</v>
      </c>
      <c r="F152" s="131" t="e">
        <f>VLOOKUP(B152,Preenchimento!$A:$BV,10,0)</f>
        <v>#N/A</v>
      </c>
      <c r="G152" s="121" t="s">
        <v>298</v>
      </c>
      <c r="H152" s="193"/>
      <c r="I152" s="193"/>
      <c r="J152" s="120" t="s">
        <v>299</v>
      </c>
      <c r="L152" s="131" t="e">
        <f>VLOOKUP(H152,Preenchimento!$A:$BV,10,0)</f>
        <v>#N/A</v>
      </c>
      <c r="M152" s="121" t="s">
        <v>298</v>
      </c>
      <c r="N152" s="193"/>
      <c r="O152" s="193"/>
      <c r="P152" s="120" t="s">
        <v>299</v>
      </c>
      <c r="R152" s="131" t="e">
        <f>VLOOKUP(N152,Preenchimento!$A:$BV,10,0)</f>
        <v>#N/A</v>
      </c>
      <c r="S152" s="121" t="s">
        <v>298</v>
      </c>
      <c r="T152" s="193"/>
      <c r="U152" s="193"/>
      <c r="V152" s="120" t="s">
        <v>299</v>
      </c>
      <c r="X152" s="131" t="e">
        <f>VLOOKUP(T152,Preenchimento!$A:$BV,10,0)</f>
        <v>#N/A</v>
      </c>
    </row>
    <row r="153" spans="1:24" ht="9.75" customHeight="1" x14ac:dyDescent="0.15">
      <c r="A153" s="121" t="s">
        <v>300</v>
      </c>
      <c r="C153" s="193" t="e">
        <f>VLOOKUP(B152,Preenchimento!$A:$BV,12,0)</f>
        <v>#N/A</v>
      </c>
      <c r="D153" s="193" t="e">
        <f>VLOOKUP(C152,Preenchimento!$A:$BV,12,0)</f>
        <v>#N/A</v>
      </c>
      <c r="E153" s="193" t="e">
        <f>VLOOKUP(D152,Preenchimento!$A:$BV,12,0)</f>
        <v>#N/A</v>
      </c>
      <c r="F153" s="194" t="e">
        <f>VLOOKUP(E152,Preenchimento!$A:$BV,12,0)</f>
        <v>#N/A</v>
      </c>
      <c r="G153" s="121" t="s">
        <v>300</v>
      </c>
      <c r="I153" s="193" t="e">
        <f>VLOOKUP(H152,Preenchimento!$A:$BV,12,0)</f>
        <v>#N/A</v>
      </c>
      <c r="J153" s="193" t="e">
        <f>VLOOKUP(I152,Preenchimento!$A:$BV,12,0)</f>
        <v>#N/A</v>
      </c>
      <c r="K153" s="193" t="e">
        <f>VLOOKUP(J152,Preenchimento!$A:$BV,12,0)</f>
        <v>#N/A</v>
      </c>
      <c r="L153" s="194" t="e">
        <f>VLOOKUP(K152,Preenchimento!$A:$BV,12,0)</f>
        <v>#N/A</v>
      </c>
      <c r="M153" s="121" t="s">
        <v>300</v>
      </c>
      <c r="O153" s="193" t="e">
        <f>VLOOKUP(N152,Preenchimento!$A:$BV,12,0)</f>
        <v>#N/A</v>
      </c>
      <c r="P153" s="193" t="e">
        <f>VLOOKUP(O152,Preenchimento!$A:$BV,12,0)</f>
        <v>#N/A</v>
      </c>
      <c r="Q153" s="193" t="e">
        <f>VLOOKUP(P152,Preenchimento!$A:$BV,12,0)</f>
        <v>#N/A</v>
      </c>
      <c r="R153" s="194" t="e">
        <f>VLOOKUP(Q152,Preenchimento!$A:$BV,12,0)</f>
        <v>#N/A</v>
      </c>
      <c r="S153" s="121" t="s">
        <v>300</v>
      </c>
      <c r="U153" s="193" t="e">
        <f>VLOOKUP(T152,Preenchimento!$A:$BV,12,0)</f>
        <v>#N/A</v>
      </c>
      <c r="V153" s="193" t="e">
        <f>VLOOKUP(U152,Preenchimento!$A:$BV,12,0)</f>
        <v>#N/A</v>
      </c>
      <c r="W153" s="193" t="e">
        <f>VLOOKUP(V152,Preenchimento!$A:$BV,12,0)</f>
        <v>#N/A</v>
      </c>
      <c r="X153" s="194" t="e">
        <f>VLOOKUP(W152,Preenchimento!$A:$BV,12,0)</f>
        <v>#N/A</v>
      </c>
    </row>
    <row r="154" spans="1:24" ht="9.75" customHeight="1" x14ac:dyDescent="0.15">
      <c r="A154" s="123" t="s">
        <v>301</v>
      </c>
      <c r="B154" s="195" t="e">
        <f>IF(VLOOKUP(B152,Preenchimento!$A:$BV,11,0)=0,"",VLOOKUP(B152,Preenchimento!$A:$BV,11,0))</f>
        <v>#N/A</v>
      </c>
      <c r="C154" s="195"/>
      <c r="D154" s="195"/>
      <c r="E154" s="195"/>
      <c r="F154" s="196"/>
      <c r="G154" s="123" t="s">
        <v>301</v>
      </c>
      <c r="H154" s="195" t="e">
        <f>IF(VLOOKUP(H152,Preenchimento!$A:$BV,11,0)=0,"",VLOOKUP(H152,Preenchimento!$A:$BV,11,0))</f>
        <v>#N/A</v>
      </c>
      <c r="I154" s="195"/>
      <c r="J154" s="195"/>
      <c r="K154" s="195"/>
      <c r="L154" s="196"/>
      <c r="M154" s="123" t="s">
        <v>301</v>
      </c>
      <c r="N154" s="195" t="e">
        <f>IF(VLOOKUP(N152,Preenchimento!$A:$BV,11,0)=0,"",VLOOKUP(N152,Preenchimento!$A:$BV,11,0))</f>
        <v>#N/A</v>
      </c>
      <c r="O154" s="195"/>
      <c r="P154" s="195"/>
      <c r="Q154" s="195"/>
      <c r="R154" s="196"/>
      <c r="S154" s="123" t="s">
        <v>301</v>
      </c>
      <c r="T154" s="195" t="e">
        <f>IF(VLOOKUP(T152,Preenchimento!$A:$BV,11,0)=0,"",VLOOKUP(T152,Preenchimento!$A:$BV,11,0))</f>
        <v>#N/A</v>
      </c>
      <c r="U154" s="195"/>
      <c r="V154" s="195"/>
      <c r="W154" s="195"/>
      <c r="X154" s="196"/>
    </row>
    <row r="155" spans="1:24" s="130" customFormat="1" ht="33.950000000000003" customHeight="1" x14ac:dyDescent="0.25">
      <c r="A155" s="199" t="str">
        <f>Sitio!$A$3</f>
        <v>Projeto 01</v>
      </c>
      <c r="B155" s="200"/>
      <c r="C155" s="200"/>
      <c r="D155" s="200"/>
      <c r="E155" s="200"/>
      <c r="F155" s="201"/>
      <c r="G155" s="199" t="str">
        <f>Sitio!$A$3</f>
        <v>Projeto 01</v>
      </c>
      <c r="H155" s="200"/>
      <c r="I155" s="200"/>
      <c r="J155" s="200"/>
      <c r="K155" s="200"/>
      <c r="L155" s="201"/>
      <c r="M155" s="199" t="str">
        <f>Sitio!$A$3</f>
        <v>Projeto 01</v>
      </c>
      <c r="N155" s="200"/>
      <c r="O155" s="200"/>
      <c r="P155" s="200"/>
      <c r="Q155" s="200"/>
      <c r="R155" s="201"/>
      <c r="S155" s="199" t="str">
        <f>Sitio!$A$3</f>
        <v>Projeto 01</v>
      </c>
      <c r="T155" s="200"/>
      <c r="U155" s="200"/>
      <c r="V155" s="200"/>
      <c r="W155" s="200"/>
      <c r="X155" s="201"/>
    </row>
    <row r="156" spans="1:24" ht="9.75" customHeight="1" x14ac:dyDescent="0.15">
      <c r="A156" s="121" t="s">
        <v>294</v>
      </c>
      <c r="B156" s="193">
        <f>Sitio!$E$3</f>
        <v>0</v>
      </c>
      <c r="C156" s="193"/>
      <c r="D156" s="193"/>
      <c r="E156" s="193"/>
      <c r="F156" s="194"/>
      <c r="G156" s="121" t="s">
        <v>294</v>
      </c>
      <c r="H156" s="193">
        <f>Sitio!$E$3</f>
        <v>0</v>
      </c>
      <c r="I156" s="193"/>
      <c r="J156" s="193"/>
      <c r="K156" s="193"/>
      <c r="L156" s="194"/>
      <c r="M156" s="121" t="s">
        <v>294</v>
      </c>
      <c r="N156" s="193">
        <f>Sitio!$E$3</f>
        <v>0</v>
      </c>
      <c r="O156" s="193"/>
      <c r="P156" s="193"/>
      <c r="Q156" s="193"/>
      <c r="R156" s="194"/>
      <c r="S156" s="121" t="s">
        <v>294</v>
      </c>
      <c r="T156" s="193">
        <f>Sitio!$E$3</f>
        <v>0</v>
      </c>
      <c r="U156" s="193"/>
      <c r="V156" s="193"/>
      <c r="W156" s="193"/>
      <c r="X156" s="194"/>
    </row>
    <row r="157" spans="1:24" ht="9.75" customHeight="1" x14ac:dyDescent="0.15">
      <c r="A157" s="121" t="s">
        <v>295</v>
      </c>
      <c r="C157" s="193" t="e">
        <f>VLOOKUP(B159,Preenchimento!$A:$BV,2,0)</f>
        <v>#N/A</v>
      </c>
      <c r="D157" s="193" t="e">
        <f>VLOOKUP(C159,Preenchimento!$A:$BV,2,0)</f>
        <v>#N/A</v>
      </c>
      <c r="E157" s="193" t="e">
        <f>VLOOKUP(D159,Preenchimento!$A:$BV,2,0)</f>
        <v>#N/A</v>
      </c>
      <c r="F157" s="194" t="e">
        <f>VLOOKUP(E159,Preenchimento!$A:$BV,2,0)</f>
        <v>#N/A</v>
      </c>
      <c r="G157" s="121" t="s">
        <v>295</v>
      </c>
      <c r="I157" s="193" t="e">
        <f>VLOOKUP(H159,Preenchimento!$A:$BV,2,0)</f>
        <v>#N/A</v>
      </c>
      <c r="J157" s="193" t="e">
        <f>VLOOKUP(I159,Preenchimento!$A:$BV,2,0)</f>
        <v>#N/A</v>
      </c>
      <c r="K157" s="193" t="e">
        <f>VLOOKUP(J159,Preenchimento!$A:$BV,2,0)</f>
        <v>#N/A</v>
      </c>
      <c r="L157" s="194" t="e">
        <f>VLOOKUP(K159,Preenchimento!$A:$BV,2,0)</f>
        <v>#N/A</v>
      </c>
      <c r="M157" s="121" t="s">
        <v>295</v>
      </c>
      <c r="O157" s="193" t="e">
        <f>VLOOKUP(N159,Preenchimento!$A:$BV,2,0)</f>
        <v>#N/A</v>
      </c>
      <c r="P157" s="193" t="e">
        <f>VLOOKUP(O159,Preenchimento!$A:$BV,2,0)</f>
        <v>#N/A</v>
      </c>
      <c r="Q157" s="193" t="e">
        <f>VLOOKUP(P159,Preenchimento!$A:$BV,2,0)</f>
        <v>#N/A</v>
      </c>
      <c r="R157" s="194" t="e">
        <f>VLOOKUP(Q159,Preenchimento!$A:$BV,2,0)</f>
        <v>#N/A</v>
      </c>
      <c r="S157" s="121" t="s">
        <v>295</v>
      </c>
      <c r="U157" s="193" t="e">
        <f>VLOOKUP(T159,Preenchimento!$A:$BV,2,0)</f>
        <v>#N/A</v>
      </c>
      <c r="V157" s="193" t="e">
        <f>VLOOKUP(U159,Preenchimento!$A:$BV,2,0)</f>
        <v>#N/A</v>
      </c>
      <c r="W157" s="193" t="e">
        <f>VLOOKUP(V159,Preenchimento!$A:$BV,2,0)</f>
        <v>#N/A</v>
      </c>
      <c r="X157" s="194" t="e">
        <f>VLOOKUP(W159,Preenchimento!$A:$BV,2,0)</f>
        <v>#N/A</v>
      </c>
    </row>
    <row r="158" spans="1:24" ht="9.75" customHeight="1" x14ac:dyDescent="0.15">
      <c r="A158" s="121" t="s">
        <v>296</v>
      </c>
      <c r="B158" s="193" t="e">
        <f>VLOOKUP(B159,Preenchimento!$A:$BV,3,0)</f>
        <v>#N/A</v>
      </c>
      <c r="C158" s="193" t="e">
        <f>VLOOKUP(C159,Preenchimento!$A:$BV,3,0)</f>
        <v>#N/A</v>
      </c>
      <c r="D158" s="120" t="s">
        <v>297</v>
      </c>
      <c r="E158" s="197" t="e">
        <f>VLOOKUP(B159,Preenchimento!$A:$BV,5,0)</f>
        <v>#N/A</v>
      </c>
      <c r="F158" s="198" t="e">
        <f>VLOOKUP(C159,Preenchimento!$A:$BV,5,0)</f>
        <v>#N/A</v>
      </c>
      <c r="G158" s="121" t="s">
        <v>296</v>
      </c>
      <c r="H158" s="193" t="e">
        <f>VLOOKUP(H159,Preenchimento!$A:$BV,3,0)</f>
        <v>#N/A</v>
      </c>
      <c r="I158" s="193" t="e">
        <f>VLOOKUP(I159,Preenchimento!$A:$BV,3,0)</f>
        <v>#N/A</v>
      </c>
      <c r="J158" s="120" t="s">
        <v>297</v>
      </c>
      <c r="K158" s="197" t="e">
        <f>VLOOKUP(H159,Preenchimento!$A:$BV,5,0)</f>
        <v>#N/A</v>
      </c>
      <c r="L158" s="198" t="e">
        <f>VLOOKUP(I159,Preenchimento!$A:$BV,5,0)</f>
        <v>#N/A</v>
      </c>
      <c r="M158" s="121" t="s">
        <v>296</v>
      </c>
      <c r="N158" s="193" t="e">
        <f>VLOOKUP(N159,Preenchimento!$A:$BV,3,0)</f>
        <v>#N/A</v>
      </c>
      <c r="O158" s="193" t="e">
        <f>VLOOKUP(O159,Preenchimento!$A:$BV,3,0)</f>
        <v>#N/A</v>
      </c>
      <c r="P158" s="120" t="s">
        <v>297</v>
      </c>
      <c r="Q158" s="197" t="e">
        <f>VLOOKUP(N159,Preenchimento!$A:$BV,5,0)</f>
        <v>#N/A</v>
      </c>
      <c r="R158" s="198" t="e">
        <f>VLOOKUP(O159,Preenchimento!$A:$BV,5,0)</f>
        <v>#N/A</v>
      </c>
      <c r="S158" s="121" t="s">
        <v>296</v>
      </c>
      <c r="T158" s="193" t="e">
        <f>VLOOKUP(T159,Preenchimento!$A:$BV,3,0)</f>
        <v>#N/A</v>
      </c>
      <c r="U158" s="193" t="e">
        <f>VLOOKUP(U159,Preenchimento!$A:$BV,3,0)</f>
        <v>#N/A</v>
      </c>
      <c r="V158" s="120" t="s">
        <v>297</v>
      </c>
      <c r="W158" s="197" t="e">
        <f>VLOOKUP(T159,Preenchimento!$A:$BV,5,0)</f>
        <v>#N/A</v>
      </c>
      <c r="X158" s="198" t="e">
        <f>VLOOKUP(U159,Preenchimento!$A:$BV,5,0)</f>
        <v>#N/A</v>
      </c>
    </row>
    <row r="159" spans="1:24" ht="9.75" customHeight="1" x14ac:dyDescent="0.15">
      <c r="A159" s="121" t="s">
        <v>298</v>
      </c>
      <c r="B159" s="193"/>
      <c r="C159" s="193"/>
      <c r="D159" s="120" t="s">
        <v>299</v>
      </c>
      <c r="F159" s="131" t="e">
        <f>VLOOKUP(B159,Preenchimento!$A:$BV,10,0)</f>
        <v>#N/A</v>
      </c>
      <c r="G159" s="121" t="s">
        <v>298</v>
      </c>
      <c r="H159" s="193"/>
      <c r="I159" s="193"/>
      <c r="J159" s="120" t="s">
        <v>299</v>
      </c>
      <c r="L159" s="131" t="e">
        <f>VLOOKUP(H159,Preenchimento!$A:$BV,10,0)</f>
        <v>#N/A</v>
      </c>
      <c r="M159" s="121" t="s">
        <v>298</v>
      </c>
      <c r="N159" s="193"/>
      <c r="O159" s="193"/>
      <c r="P159" s="120" t="s">
        <v>299</v>
      </c>
      <c r="R159" s="131" t="e">
        <f>VLOOKUP(N159,Preenchimento!$A:$BV,10,0)</f>
        <v>#N/A</v>
      </c>
      <c r="S159" s="121" t="s">
        <v>298</v>
      </c>
      <c r="T159" s="193"/>
      <c r="U159" s="193"/>
      <c r="V159" s="120" t="s">
        <v>299</v>
      </c>
      <c r="X159" s="131" t="e">
        <f>VLOOKUP(T159,Preenchimento!$A:$BV,10,0)</f>
        <v>#N/A</v>
      </c>
    </row>
    <row r="160" spans="1:24" ht="9.75" customHeight="1" x14ac:dyDescent="0.15">
      <c r="A160" s="121" t="s">
        <v>300</v>
      </c>
      <c r="C160" s="193" t="e">
        <f>VLOOKUP(B159,Preenchimento!$A:$BV,12,0)</f>
        <v>#N/A</v>
      </c>
      <c r="D160" s="193" t="e">
        <f>VLOOKUP(C159,Preenchimento!$A:$BV,12,0)</f>
        <v>#N/A</v>
      </c>
      <c r="E160" s="193" t="e">
        <f>VLOOKUP(D159,Preenchimento!$A:$BV,12,0)</f>
        <v>#N/A</v>
      </c>
      <c r="F160" s="194" t="e">
        <f>VLOOKUP(E159,Preenchimento!$A:$BV,12,0)</f>
        <v>#N/A</v>
      </c>
      <c r="G160" s="121" t="s">
        <v>300</v>
      </c>
      <c r="I160" s="193" t="e">
        <f>VLOOKUP(H159,Preenchimento!$A:$BV,12,0)</f>
        <v>#N/A</v>
      </c>
      <c r="J160" s="193" t="e">
        <f>VLOOKUP(I159,Preenchimento!$A:$BV,12,0)</f>
        <v>#N/A</v>
      </c>
      <c r="K160" s="193" t="e">
        <f>VLOOKUP(J159,Preenchimento!$A:$BV,12,0)</f>
        <v>#N/A</v>
      </c>
      <c r="L160" s="194" t="e">
        <f>VLOOKUP(K159,Preenchimento!$A:$BV,12,0)</f>
        <v>#N/A</v>
      </c>
      <c r="M160" s="121" t="s">
        <v>300</v>
      </c>
      <c r="O160" s="193" t="e">
        <f>VLOOKUP(N159,Preenchimento!$A:$BV,12,0)</f>
        <v>#N/A</v>
      </c>
      <c r="P160" s="193" t="e">
        <f>VLOOKUP(O159,Preenchimento!$A:$BV,12,0)</f>
        <v>#N/A</v>
      </c>
      <c r="Q160" s="193" t="e">
        <f>VLOOKUP(P159,Preenchimento!$A:$BV,12,0)</f>
        <v>#N/A</v>
      </c>
      <c r="R160" s="194" t="e">
        <f>VLOOKUP(Q159,Preenchimento!$A:$BV,12,0)</f>
        <v>#N/A</v>
      </c>
      <c r="S160" s="121" t="s">
        <v>300</v>
      </c>
      <c r="U160" s="193" t="e">
        <f>VLOOKUP(T159,Preenchimento!$A:$BV,12,0)</f>
        <v>#N/A</v>
      </c>
      <c r="V160" s="193" t="e">
        <f>VLOOKUP(U159,Preenchimento!$A:$BV,12,0)</f>
        <v>#N/A</v>
      </c>
      <c r="W160" s="193" t="e">
        <f>VLOOKUP(V159,Preenchimento!$A:$BV,12,0)</f>
        <v>#N/A</v>
      </c>
      <c r="X160" s="194" t="e">
        <f>VLOOKUP(W159,Preenchimento!$A:$BV,12,0)</f>
        <v>#N/A</v>
      </c>
    </row>
    <row r="161" spans="1:24" ht="9.75" customHeight="1" x14ac:dyDescent="0.15">
      <c r="A161" s="123" t="s">
        <v>301</v>
      </c>
      <c r="B161" s="195" t="e">
        <f>IF(VLOOKUP(B159,Preenchimento!$A:$BV,11,0)=0,"",VLOOKUP(B159,Preenchimento!$A:$BV,11,0))</f>
        <v>#N/A</v>
      </c>
      <c r="C161" s="195"/>
      <c r="D161" s="195"/>
      <c r="E161" s="195"/>
      <c r="F161" s="196"/>
      <c r="G161" s="123" t="s">
        <v>301</v>
      </c>
      <c r="H161" s="195" t="e">
        <f>IF(VLOOKUP(H159,Preenchimento!$A:$BV,11,0)=0,"",VLOOKUP(H159,Preenchimento!$A:$BV,11,0))</f>
        <v>#N/A</v>
      </c>
      <c r="I161" s="195"/>
      <c r="J161" s="195"/>
      <c r="K161" s="195"/>
      <c r="L161" s="196"/>
      <c r="M161" s="123" t="s">
        <v>301</v>
      </c>
      <c r="N161" s="195" t="e">
        <f>IF(VLOOKUP(N159,Preenchimento!$A:$BV,11,0)=0,"",VLOOKUP(N159,Preenchimento!$A:$BV,11,0))</f>
        <v>#N/A</v>
      </c>
      <c r="O161" s="195"/>
      <c r="P161" s="195"/>
      <c r="Q161" s="195"/>
      <c r="R161" s="196"/>
      <c r="S161" s="123" t="s">
        <v>301</v>
      </c>
      <c r="T161" s="195" t="e">
        <f>IF(VLOOKUP(T159,Preenchimento!$A:$BV,11,0)=0,"",VLOOKUP(T159,Preenchimento!$A:$BV,11,0))</f>
        <v>#N/A</v>
      </c>
      <c r="U161" s="195"/>
      <c r="V161" s="195"/>
      <c r="W161" s="195"/>
      <c r="X161" s="196"/>
    </row>
    <row r="162" spans="1:24" s="130" customFormat="1" ht="33.950000000000003" customHeight="1" x14ac:dyDescent="0.25">
      <c r="A162" s="199" t="str">
        <f>Sitio!$A$3</f>
        <v>Projeto 01</v>
      </c>
      <c r="B162" s="200"/>
      <c r="C162" s="200"/>
      <c r="D162" s="200"/>
      <c r="E162" s="200"/>
      <c r="F162" s="201"/>
      <c r="G162" s="199" t="str">
        <f>Sitio!$A$3</f>
        <v>Projeto 01</v>
      </c>
      <c r="H162" s="200"/>
      <c r="I162" s="200"/>
      <c r="J162" s="200"/>
      <c r="K162" s="200"/>
      <c r="L162" s="201"/>
      <c r="M162" s="199" t="str">
        <f>Sitio!$A$3</f>
        <v>Projeto 01</v>
      </c>
      <c r="N162" s="200"/>
      <c r="O162" s="200"/>
      <c r="P162" s="200"/>
      <c r="Q162" s="200"/>
      <c r="R162" s="201"/>
      <c r="S162" s="199" t="str">
        <f>Sitio!$A$3</f>
        <v>Projeto 01</v>
      </c>
      <c r="T162" s="200"/>
      <c r="U162" s="200"/>
      <c r="V162" s="200"/>
      <c r="W162" s="200"/>
      <c r="X162" s="201"/>
    </row>
    <row r="163" spans="1:24" ht="9.75" customHeight="1" x14ac:dyDescent="0.15">
      <c r="A163" s="121" t="s">
        <v>294</v>
      </c>
      <c r="B163" s="193">
        <f>Sitio!$E$3</f>
        <v>0</v>
      </c>
      <c r="C163" s="193"/>
      <c r="D163" s="193"/>
      <c r="E163" s="193"/>
      <c r="F163" s="194"/>
      <c r="G163" s="121" t="s">
        <v>294</v>
      </c>
      <c r="H163" s="193">
        <f>Sitio!$E$3</f>
        <v>0</v>
      </c>
      <c r="I163" s="193"/>
      <c r="J163" s="193"/>
      <c r="K163" s="193"/>
      <c r="L163" s="194"/>
      <c r="M163" s="121" t="s">
        <v>294</v>
      </c>
      <c r="N163" s="193">
        <f>Sitio!$E$3</f>
        <v>0</v>
      </c>
      <c r="O163" s="193"/>
      <c r="P163" s="193"/>
      <c r="Q163" s="193"/>
      <c r="R163" s="194"/>
      <c r="S163" s="121" t="s">
        <v>294</v>
      </c>
      <c r="T163" s="193">
        <f>Sitio!$E$3</f>
        <v>0</v>
      </c>
      <c r="U163" s="193"/>
      <c r="V163" s="193"/>
      <c r="W163" s="193"/>
      <c r="X163" s="194"/>
    </row>
    <row r="164" spans="1:24" ht="9.75" customHeight="1" x14ac:dyDescent="0.15">
      <c r="A164" s="121" t="s">
        <v>295</v>
      </c>
      <c r="C164" s="193" t="e">
        <f>VLOOKUP(B166,Preenchimento!$A:$BV,2,0)</f>
        <v>#N/A</v>
      </c>
      <c r="D164" s="193" t="e">
        <f>VLOOKUP(C166,Preenchimento!$A:$BV,2,0)</f>
        <v>#N/A</v>
      </c>
      <c r="E164" s="193" t="e">
        <f>VLOOKUP(D166,Preenchimento!$A:$BV,2,0)</f>
        <v>#N/A</v>
      </c>
      <c r="F164" s="194" t="e">
        <f>VLOOKUP(E166,Preenchimento!$A:$BV,2,0)</f>
        <v>#N/A</v>
      </c>
      <c r="G164" s="121" t="s">
        <v>295</v>
      </c>
      <c r="I164" s="193" t="e">
        <f>VLOOKUP(H166,Preenchimento!$A:$BV,2,0)</f>
        <v>#N/A</v>
      </c>
      <c r="J164" s="193" t="e">
        <f>VLOOKUP(I166,Preenchimento!$A:$BV,2,0)</f>
        <v>#N/A</v>
      </c>
      <c r="K164" s="193" t="e">
        <f>VLOOKUP(J166,Preenchimento!$A:$BV,2,0)</f>
        <v>#N/A</v>
      </c>
      <c r="L164" s="194" t="e">
        <f>VLOOKUP(K166,Preenchimento!$A:$BV,2,0)</f>
        <v>#N/A</v>
      </c>
      <c r="M164" s="121" t="s">
        <v>295</v>
      </c>
      <c r="O164" s="193" t="e">
        <f>VLOOKUP(N166,Preenchimento!$A:$BV,2,0)</f>
        <v>#N/A</v>
      </c>
      <c r="P164" s="193" t="e">
        <f>VLOOKUP(O166,Preenchimento!$A:$BV,2,0)</f>
        <v>#N/A</v>
      </c>
      <c r="Q164" s="193" t="e">
        <f>VLOOKUP(P166,Preenchimento!$A:$BV,2,0)</f>
        <v>#N/A</v>
      </c>
      <c r="R164" s="194" t="e">
        <f>VLOOKUP(Q166,Preenchimento!$A:$BV,2,0)</f>
        <v>#N/A</v>
      </c>
      <c r="S164" s="121" t="s">
        <v>295</v>
      </c>
      <c r="U164" s="193" t="e">
        <f>VLOOKUP(T166,Preenchimento!$A:$BV,2,0)</f>
        <v>#N/A</v>
      </c>
      <c r="V164" s="193" t="e">
        <f>VLOOKUP(U166,Preenchimento!$A:$BV,2,0)</f>
        <v>#N/A</v>
      </c>
      <c r="W164" s="193" t="e">
        <f>VLOOKUP(V166,Preenchimento!$A:$BV,2,0)</f>
        <v>#N/A</v>
      </c>
      <c r="X164" s="194" t="e">
        <f>VLOOKUP(W166,Preenchimento!$A:$BV,2,0)</f>
        <v>#N/A</v>
      </c>
    </row>
    <row r="165" spans="1:24" ht="9.75" customHeight="1" x14ac:dyDescent="0.15">
      <c r="A165" s="121" t="s">
        <v>296</v>
      </c>
      <c r="B165" s="193" t="e">
        <f>VLOOKUP(B166,Preenchimento!$A:$BV,3,0)</f>
        <v>#N/A</v>
      </c>
      <c r="C165" s="193" t="e">
        <f>VLOOKUP(C166,Preenchimento!$A:$BV,3,0)</f>
        <v>#N/A</v>
      </c>
      <c r="D165" s="120" t="s">
        <v>297</v>
      </c>
      <c r="E165" s="197" t="e">
        <f>VLOOKUP(B166,Preenchimento!$A:$BV,5,0)</f>
        <v>#N/A</v>
      </c>
      <c r="F165" s="198" t="e">
        <f>VLOOKUP(C166,Preenchimento!$A:$BV,5,0)</f>
        <v>#N/A</v>
      </c>
      <c r="G165" s="121" t="s">
        <v>296</v>
      </c>
      <c r="H165" s="193" t="e">
        <f>VLOOKUP(H166,Preenchimento!$A:$BV,3,0)</f>
        <v>#N/A</v>
      </c>
      <c r="I165" s="193" t="e">
        <f>VLOOKUP(I166,Preenchimento!$A:$BV,3,0)</f>
        <v>#N/A</v>
      </c>
      <c r="J165" s="120" t="s">
        <v>297</v>
      </c>
      <c r="K165" s="197" t="e">
        <f>VLOOKUP(H166,Preenchimento!$A:$BV,5,0)</f>
        <v>#N/A</v>
      </c>
      <c r="L165" s="198" t="e">
        <f>VLOOKUP(I166,Preenchimento!$A:$BV,5,0)</f>
        <v>#N/A</v>
      </c>
      <c r="M165" s="121" t="s">
        <v>296</v>
      </c>
      <c r="N165" s="193" t="e">
        <f>VLOOKUP(N166,Preenchimento!$A:$BV,3,0)</f>
        <v>#N/A</v>
      </c>
      <c r="O165" s="193" t="e">
        <f>VLOOKUP(O166,Preenchimento!$A:$BV,3,0)</f>
        <v>#N/A</v>
      </c>
      <c r="P165" s="120" t="s">
        <v>297</v>
      </c>
      <c r="Q165" s="197" t="e">
        <f>VLOOKUP(N166,Preenchimento!$A:$BV,5,0)</f>
        <v>#N/A</v>
      </c>
      <c r="R165" s="198" t="e">
        <f>VLOOKUP(O166,Preenchimento!$A:$BV,5,0)</f>
        <v>#N/A</v>
      </c>
      <c r="S165" s="121" t="s">
        <v>296</v>
      </c>
      <c r="T165" s="193" t="e">
        <f>VLOOKUP(T166,Preenchimento!$A:$BV,3,0)</f>
        <v>#N/A</v>
      </c>
      <c r="U165" s="193" t="e">
        <f>VLOOKUP(U166,Preenchimento!$A:$BV,3,0)</f>
        <v>#N/A</v>
      </c>
      <c r="V165" s="120" t="s">
        <v>297</v>
      </c>
      <c r="W165" s="197" t="e">
        <f>VLOOKUP(T166,Preenchimento!$A:$BV,5,0)</f>
        <v>#N/A</v>
      </c>
      <c r="X165" s="198" t="e">
        <f>VLOOKUP(U166,Preenchimento!$A:$BV,5,0)</f>
        <v>#N/A</v>
      </c>
    </row>
    <row r="166" spans="1:24" ht="9.75" customHeight="1" x14ac:dyDescent="0.15">
      <c r="A166" s="121" t="s">
        <v>298</v>
      </c>
      <c r="B166" s="193"/>
      <c r="C166" s="193"/>
      <c r="D166" s="120" t="s">
        <v>299</v>
      </c>
      <c r="F166" s="131" t="e">
        <f>VLOOKUP(B166,Preenchimento!$A:$BV,10,0)</f>
        <v>#N/A</v>
      </c>
      <c r="G166" s="121" t="s">
        <v>298</v>
      </c>
      <c r="H166" s="193"/>
      <c r="I166" s="193"/>
      <c r="J166" s="120" t="s">
        <v>299</v>
      </c>
      <c r="L166" s="131" t="e">
        <f>VLOOKUP(H166,Preenchimento!$A:$BV,10,0)</f>
        <v>#N/A</v>
      </c>
      <c r="M166" s="121" t="s">
        <v>298</v>
      </c>
      <c r="N166" s="193"/>
      <c r="O166" s="193"/>
      <c r="P166" s="120" t="s">
        <v>299</v>
      </c>
      <c r="R166" s="131" t="e">
        <f>VLOOKUP(N166,Preenchimento!$A:$BV,10,0)</f>
        <v>#N/A</v>
      </c>
      <c r="S166" s="121" t="s">
        <v>298</v>
      </c>
      <c r="T166" s="193"/>
      <c r="U166" s="193"/>
      <c r="V166" s="120" t="s">
        <v>299</v>
      </c>
      <c r="X166" s="131" t="e">
        <f>VLOOKUP(T166,Preenchimento!$A:$BV,10,0)</f>
        <v>#N/A</v>
      </c>
    </row>
    <row r="167" spans="1:24" ht="9.75" customHeight="1" x14ac:dyDescent="0.15">
      <c r="A167" s="121" t="s">
        <v>300</v>
      </c>
      <c r="C167" s="193" t="e">
        <f>VLOOKUP(B166,Preenchimento!$A:$BV,12,0)</f>
        <v>#N/A</v>
      </c>
      <c r="D167" s="193" t="e">
        <f>VLOOKUP(C166,Preenchimento!$A:$BV,12,0)</f>
        <v>#N/A</v>
      </c>
      <c r="E167" s="193" t="e">
        <f>VLOOKUP(D166,Preenchimento!$A:$BV,12,0)</f>
        <v>#N/A</v>
      </c>
      <c r="F167" s="194" t="e">
        <f>VLOOKUP(E166,Preenchimento!$A:$BV,12,0)</f>
        <v>#N/A</v>
      </c>
      <c r="G167" s="121" t="s">
        <v>300</v>
      </c>
      <c r="I167" s="193" t="e">
        <f>VLOOKUP(H166,Preenchimento!$A:$BV,12,0)</f>
        <v>#N/A</v>
      </c>
      <c r="J167" s="193" t="e">
        <f>VLOOKUP(I166,Preenchimento!$A:$BV,12,0)</f>
        <v>#N/A</v>
      </c>
      <c r="K167" s="193" t="e">
        <f>VLOOKUP(J166,Preenchimento!$A:$BV,12,0)</f>
        <v>#N/A</v>
      </c>
      <c r="L167" s="194" t="e">
        <f>VLOOKUP(K166,Preenchimento!$A:$BV,12,0)</f>
        <v>#N/A</v>
      </c>
      <c r="M167" s="121" t="s">
        <v>300</v>
      </c>
      <c r="O167" s="193" t="e">
        <f>VLOOKUP(N166,Preenchimento!$A:$BV,12,0)</f>
        <v>#N/A</v>
      </c>
      <c r="P167" s="193" t="e">
        <f>VLOOKUP(O166,Preenchimento!$A:$BV,12,0)</f>
        <v>#N/A</v>
      </c>
      <c r="Q167" s="193" t="e">
        <f>VLOOKUP(P166,Preenchimento!$A:$BV,12,0)</f>
        <v>#N/A</v>
      </c>
      <c r="R167" s="194" t="e">
        <f>VLOOKUP(Q166,Preenchimento!$A:$BV,12,0)</f>
        <v>#N/A</v>
      </c>
      <c r="S167" s="121" t="s">
        <v>300</v>
      </c>
      <c r="U167" s="193" t="e">
        <f>VLOOKUP(T166,Preenchimento!$A:$BV,12,0)</f>
        <v>#N/A</v>
      </c>
      <c r="V167" s="193" t="e">
        <f>VLOOKUP(U166,Preenchimento!$A:$BV,12,0)</f>
        <v>#N/A</v>
      </c>
      <c r="W167" s="193" t="e">
        <f>VLOOKUP(V166,Preenchimento!$A:$BV,12,0)</f>
        <v>#N/A</v>
      </c>
      <c r="X167" s="194" t="e">
        <f>VLOOKUP(W166,Preenchimento!$A:$BV,12,0)</f>
        <v>#N/A</v>
      </c>
    </row>
    <row r="168" spans="1:24" ht="9.75" customHeight="1" x14ac:dyDescent="0.15">
      <c r="A168" s="123" t="s">
        <v>301</v>
      </c>
      <c r="B168" s="195" t="e">
        <f>IF(VLOOKUP(B166,Preenchimento!$A:$BV,11,0)=0,"",VLOOKUP(B166,Preenchimento!$A:$BV,11,0))</f>
        <v>#N/A</v>
      </c>
      <c r="C168" s="195"/>
      <c r="D168" s="195"/>
      <c r="E168" s="195"/>
      <c r="F168" s="196"/>
      <c r="G168" s="123" t="s">
        <v>301</v>
      </c>
      <c r="H168" s="195" t="e">
        <f>IF(VLOOKUP(H166,Preenchimento!$A:$BV,11,0)=0,"",VLOOKUP(H166,Preenchimento!$A:$BV,11,0))</f>
        <v>#N/A</v>
      </c>
      <c r="I168" s="195"/>
      <c r="J168" s="195"/>
      <c r="K168" s="195"/>
      <c r="L168" s="196"/>
      <c r="M168" s="123" t="s">
        <v>301</v>
      </c>
      <c r="N168" s="195" t="e">
        <f>IF(VLOOKUP(N166,Preenchimento!$A:$BV,11,0)=0,"",VLOOKUP(N166,Preenchimento!$A:$BV,11,0))</f>
        <v>#N/A</v>
      </c>
      <c r="O168" s="195"/>
      <c r="P168" s="195"/>
      <c r="Q168" s="195"/>
      <c r="R168" s="196"/>
      <c r="S168" s="123" t="s">
        <v>301</v>
      </c>
      <c r="T168" s="195" t="e">
        <f>IF(VLOOKUP(T166,Preenchimento!$A:$BV,11,0)=0,"",VLOOKUP(T166,Preenchimento!$A:$BV,11,0))</f>
        <v>#N/A</v>
      </c>
      <c r="U168" s="195"/>
      <c r="V168" s="195"/>
      <c r="W168" s="195"/>
      <c r="X168" s="196"/>
    </row>
    <row r="169" spans="1:24" ht="33.950000000000003" customHeight="1" x14ac:dyDescent="0.15">
      <c r="A169" s="199" t="str">
        <f>Sitio!$A$3</f>
        <v>Projeto 01</v>
      </c>
      <c r="B169" s="200"/>
      <c r="C169" s="200"/>
      <c r="D169" s="200"/>
      <c r="E169" s="200"/>
      <c r="F169" s="201"/>
      <c r="G169" s="199" t="str">
        <f>Sitio!$A$3</f>
        <v>Projeto 01</v>
      </c>
      <c r="H169" s="200"/>
      <c r="I169" s="200"/>
      <c r="J169" s="200"/>
      <c r="K169" s="200"/>
      <c r="L169" s="201"/>
      <c r="M169" s="199" t="str">
        <f>Sitio!$A$3</f>
        <v>Projeto 01</v>
      </c>
      <c r="N169" s="200"/>
      <c r="O169" s="200"/>
      <c r="P169" s="200"/>
      <c r="Q169" s="200"/>
      <c r="R169" s="201"/>
      <c r="S169" s="199" t="str">
        <f>Sitio!$A$3</f>
        <v>Projeto 01</v>
      </c>
      <c r="T169" s="200"/>
      <c r="U169" s="200"/>
      <c r="V169" s="200"/>
      <c r="W169" s="200"/>
      <c r="X169" s="201"/>
    </row>
    <row r="170" spans="1:24" ht="9.75" customHeight="1" x14ac:dyDescent="0.15">
      <c r="A170" s="121" t="s">
        <v>294</v>
      </c>
      <c r="B170" s="193">
        <f>Sitio!$E$3</f>
        <v>0</v>
      </c>
      <c r="C170" s="193"/>
      <c r="D170" s="193"/>
      <c r="E170" s="193"/>
      <c r="F170" s="194"/>
      <c r="G170" s="121" t="s">
        <v>294</v>
      </c>
      <c r="H170" s="193">
        <f>Sitio!$E$3</f>
        <v>0</v>
      </c>
      <c r="I170" s="193"/>
      <c r="J170" s="193"/>
      <c r="K170" s="193"/>
      <c r="L170" s="194"/>
      <c r="M170" s="121" t="s">
        <v>294</v>
      </c>
      <c r="N170" s="193">
        <f>Sitio!$E$3</f>
        <v>0</v>
      </c>
      <c r="O170" s="193"/>
      <c r="P170" s="193"/>
      <c r="Q170" s="193"/>
      <c r="R170" s="194"/>
      <c r="S170" s="121" t="s">
        <v>294</v>
      </c>
      <c r="T170" s="193">
        <f>Sitio!$E$3</f>
        <v>0</v>
      </c>
      <c r="U170" s="193"/>
      <c r="V170" s="193"/>
      <c r="W170" s="193"/>
      <c r="X170" s="194"/>
    </row>
    <row r="171" spans="1:24" ht="9.75" customHeight="1" x14ac:dyDescent="0.15">
      <c r="A171" s="121" t="s">
        <v>295</v>
      </c>
      <c r="C171" s="193" t="e">
        <f>VLOOKUP(B173,Preenchimento!$A:$BV,2,0)</f>
        <v>#N/A</v>
      </c>
      <c r="D171" s="193" t="e">
        <f>VLOOKUP(C173,Preenchimento!$A:$BV,2,0)</f>
        <v>#N/A</v>
      </c>
      <c r="E171" s="193" t="e">
        <f>VLOOKUP(D173,Preenchimento!$A:$BV,2,0)</f>
        <v>#N/A</v>
      </c>
      <c r="F171" s="194" t="e">
        <f>VLOOKUP(E173,Preenchimento!$A:$BV,2,0)</f>
        <v>#N/A</v>
      </c>
      <c r="G171" s="121" t="s">
        <v>295</v>
      </c>
      <c r="I171" s="193" t="e">
        <f>VLOOKUP(H173,Preenchimento!$A:$BV,2,0)</f>
        <v>#N/A</v>
      </c>
      <c r="J171" s="193" t="e">
        <f>VLOOKUP(I173,Preenchimento!$A:$BV,2,0)</f>
        <v>#N/A</v>
      </c>
      <c r="K171" s="193" t="e">
        <f>VLOOKUP(J173,Preenchimento!$A:$BV,2,0)</f>
        <v>#N/A</v>
      </c>
      <c r="L171" s="194" t="e">
        <f>VLOOKUP(K173,Preenchimento!$A:$BV,2,0)</f>
        <v>#N/A</v>
      </c>
      <c r="M171" s="121" t="s">
        <v>295</v>
      </c>
      <c r="O171" s="193" t="e">
        <f>VLOOKUP(N173,Preenchimento!$A:$BV,2,0)</f>
        <v>#N/A</v>
      </c>
      <c r="P171" s="193" t="e">
        <f>VLOOKUP(O173,Preenchimento!$A:$BV,2,0)</f>
        <v>#N/A</v>
      </c>
      <c r="Q171" s="193" t="e">
        <f>VLOOKUP(P173,Preenchimento!$A:$BV,2,0)</f>
        <v>#N/A</v>
      </c>
      <c r="R171" s="194" t="e">
        <f>VLOOKUP(Q173,Preenchimento!$A:$BV,2,0)</f>
        <v>#N/A</v>
      </c>
      <c r="S171" s="121" t="s">
        <v>295</v>
      </c>
      <c r="U171" s="193" t="e">
        <f>VLOOKUP(T173,Preenchimento!$A:$BV,2,0)</f>
        <v>#N/A</v>
      </c>
      <c r="V171" s="193" t="e">
        <f>VLOOKUP(U173,Preenchimento!$A:$BV,2,0)</f>
        <v>#N/A</v>
      </c>
      <c r="W171" s="193" t="e">
        <f>VLOOKUP(V173,Preenchimento!$A:$BV,2,0)</f>
        <v>#N/A</v>
      </c>
      <c r="X171" s="194" t="e">
        <f>VLOOKUP(W173,Preenchimento!$A:$BV,2,0)</f>
        <v>#N/A</v>
      </c>
    </row>
    <row r="172" spans="1:24" ht="9.75" customHeight="1" x14ac:dyDescent="0.15">
      <c r="A172" s="121" t="s">
        <v>296</v>
      </c>
      <c r="B172" s="193" t="e">
        <f>VLOOKUP(B173,Preenchimento!$A:$BV,3,0)</f>
        <v>#N/A</v>
      </c>
      <c r="C172" s="193" t="e">
        <f>VLOOKUP(C173,Preenchimento!$A:$BV,3,0)</f>
        <v>#N/A</v>
      </c>
      <c r="D172" s="120" t="s">
        <v>297</v>
      </c>
      <c r="E172" s="197" t="e">
        <f>VLOOKUP(B173,Preenchimento!$A:$BV,5,0)</f>
        <v>#N/A</v>
      </c>
      <c r="F172" s="198" t="e">
        <f>VLOOKUP(C173,Preenchimento!$A:$BV,5,0)</f>
        <v>#N/A</v>
      </c>
      <c r="G172" s="121" t="s">
        <v>296</v>
      </c>
      <c r="H172" s="193" t="e">
        <f>VLOOKUP(H173,Preenchimento!$A:$BV,3,0)</f>
        <v>#N/A</v>
      </c>
      <c r="I172" s="193" t="e">
        <f>VLOOKUP(I173,Preenchimento!$A:$BV,3,0)</f>
        <v>#N/A</v>
      </c>
      <c r="J172" s="120" t="s">
        <v>297</v>
      </c>
      <c r="K172" s="197" t="e">
        <f>VLOOKUP(H173,Preenchimento!$A:$BV,5,0)</f>
        <v>#N/A</v>
      </c>
      <c r="L172" s="198" t="e">
        <f>VLOOKUP(I173,Preenchimento!$A:$BV,5,0)</f>
        <v>#N/A</v>
      </c>
      <c r="M172" s="121" t="s">
        <v>296</v>
      </c>
      <c r="N172" s="193" t="e">
        <f>VLOOKUP(N173,Preenchimento!$A:$BV,3,0)</f>
        <v>#N/A</v>
      </c>
      <c r="O172" s="193" t="e">
        <f>VLOOKUP(O173,Preenchimento!$A:$BV,3,0)</f>
        <v>#N/A</v>
      </c>
      <c r="P172" s="120" t="s">
        <v>297</v>
      </c>
      <c r="Q172" s="197" t="e">
        <f>VLOOKUP(N173,Preenchimento!$A:$BV,5,0)</f>
        <v>#N/A</v>
      </c>
      <c r="R172" s="198" t="e">
        <f>VLOOKUP(O173,Preenchimento!$A:$BV,5,0)</f>
        <v>#N/A</v>
      </c>
      <c r="S172" s="121" t="s">
        <v>296</v>
      </c>
      <c r="T172" s="193" t="e">
        <f>VLOOKUP(T173,Preenchimento!$A:$BV,3,0)</f>
        <v>#N/A</v>
      </c>
      <c r="U172" s="193" t="e">
        <f>VLOOKUP(U173,Preenchimento!$A:$BV,3,0)</f>
        <v>#N/A</v>
      </c>
      <c r="V172" s="120" t="s">
        <v>297</v>
      </c>
      <c r="W172" s="197" t="e">
        <f>VLOOKUP(T173,Preenchimento!$A:$BV,5,0)</f>
        <v>#N/A</v>
      </c>
      <c r="X172" s="198" t="e">
        <f>VLOOKUP(U173,Preenchimento!$A:$BV,5,0)</f>
        <v>#N/A</v>
      </c>
    </row>
    <row r="173" spans="1:24" ht="9.75" customHeight="1" x14ac:dyDescent="0.15">
      <c r="A173" s="121" t="s">
        <v>298</v>
      </c>
      <c r="B173" s="193"/>
      <c r="C173" s="193"/>
      <c r="D173" s="120" t="s">
        <v>299</v>
      </c>
      <c r="F173" s="131" t="e">
        <f>VLOOKUP(B173,Preenchimento!$A:$BV,10,0)</f>
        <v>#N/A</v>
      </c>
      <c r="G173" s="121" t="s">
        <v>298</v>
      </c>
      <c r="H173" s="193"/>
      <c r="I173" s="193"/>
      <c r="J173" s="120" t="s">
        <v>299</v>
      </c>
      <c r="L173" s="131" t="e">
        <f>VLOOKUP(H173,Preenchimento!$A:$BV,10,0)</f>
        <v>#N/A</v>
      </c>
      <c r="M173" s="121" t="s">
        <v>298</v>
      </c>
      <c r="N173" s="193"/>
      <c r="O173" s="193"/>
      <c r="P173" s="120" t="s">
        <v>299</v>
      </c>
      <c r="R173" s="131" t="e">
        <f>VLOOKUP(N173,Preenchimento!$A:$BV,10,0)</f>
        <v>#N/A</v>
      </c>
      <c r="S173" s="121" t="s">
        <v>298</v>
      </c>
      <c r="T173" s="193"/>
      <c r="U173" s="193"/>
      <c r="V173" s="120" t="s">
        <v>299</v>
      </c>
      <c r="X173" s="131" t="e">
        <f>VLOOKUP(T173,Preenchimento!$A:$BV,10,0)</f>
        <v>#N/A</v>
      </c>
    </row>
    <row r="174" spans="1:24" ht="9.75" customHeight="1" x14ac:dyDescent="0.15">
      <c r="A174" s="121" t="s">
        <v>300</v>
      </c>
      <c r="C174" s="193" t="e">
        <f>VLOOKUP(B173,Preenchimento!$A:$BV,12,0)</f>
        <v>#N/A</v>
      </c>
      <c r="D174" s="193" t="e">
        <f>VLOOKUP(C173,Preenchimento!$A:$BV,12,0)</f>
        <v>#N/A</v>
      </c>
      <c r="E174" s="193" t="e">
        <f>VLOOKUP(D173,Preenchimento!$A:$BV,12,0)</f>
        <v>#N/A</v>
      </c>
      <c r="F174" s="194" t="e">
        <f>VLOOKUP(E173,Preenchimento!$A:$BV,12,0)</f>
        <v>#N/A</v>
      </c>
      <c r="G174" s="121" t="s">
        <v>300</v>
      </c>
      <c r="I174" s="193" t="e">
        <f>VLOOKUP(H173,Preenchimento!$A:$BV,12,0)</f>
        <v>#N/A</v>
      </c>
      <c r="J174" s="193" t="e">
        <f>VLOOKUP(I173,Preenchimento!$A:$BV,12,0)</f>
        <v>#N/A</v>
      </c>
      <c r="K174" s="193" t="e">
        <f>VLOOKUP(J173,Preenchimento!$A:$BV,12,0)</f>
        <v>#N/A</v>
      </c>
      <c r="L174" s="194" t="e">
        <f>VLOOKUP(K173,Preenchimento!$A:$BV,12,0)</f>
        <v>#N/A</v>
      </c>
      <c r="M174" s="121" t="s">
        <v>300</v>
      </c>
      <c r="O174" s="193" t="e">
        <f>VLOOKUP(N173,Preenchimento!$A:$BV,12,0)</f>
        <v>#N/A</v>
      </c>
      <c r="P174" s="193" t="e">
        <f>VLOOKUP(O173,Preenchimento!$A:$BV,12,0)</f>
        <v>#N/A</v>
      </c>
      <c r="Q174" s="193" t="e">
        <f>VLOOKUP(P173,Preenchimento!$A:$BV,12,0)</f>
        <v>#N/A</v>
      </c>
      <c r="R174" s="194" t="e">
        <f>VLOOKUP(Q173,Preenchimento!$A:$BV,12,0)</f>
        <v>#N/A</v>
      </c>
      <c r="S174" s="121" t="s">
        <v>300</v>
      </c>
      <c r="U174" s="193" t="e">
        <f>VLOOKUP(T173,Preenchimento!$A:$BV,12,0)</f>
        <v>#N/A</v>
      </c>
      <c r="V174" s="193" t="e">
        <f>VLOOKUP(U173,Preenchimento!$A:$BV,12,0)</f>
        <v>#N/A</v>
      </c>
      <c r="W174" s="193" t="e">
        <f>VLOOKUP(V173,Preenchimento!$A:$BV,12,0)</f>
        <v>#N/A</v>
      </c>
      <c r="X174" s="194" t="e">
        <f>VLOOKUP(W173,Preenchimento!$A:$BV,12,0)</f>
        <v>#N/A</v>
      </c>
    </row>
    <row r="175" spans="1:24" ht="9.75" customHeight="1" x14ac:dyDescent="0.15">
      <c r="A175" s="123" t="s">
        <v>301</v>
      </c>
      <c r="B175" s="195" t="e">
        <f>IF(VLOOKUP(B173,Preenchimento!$A:$BV,11,0)=0,"",VLOOKUP(B173,Preenchimento!$A:$BV,11,0))</f>
        <v>#N/A</v>
      </c>
      <c r="C175" s="195"/>
      <c r="D175" s="195"/>
      <c r="E175" s="195"/>
      <c r="F175" s="196"/>
      <c r="G175" s="123" t="s">
        <v>301</v>
      </c>
      <c r="H175" s="195" t="e">
        <f>IF(VLOOKUP(H173,Preenchimento!$A:$BV,11,0)=0,"",VLOOKUP(H173,Preenchimento!$A:$BV,11,0))</f>
        <v>#N/A</v>
      </c>
      <c r="I175" s="195"/>
      <c r="J175" s="195"/>
      <c r="K175" s="195"/>
      <c r="L175" s="196"/>
      <c r="M175" s="123" t="s">
        <v>301</v>
      </c>
      <c r="N175" s="195" t="e">
        <f>IF(VLOOKUP(N173,Preenchimento!$A:$BV,11,0)=0,"",VLOOKUP(N173,Preenchimento!$A:$BV,11,0))</f>
        <v>#N/A</v>
      </c>
      <c r="O175" s="195"/>
      <c r="P175" s="195"/>
      <c r="Q175" s="195"/>
      <c r="R175" s="196"/>
      <c r="S175" s="123" t="s">
        <v>301</v>
      </c>
      <c r="T175" s="195" t="e">
        <f>IF(VLOOKUP(T173,Preenchimento!$A:$BV,11,0)=0,"",VLOOKUP(T173,Preenchimento!$A:$BV,11,0))</f>
        <v>#N/A</v>
      </c>
      <c r="U175" s="195"/>
      <c r="V175" s="195"/>
      <c r="W175" s="195"/>
      <c r="X175" s="196"/>
    </row>
    <row r="176" spans="1:24" s="130" customFormat="1" ht="33.950000000000003" customHeight="1" x14ac:dyDescent="0.25">
      <c r="A176" s="199" t="str">
        <f>Sitio!$A$3</f>
        <v>Projeto 01</v>
      </c>
      <c r="B176" s="200"/>
      <c r="C176" s="200"/>
      <c r="D176" s="200"/>
      <c r="E176" s="200"/>
      <c r="F176" s="201"/>
      <c r="G176" s="199" t="str">
        <f>Sitio!$A$3</f>
        <v>Projeto 01</v>
      </c>
      <c r="H176" s="200"/>
      <c r="I176" s="200"/>
      <c r="J176" s="200"/>
      <c r="K176" s="200"/>
      <c r="L176" s="201"/>
      <c r="M176" s="199" t="str">
        <f>Sitio!$A$3</f>
        <v>Projeto 01</v>
      </c>
      <c r="N176" s="200"/>
      <c r="O176" s="200"/>
      <c r="P176" s="200"/>
      <c r="Q176" s="200"/>
      <c r="R176" s="201"/>
      <c r="S176" s="199" t="str">
        <f>Sitio!$A$3</f>
        <v>Projeto 01</v>
      </c>
      <c r="T176" s="200"/>
      <c r="U176" s="200"/>
      <c r="V176" s="200"/>
      <c r="W176" s="200"/>
      <c r="X176" s="201"/>
    </row>
    <row r="177" spans="1:24" ht="9.75" customHeight="1" x14ac:dyDescent="0.15">
      <c r="A177" s="121" t="s">
        <v>294</v>
      </c>
      <c r="B177" s="193">
        <f>Sitio!$E$3</f>
        <v>0</v>
      </c>
      <c r="C177" s="193"/>
      <c r="D177" s="193"/>
      <c r="E177" s="193"/>
      <c r="F177" s="194"/>
      <c r="G177" s="121" t="s">
        <v>294</v>
      </c>
      <c r="H177" s="193">
        <f>Sitio!$E$3</f>
        <v>0</v>
      </c>
      <c r="I177" s="193"/>
      <c r="J177" s="193"/>
      <c r="K177" s="193"/>
      <c r="L177" s="194"/>
      <c r="M177" s="121" t="s">
        <v>294</v>
      </c>
      <c r="N177" s="193">
        <f>Sitio!$E$3</f>
        <v>0</v>
      </c>
      <c r="O177" s="193"/>
      <c r="P177" s="193"/>
      <c r="Q177" s="193"/>
      <c r="R177" s="194"/>
      <c r="S177" s="121" t="s">
        <v>294</v>
      </c>
      <c r="T177" s="193">
        <f>Sitio!$E$3</f>
        <v>0</v>
      </c>
      <c r="U177" s="193"/>
      <c r="V177" s="193"/>
      <c r="W177" s="193"/>
      <c r="X177" s="194"/>
    </row>
    <row r="178" spans="1:24" ht="9.75" customHeight="1" x14ac:dyDescent="0.15">
      <c r="A178" s="121" t="s">
        <v>295</v>
      </c>
      <c r="C178" s="193" t="e">
        <f>VLOOKUP(B180,Preenchimento!$A:$BV,2,0)</f>
        <v>#N/A</v>
      </c>
      <c r="D178" s="193" t="e">
        <f>VLOOKUP(C180,Preenchimento!$A:$BV,2,0)</f>
        <v>#N/A</v>
      </c>
      <c r="E178" s="193" t="e">
        <f>VLOOKUP(D180,Preenchimento!$A:$BV,2,0)</f>
        <v>#N/A</v>
      </c>
      <c r="F178" s="194" t="e">
        <f>VLOOKUP(E180,Preenchimento!$A:$BV,2,0)</f>
        <v>#N/A</v>
      </c>
      <c r="G178" s="121" t="s">
        <v>295</v>
      </c>
      <c r="I178" s="193" t="e">
        <f>VLOOKUP(H180,Preenchimento!$A:$BV,2,0)</f>
        <v>#N/A</v>
      </c>
      <c r="J178" s="193" t="e">
        <f>VLOOKUP(I180,Preenchimento!$A:$BV,2,0)</f>
        <v>#N/A</v>
      </c>
      <c r="K178" s="193" t="e">
        <f>VLOOKUP(J180,Preenchimento!$A:$BV,2,0)</f>
        <v>#N/A</v>
      </c>
      <c r="L178" s="194" t="e">
        <f>VLOOKUP(K180,Preenchimento!$A:$BV,2,0)</f>
        <v>#N/A</v>
      </c>
      <c r="M178" s="121" t="s">
        <v>295</v>
      </c>
      <c r="O178" s="193" t="e">
        <f>VLOOKUP(N180,Preenchimento!$A:$BV,2,0)</f>
        <v>#N/A</v>
      </c>
      <c r="P178" s="193" t="e">
        <f>VLOOKUP(O180,Preenchimento!$A:$BV,2,0)</f>
        <v>#N/A</v>
      </c>
      <c r="Q178" s="193" t="e">
        <f>VLOOKUP(P180,Preenchimento!$A:$BV,2,0)</f>
        <v>#N/A</v>
      </c>
      <c r="R178" s="194" t="e">
        <f>VLOOKUP(Q180,Preenchimento!$A:$BV,2,0)</f>
        <v>#N/A</v>
      </c>
      <c r="S178" s="121" t="s">
        <v>295</v>
      </c>
      <c r="U178" s="193" t="e">
        <f>VLOOKUP(T180,Preenchimento!$A:$BV,2,0)</f>
        <v>#N/A</v>
      </c>
      <c r="V178" s="193" t="e">
        <f>VLOOKUP(U180,Preenchimento!$A:$BV,2,0)</f>
        <v>#N/A</v>
      </c>
      <c r="W178" s="193" t="e">
        <f>VLOOKUP(V180,Preenchimento!$A:$BV,2,0)</f>
        <v>#N/A</v>
      </c>
      <c r="X178" s="194" t="e">
        <f>VLOOKUP(W180,Preenchimento!$A:$BV,2,0)</f>
        <v>#N/A</v>
      </c>
    </row>
    <row r="179" spans="1:24" ht="9.75" customHeight="1" x14ac:dyDescent="0.15">
      <c r="A179" s="121" t="s">
        <v>296</v>
      </c>
      <c r="B179" s="193" t="e">
        <f>VLOOKUP(B180,Preenchimento!$A:$BV,3,0)</f>
        <v>#N/A</v>
      </c>
      <c r="C179" s="193" t="e">
        <f>VLOOKUP(C180,Preenchimento!$A:$BV,3,0)</f>
        <v>#N/A</v>
      </c>
      <c r="D179" s="120" t="s">
        <v>297</v>
      </c>
      <c r="E179" s="197" t="e">
        <f>VLOOKUP(B180,Preenchimento!$A:$BV,5,0)</f>
        <v>#N/A</v>
      </c>
      <c r="F179" s="198" t="e">
        <f>VLOOKUP(C180,Preenchimento!$A:$BV,5,0)</f>
        <v>#N/A</v>
      </c>
      <c r="G179" s="121" t="s">
        <v>296</v>
      </c>
      <c r="H179" s="193" t="e">
        <f>VLOOKUP(H180,Preenchimento!$A:$BV,3,0)</f>
        <v>#N/A</v>
      </c>
      <c r="I179" s="193" t="e">
        <f>VLOOKUP(I180,Preenchimento!$A:$BV,3,0)</f>
        <v>#N/A</v>
      </c>
      <c r="J179" s="120" t="s">
        <v>297</v>
      </c>
      <c r="K179" s="197" t="e">
        <f>VLOOKUP(H180,Preenchimento!$A:$BV,5,0)</f>
        <v>#N/A</v>
      </c>
      <c r="L179" s="198" t="e">
        <f>VLOOKUP(I180,Preenchimento!$A:$BV,5,0)</f>
        <v>#N/A</v>
      </c>
      <c r="M179" s="121" t="s">
        <v>296</v>
      </c>
      <c r="N179" s="193" t="e">
        <f>VLOOKUP(N180,Preenchimento!$A:$BV,3,0)</f>
        <v>#N/A</v>
      </c>
      <c r="O179" s="193" t="e">
        <f>VLOOKUP(O180,Preenchimento!$A:$BV,3,0)</f>
        <v>#N/A</v>
      </c>
      <c r="P179" s="120" t="s">
        <v>297</v>
      </c>
      <c r="Q179" s="197" t="e">
        <f>VLOOKUP(N180,Preenchimento!$A:$BV,5,0)</f>
        <v>#N/A</v>
      </c>
      <c r="R179" s="198" t="e">
        <f>VLOOKUP(O180,Preenchimento!$A:$BV,5,0)</f>
        <v>#N/A</v>
      </c>
      <c r="S179" s="121" t="s">
        <v>296</v>
      </c>
      <c r="T179" s="193" t="e">
        <f>VLOOKUP(T180,Preenchimento!$A:$BV,3,0)</f>
        <v>#N/A</v>
      </c>
      <c r="U179" s="193" t="e">
        <f>VLOOKUP(U180,Preenchimento!$A:$BV,3,0)</f>
        <v>#N/A</v>
      </c>
      <c r="V179" s="120" t="s">
        <v>297</v>
      </c>
      <c r="W179" s="197" t="e">
        <f>VLOOKUP(T180,Preenchimento!$A:$BV,5,0)</f>
        <v>#N/A</v>
      </c>
      <c r="X179" s="198" t="e">
        <f>VLOOKUP(U180,Preenchimento!$A:$BV,5,0)</f>
        <v>#N/A</v>
      </c>
    </row>
    <row r="180" spans="1:24" ht="9.75" customHeight="1" x14ac:dyDescent="0.15">
      <c r="A180" s="121" t="s">
        <v>298</v>
      </c>
      <c r="B180" s="193"/>
      <c r="C180" s="193"/>
      <c r="D180" s="120" t="s">
        <v>299</v>
      </c>
      <c r="F180" s="131" t="e">
        <f>VLOOKUP(B180,Preenchimento!$A:$BV,10,0)</f>
        <v>#N/A</v>
      </c>
      <c r="G180" s="121" t="s">
        <v>298</v>
      </c>
      <c r="H180" s="193"/>
      <c r="I180" s="193"/>
      <c r="J180" s="120" t="s">
        <v>299</v>
      </c>
      <c r="L180" s="131" t="e">
        <f>VLOOKUP(H180,Preenchimento!$A:$BV,10,0)</f>
        <v>#N/A</v>
      </c>
      <c r="M180" s="121" t="s">
        <v>298</v>
      </c>
      <c r="N180" s="193"/>
      <c r="O180" s="193"/>
      <c r="P180" s="120" t="s">
        <v>299</v>
      </c>
      <c r="R180" s="131" t="e">
        <f>VLOOKUP(N180,Preenchimento!$A:$BV,10,0)</f>
        <v>#N/A</v>
      </c>
      <c r="S180" s="121" t="s">
        <v>298</v>
      </c>
      <c r="T180" s="193"/>
      <c r="U180" s="193"/>
      <c r="V180" s="120" t="s">
        <v>299</v>
      </c>
      <c r="X180" s="131" t="e">
        <f>VLOOKUP(T180,Preenchimento!$A:$BV,10,0)</f>
        <v>#N/A</v>
      </c>
    </row>
    <row r="181" spans="1:24" ht="9.75" customHeight="1" x14ac:dyDescent="0.15">
      <c r="A181" s="121" t="s">
        <v>300</v>
      </c>
      <c r="C181" s="193" t="e">
        <f>VLOOKUP(B180,Preenchimento!$A:$BV,12,0)</f>
        <v>#N/A</v>
      </c>
      <c r="D181" s="193" t="e">
        <f>VLOOKUP(C180,Preenchimento!$A:$BV,12,0)</f>
        <v>#N/A</v>
      </c>
      <c r="E181" s="193" t="e">
        <f>VLOOKUP(D180,Preenchimento!$A:$BV,12,0)</f>
        <v>#N/A</v>
      </c>
      <c r="F181" s="194" t="e">
        <f>VLOOKUP(E180,Preenchimento!$A:$BV,12,0)</f>
        <v>#N/A</v>
      </c>
      <c r="G181" s="121" t="s">
        <v>300</v>
      </c>
      <c r="I181" s="193" t="e">
        <f>VLOOKUP(H180,Preenchimento!$A:$BV,12,0)</f>
        <v>#N/A</v>
      </c>
      <c r="J181" s="193" t="e">
        <f>VLOOKUP(I180,Preenchimento!$A:$BV,12,0)</f>
        <v>#N/A</v>
      </c>
      <c r="K181" s="193" t="e">
        <f>VLOOKUP(J180,Preenchimento!$A:$BV,12,0)</f>
        <v>#N/A</v>
      </c>
      <c r="L181" s="194" t="e">
        <f>VLOOKUP(K180,Preenchimento!$A:$BV,12,0)</f>
        <v>#N/A</v>
      </c>
      <c r="M181" s="121" t="s">
        <v>300</v>
      </c>
      <c r="O181" s="193" t="e">
        <f>VLOOKUP(N180,Preenchimento!$A:$BV,12,0)</f>
        <v>#N/A</v>
      </c>
      <c r="P181" s="193" t="e">
        <f>VLOOKUP(O180,Preenchimento!$A:$BV,12,0)</f>
        <v>#N/A</v>
      </c>
      <c r="Q181" s="193" t="e">
        <f>VLOOKUP(P180,Preenchimento!$A:$BV,12,0)</f>
        <v>#N/A</v>
      </c>
      <c r="R181" s="194" t="e">
        <f>VLOOKUP(Q180,Preenchimento!$A:$BV,12,0)</f>
        <v>#N/A</v>
      </c>
      <c r="S181" s="121" t="s">
        <v>300</v>
      </c>
      <c r="U181" s="193" t="e">
        <f>VLOOKUP(T180,Preenchimento!$A:$BV,12,0)</f>
        <v>#N/A</v>
      </c>
      <c r="V181" s="193" t="e">
        <f>VLOOKUP(U180,Preenchimento!$A:$BV,12,0)</f>
        <v>#N/A</v>
      </c>
      <c r="W181" s="193" t="e">
        <f>VLOOKUP(V180,Preenchimento!$A:$BV,12,0)</f>
        <v>#N/A</v>
      </c>
      <c r="X181" s="194" t="e">
        <f>VLOOKUP(W180,Preenchimento!$A:$BV,12,0)</f>
        <v>#N/A</v>
      </c>
    </row>
    <row r="182" spans="1:24" ht="9.75" customHeight="1" x14ac:dyDescent="0.15">
      <c r="A182" s="123" t="s">
        <v>301</v>
      </c>
      <c r="B182" s="195" t="e">
        <f>IF(VLOOKUP(B180,Preenchimento!$A:$BV,11,0)=0,"",VLOOKUP(B180,Preenchimento!$A:$BV,11,0))</f>
        <v>#N/A</v>
      </c>
      <c r="C182" s="195"/>
      <c r="D182" s="195"/>
      <c r="E182" s="195"/>
      <c r="F182" s="196"/>
      <c r="G182" s="123" t="s">
        <v>301</v>
      </c>
      <c r="H182" s="195" t="e">
        <f>IF(VLOOKUP(H180,Preenchimento!$A:$BV,11,0)=0,"",VLOOKUP(H180,Preenchimento!$A:$BV,11,0))</f>
        <v>#N/A</v>
      </c>
      <c r="I182" s="195"/>
      <c r="J182" s="195"/>
      <c r="K182" s="195"/>
      <c r="L182" s="196"/>
      <c r="M182" s="123" t="s">
        <v>301</v>
      </c>
      <c r="N182" s="195" t="e">
        <f>IF(VLOOKUP(N180,Preenchimento!$A:$BV,11,0)=0,"",VLOOKUP(N180,Preenchimento!$A:$BV,11,0))</f>
        <v>#N/A</v>
      </c>
      <c r="O182" s="195"/>
      <c r="P182" s="195"/>
      <c r="Q182" s="195"/>
      <c r="R182" s="196"/>
      <c r="S182" s="123" t="s">
        <v>301</v>
      </c>
      <c r="T182" s="195" t="e">
        <f>IF(VLOOKUP(T180,Preenchimento!$A:$BV,11,0)=0,"",VLOOKUP(T180,Preenchimento!$A:$BV,11,0))</f>
        <v>#N/A</v>
      </c>
      <c r="U182" s="195"/>
      <c r="V182" s="195"/>
      <c r="W182" s="195"/>
      <c r="X182" s="196"/>
    </row>
    <row r="183" spans="1:24" s="130" customFormat="1" ht="33.950000000000003" customHeight="1" x14ac:dyDescent="0.25">
      <c r="A183" s="199" t="str">
        <f>Sitio!$A$3</f>
        <v>Projeto 01</v>
      </c>
      <c r="B183" s="200"/>
      <c r="C183" s="200"/>
      <c r="D183" s="200"/>
      <c r="E183" s="200"/>
      <c r="F183" s="201"/>
      <c r="G183" s="199" t="str">
        <f>Sitio!$A$3</f>
        <v>Projeto 01</v>
      </c>
      <c r="H183" s="200"/>
      <c r="I183" s="200"/>
      <c r="J183" s="200"/>
      <c r="K183" s="200"/>
      <c r="L183" s="201"/>
      <c r="M183" s="199" t="str">
        <f>Sitio!$A$3</f>
        <v>Projeto 01</v>
      </c>
      <c r="N183" s="200"/>
      <c r="O183" s="200"/>
      <c r="P183" s="200"/>
      <c r="Q183" s="200"/>
      <c r="R183" s="201"/>
      <c r="S183" s="199" t="str">
        <f>Sitio!$A$3</f>
        <v>Projeto 01</v>
      </c>
      <c r="T183" s="200"/>
      <c r="U183" s="200"/>
      <c r="V183" s="200"/>
      <c r="W183" s="200"/>
      <c r="X183" s="201"/>
    </row>
    <row r="184" spans="1:24" ht="9.75" customHeight="1" x14ac:dyDescent="0.15">
      <c r="A184" s="121" t="s">
        <v>294</v>
      </c>
      <c r="B184" s="193">
        <f>Sitio!$E$3</f>
        <v>0</v>
      </c>
      <c r="C184" s="193"/>
      <c r="D184" s="193"/>
      <c r="E184" s="193"/>
      <c r="F184" s="194"/>
      <c r="G184" s="121" t="s">
        <v>294</v>
      </c>
      <c r="H184" s="193">
        <f>Sitio!$E$3</f>
        <v>0</v>
      </c>
      <c r="I184" s="193"/>
      <c r="J184" s="193"/>
      <c r="K184" s="193"/>
      <c r="L184" s="194"/>
      <c r="M184" s="121" t="s">
        <v>294</v>
      </c>
      <c r="N184" s="193">
        <f>Sitio!$E$3</f>
        <v>0</v>
      </c>
      <c r="O184" s="193"/>
      <c r="P184" s="193"/>
      <c r="Q184" s="193"/>
      <c r="R184" s="194"/>
      <c r="S184" s="121" t="s">
        <v>294</v>
      </c>
      <c r="T184" s="193">
        <f>Sitio!$E$3</f>
        <v>0</v>
      </c>
      <c r="U184" s="193"/>
      <c r="V184" s="193"/>
      <c r="W184" s="193"/>
      <c r="X184" s="194"/>
    </row>
    <row r="185" spans="1:24" ht="9.75" customHeight="1" x14ac:dyDescent="0.15">
      <c r="A185" s="121" t="s">
        <v>295</v>
      </c>
      <c r="C185" s="193" t="e">
        <f>VLOOKUP(B187,Preenchimento!$A:$BV,2,0)</f>
        <v>#N/A</v>
      </c>
      <c r="D185" s="193" t="e">
        <f>VLOOKUP(C187,Preenchimento!$A:$BV,2,0)</f>
        <v>#N/A</v>
      </c>
      <c r="E185" s="193" t="e">
        <f>VLOOKUP(D187,Preenchimento!$A:$BV,2,0)</f>
        <v>#N/A</v>
      </c>
      <c r="F185" s="194" t="e">
        <f>VLOOKUP(E187,Preenchimento!$A:$BV,2,0)</f>
        <v>#N/A</v>
      </c>
      <c r="G185" s="121" t="s">
        <v>295</v>
      </c>
      <c r="I185" s="193" t="e">
        <f>VLOOKUP(H187,Preenchimento!$A:$BV,2,0)</f>
        <v>#N/A</v>
      </c>
      <c r="J185" s="193" t="e">
        <f>VLOOKUP(I187,Preenchimento!$A:$BV,2,0)</f>
        <v>#N/A</v>
      </c>
      <c r="K185" s="193" t="e">
        <f>VLOOKUP(J187,Preenchimento!$A:$BV,2,0)</f>
        <v>#N/A</v>
      </c>
      <c r="L185" s="194" t="e">
        <f>VLOOKUP(K187,Preenchimento!$A:$BV,2,0)</f>
        <v>#N/A</v>
      </c>
      <c r="M185" s="121" t="s">
        <v>295</v>
      </c>
      <c r="O185" s="193" t="e">
        <f>VLOOKUP(N187,Preenchimento!$A:$BV,2,0)</f>
        <v>#N/A</v>
      </c>
      <c r="P185" s="193" t="e">
        <f>VLOOKUP(O187,Preenchimento!$A:$BV,2,0)</f>
        <v>#N/A</v>
      </c>
      <c r="Q185" s="193" t="e">
        <f>VLOOKUP(P187,Preenchimento!$A:$BV,2,0)</f>
        <v>#N/A</v>
      </c>
      <c r="R185" s="194" t="e">
        <f>VLOOKUP(Q187,Preenchimento!$A:$BV,2,0)</f>
        <v>#N/A</v>
      </c>
      <c r="S185" s="121" t="s">
        <v>295</v>
      </c>
      <c r="U185" s="193" t="e">
        <f>VLOOKUP(T187,Preenchimento!$A:$BV,2,0)</f>
        <v>#N/A</v>
      </c>
      <c r="V185" s="193" t="e">
        <f>VLOOKUP(U187,Preenchimento!$A:$BV,2,0)</f>
        <v>#N/A</v>
      </c>
      <c r="W185" s="193" t="e">
        <f>VLOOKUP(V187,Preenchimento!$A:$BV,2,0)</f>
        <v>#N/A</v>
      </c>
      <c r="X185" s="194" t="e">
        <f>VLOOKUP(W187,Preenchimento!$A:$BV,2,0)</f>
        <v>#N/A</v>
      </c>
    </row>
    <row r="186" spans="1:24" ht="9.75" customHeight="1" x14ac:dyDescent="0.15">
      <c r="A186" s="121" t="s">
        <v>296</v>
      </c>
      <c r="B186" s="193" t="e">
        <f>VLOOKUP(B187,Preenchimento!$A:$BV,3,0)</f>
        <v>#N/A</v>
      </c>
      <c r="C186" s="193" t="e">
        <f>VLOOKUP(C187,Preenchimento!$A:$BV,3,0)</f>
        <v>#N/A</v>
      </c>
      <c r="D186" s="120" t="s">
        <v>297</v>
      </c>
      <c r="E186" s="197" t="e">
        <f>VLOOKUP(B187,Preenchimento!$A:$BV,5,0)</f>
        <v>#N/A</v>
      </c>
      <c r="F186" s="198" t="e">
        <f>VLOOKUP(C187,Preenchimento!$A:$BV,5,0)</f>
        <v>#N/A</v>
      </c>
      <c r="G186" s="121" t="s">
        <v>296</v>
      </c>
      <c r="H186" s="193" t="e">
        <f>VLOOKUP(H187,Preenchimento!$A:$BV,3,0)</f>
        <v>#N/A</v>
      </c>
      <c r="I186" s="193" t="e">
        <f>VLOOKUP(I187,Preenchimento!$A:$BV,3,0)</f>
        <v>#N/A</v>
      </c>
      <c r="J186" s="120" t="s">
        <v>297</v>
      </c>
      <c r="K186" s="197" t="e">
        <f>VLOOKUP(H187,Preenchimento!$A:$BV,5,0)</f>
        <v>#N/A</v>
      </c>
      <c r="L186" s="198" t="e">
        <f>VLOOKUP(I187,Preenchimento!$A:$BV,5,0)</f>
        <v>#N/A</v>
      </c>
      <c r="M186" s="121" t="s">
        <v>296</v>
      </c>
      <c r="N186" s="193" t="e">
        <f>VLOOKUP(N187,Preenchimento!$A:$BV,3,0)</f>
        <v>#N/A</v>
      </c>
      <c r="O186" s="193" t="e">
        <f>VLOOKUP(O187,Preenchimento!$A:$BV,3,0)</f>
        <v>#N/A</v>
      </c>
      <c r="P186" s="120" t="s">
        <v>297</v>
      </c>
      <c r="Q186" s="197" t="e">
        <f>VLOOKUP(N187,Preenchimento!$A:$BV,5,0)</f>
        <v>#N/A</v>
      </c>
      <c r="R186" s="198" t="e">
        <f>VLOOKUP(O187,Preenchimento!$A:$BV,5,0)</f>
        <v>#N/A</v>
      </c>
      <c r="S186" s="121" t="s">
        <v>296</v>
      </c>
      <c r="T186" s="193" t="e">
        <f>VLOOKUP(T187,Preenchimento!$A:$BV,3,0)</f>
        <v>#N/A</v>
      </c>
      <c r="U186" s="193" t="e">
        <f>VLOOKUP(U187,Preenchimento!$A:$BV,3,0)</f>
        <v>#N/A</v>
      </c>
      <c r="V186" s="120" t="s">
        <v>297</v>
      </c>
      <c r="W186" s="197" t="e">
        <f>VLOOKUP(T187,Preenchimento!$A:$BV,5,0)</f>
        <v>#N/A</v>
      </c>
      <c r="X186" s="198" t="e">
        <f>VLOOKUP(U187,Preenchimento!$A:$BV,5,0)</f>
        <v>#N/A</v>
      </c>
    </row>
    <row r="187" spans="1:24" ht="9.75" customHeight="1" x14ac:dyDescent="0.15">
      <c r="A187" s="121" t="s">
        <v>298</v>
      </c>
      <c r="B187" s="193"/>
      <c r="C187" s="193"/>
      <c r="D187" s="120" t="s">
        <v>299</v>
      </c>
      <c r="F187" s="131" t="e">
        <f>VLOOKUP(B187,Preenchimento!$A:$BV,10,0)</f>
        <v>#N/A</v>
      </c>
      <c r="G187" s="121" t="s">
        <v>298</v>
      </c>
      <c r="H187" s="193"/>
      <c r="I187" s="193"/>
      <c r="J187" s="120" t="s">
        <v>299</v>
      </c>
      <c r="L187" s="131" t="e">
        <f>VLOOKUP(H187,Preenchimento!$A:$BV,10,0)</f>
        <v>#N/A</v>
      </c>
      <c r="M187" s="121" t="s">
        <v>298</v>
      </c>
      <c r="N187" s="193"/>
      <c r="O187" s="193"/>
      <c r="P187" s="120" t="s">
        <v>299</v>
      </c>
      <c r="R187" s="131" t="e">
        <f>VLOOKUP(N187,Preenchimento!$A:$BV,10,0)</f>
        <v>#N/A</v>
      </c>
      <c r="S187" s="121" t="s">
        <v>298</v>
      </c>
      <c r="T187" s="193"/>
      <c r="U187" s="193"/>
      <c r="V187" s="120" t="s">
        <v>299</v>
      </c>
      <c r="X187" s="131" t="e">
        <f>VLOOKUP(T187,Preenchimento!$A:$BV,10,0)</f>
        <v>#N/A</v>
      </c>
    </row>
    <row r="188" spans="1:24" ht="9.75" customHeight="1" x14ac:dyDescent="0.15">
      <c r="A188" s="121" t="s">
        <v>300</v>
      </c>
      <c r="C188" s="193" t="e">
        <f>VLOOKUP(B187,Preenchimento!$A:$BV,12,0)</f>
        <v>#N/A</v>
      </c>
      <c r="D188" s="193" t="e">
        <f>VLOOKUP(C187,Preenchimento!$A:$BV,12,0)</f>
        <v>#N/A</v>
      </c>
      <c r="E188" s="193" t="e">
        <f>VLOOKUP(D187,Preenchimento!$A:$BV,12,0)</f>
        <v>#N/A</v>
      </c>
      <c r="F188" s="194" t="e">
        <f>VLOOKUP(E187,Preenchimento!$A:$BV,12,0)</f>
        <v>#N/A</v>
      </c>
      <c r="G188" s="121" t="s">
        <v>300</v>
      </c>
      <c r="I188" s="193" t="e">
        <f>VLOOKUP(H187,Preenchimento!$A:$BV,12,0)</f>
        <v>#N/A</v>
      </c>
      <c r="J188" s="193" t="e">
        <f>VLOOKUP(I187,Preenchimento!$A:$BV,12,0)</f>
        <v>#N/A</v>
      </c>
      <c r="K188" s="193" t="e">
        <f>VLOOKUP(J187,Preenchimento!$A:$BV,12,0)</f>
        <v>#N/A</v>
      </c>
      <c r="L188" s="194" t="e">
        <f>VLOOKUP(K187,Preenchimento!$A:$BV,12,0)</f>
        <v>#N/A</v>
      </c>
      <c r="M188" s="121" t="s">
        <v>300</v>
      </c>
      <c r="O188" s="193" t="e">
        <f>VLOOKUP(N187,Preenchimento!$A:$BV,12,0)</f>
        <v>#N/A</v>
      </c>
      <c r="P188" s="193" t="e">
        <f>VLOOKUP(O187,Preenchimento!$A:$BV,12,0)</f>
        <v>#N/A</v>
      </c>
      <c r="Q188" s="193" t="e">
        <f>VLOOKUP(P187,Preenchimento!$A:$BV,12,0)</f>
        <v>#N/A</v>
      </c>
      <c r="R188" s="194" t="e">
        <f>VLOOKUP(Q187,Preenchimento!$A:$BV,12,0)</f>
        <v>#N/A</v>
      </c>
      <c r="S188" s="121" t="s">
        <v>300</v>
      </c>
      <c r="U188" s="193" t="e">
        <f>VLOOKUP(T187,Preenchimento!$A:$BV,12,0)</f>
        <v>#N/A</v>
      </c>
      <c r="V188" s="193" t="e">
        <f>VLOOKUP(U187,Preenchimento!$A:$BV,12,0)</f>
        <v>#N/A</v>
      </c>
      <c r="W188" s="193" t="e">
        <f>VLOOKUP(V187,Preenchimento!$A:$BV,12,0)</f>
        <v>#N/A</v>
      </c>
      <c r="X188" s="194" t="e">
        <f>VLOOKUP(W187,Preenchimento!$A:$BV,12,0)</f>
        <v>#N/A</v>
      </c>
    </row>
    <row r="189" spans="1:24" ht="9.75" customHeight="1" x14ac:dyDescent="0.15">
      <c r="A189" s="123" t="s">
        <v>301</v>
      </c>
      <c r="B189" s="195" t="e">
        <f>IF(VLOOKUP(B187,Preenchimento!$A:$BV,11,0)=0,"",VLOOKUP(B187,Preenchimento!$A:$BV,11,0))</f>
        <v>#N/A</v>
      </c>
      <c r="C189" s="195"/>
      <c r="D189" s="195"/>
      <c r="E189" s="195"/>
      <c r="F189" s="196"/>
      <c r="G189" s="123" t="s">
        <v>301</v>
      </c>
      <c r="H189" s="195" t="e">
        <f>IF(VLOOKUP(H187,Preenchimento!$A:$BV,11,0)=0,"",VLOOKUP(H187,Preenchimento!$A:$BV,11,0))</f>
        <v>#N/A</v>
      </c>
      <c r="I189" s="195"/>
      <c r="J189" s="195"/>
      <c r="K189" s="195"/>
      <c r="L189" s="196"/>
      <c r="M189" s="123" t="s">
        <v>301</v>
      </c>
      <c r="N189" s="195" t="e">
        <f>IF(VLOOKUP(N187,Preenchimento!$A:$BV,11,0)=0,"",VLOOKUP(N187,Preenchimento!$A:$BV,11,0))</f>
        <v>#N/A</v>
      </c>
      <c r="O189" s="195"/>
      <c r="P189" s="195"/>
      <c r="Q189" s="195"/>
      <c r="R189" s="196"/>
      <c r="S189" s="123" t="s">
        <v>301</v>
      </c>
      <c r="T189" s="195" t="e">
        <f>IF(VLOOKUP(T187,Preenchimento!$A:$BV,11,0)=0,"",VLOOKUP(T187,Preenchimento!$A:$BV,11,0))</f>
        <v>#N/A</v>
      </c>
      <c r="U189" s="195"/>
      <c r="V189" s="195"/>
      <c r="W189" s="195"/>
      <c r="X189" s="196"/>
    </row>
    <row r="190" spans="1:24" s="130" customFormat="1" ht="33.950000000000003" customHeight="1" x14ac:dyDescent="0.25">
      <c r="A190" s="199" t="str">
        <f>Sitio!$A$3</f>
        <v>Projeto 01</v>
      </c>
      <c r="B190" s="200"/>
      <c r="C190" s="200"/>
      <c r="D190" s="200"/>
      <c r="E190" s="200"/>
      <c r="F190" s="201"/>
      <c r="G190" s="199" t="str">
        <f>Sitio!$A$3</f>
        <v>Projeto 01</v>
      </c>
      <c r="H190" s="200"/>
      <c r="I190" s="200"/>
      <c r="J190" s="200"/>
      <c r="K190" s="200"/>
      <c r="L190" s="201"/>
      <c r="M190" s="199" t="str">
        <f>Sitio!$A$3</f>
        <v>Projeto 01</v>
      </c>
      <c r="N190" s="200"/>
      <c r="O190" s="200"/>
      <c r="P190" s="200"/>
      <c r="Q190" s="200"/>
      <c r="R190" s="201"/>
      <c r="S190" s="199" t="str">
        <f>Sitio!$A$3</f>
        <v>Projeto 01</v>
      </c>
      <c r="T190" s="200"/>
      <c r="U190" s="200"/>
      <c r="V190" s="200"/>
      <c r="W190" s="200"/>
      <c r="X190" s="201"/>
    </row>
    <row r="191" spans="1:24" ht="9.75" customHeight="1" x14ac:dyDescent="0.15">
      <c r="A191" s="121" t="s">
        <v>294</v>
      </c>
      <c r="B191" s="193">
        <f>Sitio!$E$3</f>
        <v>0</v>
      </c>
      <c r="C191" s="193"/>
      <c r="D191" s="193"/>
      <c r="E191" s="193"/>
      <c r="F191" s="194"/>
      <c r="G191" s="121" t="s">
        <v>294</v>
      </c>
      <c r="H191" s="193">
        <f>Sitio!$E$3</f>
        <v>0</v>
      </c>
      <c r="I191" s="193"/>
      <c r="J191" s="193"/>
      <c r="K191" s="193"/>
      <c r="L191" s="194"/>
      <c r="M191" s="121" t="s">
        <v>294</v>
      </c>
      <c r="N191" s="193">
        <f>Sitio!$E$3</f>
        <v>0</v>
      </c>
      <c r="O191" s="193"/>
      <c r="P191" s="193"/>
      <c r="Q191" s="193"/>
      <c r="R191" s="194"/>
      <c r="S191" s="121" t="s">
        <v>294</v>
      </c>
      <c r="T191" s="193">
        <f>Sitio!$E$3</f>
        <v>0</v>
      </c>
      <c r="U191" s="193"/>
      <c r="V191" s="193"/>
      <c r="W191" s="193"/>
      <c r="X191" s="194"/>
    </row>
    <row r="192" spans="1:24" ht="9.75" customHeight="1" x14ac:dyDescent="0.15">
      <c r="A192" s="121" t="s">
        <v>295</v>
      </c>
      <c r="C192" s="193" t="e">
        <f>VLOOKUP(B194,Preenchimento!$A:$BV,2,0)</f>
        <v>#N/A</v>
      </c>
      <c r="D192" s="193" t="e">
        <f>VLOOKUP(C194,Preenchimento!$A:$BV,2,0)</f>
        <v>#N/A</v>
      </c>
      <c r="E192" s="193" t="e">
        <f>VLOOKUP(D194,Preenchimento!$A:$BV,2,0)</f>
        <v>#N/A</v>
      </c>
      <c r="F192" s="194" t="e">
        <f>VLOOKUP(E194,Preenchimento!$A:$BV,2,0)</f>
        <v>#N/A</v>
      </c>
      <c r="G192" s="121" t="s">
        <v>295</v>
      </c>
      <c r="I192" s="193" t="e">
        <f>VLOOKUP(H194,Preenchimento!$A:$BV,2,0)</f>
        <v>#N/A</v>
      </c>
      <c r="J192" s="193" t="e">
        <f>VLOOKUP(I194,Preenchimento!$A:$BV,2,0)</f>
        <v>#N/A</v>
      </c>
      <c r="K192" s="193" t="e">
        <f>VLOOKUP(J194,Preenchimento!$A:$BV,2,0)</f>
        <v>#N/A</v>
      </c>
      <c r="L192" s="194" t="e">
        <f>VLOOKUP(K194,Preenchimento!$A:$BV,2,0)</f>
        <v>#N/A</v>
      </c>
      <c r="M192" s="121" t="s">
        <v>295</v>
      </c>
      <c r="O192" s="193" t="e">
        <f>VLOOKUP(N194,Preenchimento!$A:$BV,2,0)</f>
        <v>#N/A</v>
      </c>
      <c r="P192" s="193" t="e">
        <f>VLOOKUP(O194,Preenchimento!$A:$BV,2,0)</f>
        <v>#N/A</v>
      </c>
      <c r="Q192" s="193" t="e">
        <f>VLOOKUP(P194,Preenchimento!$A:$BV,2,0)</f>
        <v>#N/A</v>
      </c>
      <c r="R192" s="194" t="e">
        <f>VLOOKUP(Q194,Preenchimento!$A:$BV,2,0)</f>
        <v>#N/A</v>
      </c>
      <c r="S192" s="121" t="s">
        <v>295</v>
      </c>
      <c r="U192" s="193" t="e">
        <f>VLOOKUP(T194,Preenchimento!$A:$BV,2,0)</f>
        <v>#N/A</v>
      </c>
      <c r="V192" s="193" t="e">
        <f>VLOOKUP(U194,Preenchimento!$A:$BV,2,0)</f>
        <v>#N/A</v>
      </c>
      <c r="W192" s="193" t="e">
        <f>VLOOKUP(V194,Preenchimento!$A:$BV,2,0)</f>
        <v>#N/A</v>
      </c>
      <c r="X192" s="194" t="e">
        <f>VLOOKUP(W194,Preenchimento!$A:$BV,2,0)</f>
        <v>#N/A</v>
      </c>
    </row>
    <row r="193" spans="1:24" ht="9.75" customHeight="1" x14ac:dyDescent="0.15">
      <c r="A193" s="121" t="s">
        <v>296</v>
      </c>
      <c r="B193" s="193" t="e">
        <f>VLOOKUP(B194,Preenchimento!$A:$BV,3,0)</f>
        <v>#N/A</v>
      </c>
      <c r="C193" s="193" t="e">
        <f>VLOOKUP(C194,Preenchimento!$A:$BV,3,0)</f>
        <v>#N/A</v>
      </c>
      <c r="D193" s="120" t="s">
        <v>297</v>
      </c>
      <c r="E193" s="197" t="e">
        <f>VLOOKUP(B194,Preenchimento!$A:$BV,5,0)</f>
        <v>#N/A</v>
      </c>
      <c r="F193" s="198" t="e">
        <f>VLOOKUP(C194,Preenchimento!$A:$BV,5,0)</f>
        <v>#N/A</v>
      </c>
      <c r="G193" s="121" t="s">
        <v>296</v>
      </c>
      <c r="H193" s="193" t="e">
        <f>VLOOKUP(H194,Preenchimento!$A:$BV,3,0)</f>
        <v>#N/A</v>
      </c>
      <c r="I193" s="193" t="e">
        <f>VLOOKUP(I194,Preenchimento!$A:$BV,3,0)</f>
        <v>#N/A</v>
      </c>
      <c r="J193" s="120" t="s">
        <v>297</v>
      </c>
      <c r="K193" s="197" t="e">
        <f>VLOOKUP(H194,Preenchimento!$A:$BV,5,0)</f>
        <v>#N/A</v>
      </c>
      <c r="L193" s="198" t="e">
        <f>VLOOKUP(I194,Preenchimento!$A:$BV,5,0)</f>
        <v>#N/A</v>
      </c>
      <c r="M193" s="121" t="s">
        <v>296</v>
      </c>
      <c r="N193" s="193" t="e">
        <f>VLOOKUP(N194,Preenchimento!$A:$BV,3,0)</f>
        <v>#N/A</v>
      </c>
      <c r="O193" s="193" t="e">
        <f>VLOOKUP(O194,Preenchimento!$A:$BV,3,0)</f>
        <v>#N/A</v>
      </c>
      <c r="P193" s="120" t="s">
        <v>297</v>
      </c>
      <c r="Q193" s="197" t="e">
        <f>VLOOKUP(N194,Preenchimento!$A:$BV,5,0)</f>
        <v>#N/A</v>
      </c>
      <c r="R193" s="198" t="e">
        <f>VLOOKUP(O194,Preenchimento!$A:$BV,5,0)</f>
        <v>#N/A</v>
      </c>
      <c r="S193" s="121" t="s">
        <v>296</v>
      </c>
      <c r="T193" s="193" t="e">
        <f>VLOOKUP(T194,Preenchimento!$A:$BV,3,0)</f>
        <v>#N/A</v>
      </c>
      <c r="U193" s="193" t="e">
        <f>VLOOKUP(U194,Preenchimento!$A:$BV,3,0)</f>
        <v>#N/A</v>
      </c>
      <c r="V193" s="120" t="s">
        <v>297</v>
      </c>
      <c r="W193" s="197" t="e">
        <f>VLOOKUP(T194,Preenchimento!$A:$BV,5,0)</f>
        <v>#N/A</v>
      </c>
      <c r="X193" s="198" t="e">
        <f>VLOOKUP(U194,Preenchimento!$A:$BV,5,0)</f>
        <v>#N/A</v>
      </c>
    </row>
    <row r="194" spans="1:24" ht="9.75" customHeight="1" x14ac:dyDescent="0.15">
      <c r="A194" s="121" t="s">
        <v>298</v>
      </c>
      <c r="B194" s="193"/>
      <c r="C194" s="193"/>
      <c r="D194" s="120" t="s">
        <v>299</v>
      </c>
      <c r="F194" s="131" t="e">
        <f>VLOOKUP(B194,Preenchimento!$A:$BV,10,0)</f>
        <v>#N/A</v>
      </c>
      <c r="G194" s="121" t="s">
        <v>298</v>
      </c>
      <c r="H194" s="193"/>
      <c r="I194" s="193"/>
      <c r="J194" s="120" t="s">
        <v>299</v>
      </c>
      <c r="L194" s="131" t="e">
        <f>VLOOKUP(H194,Preenchimento!$A:$BV,10,0)</f>
        <v>#N/A</v>
      </c>
      <c r="M194" s="121" t="s">
        <v>298</v>
      </c>
      <c r="N194" s="193"/>
      <c r="O194" s="193"/>
      <c r="P194" s="120" t="s">
        <v>299</v>
      </c>
      <c r="R194" s="131" t="e">
        <f>VLOOKUP(N194,Preenchimento!$A:$BV,10,0)</f>
        <v>#N/A</v>
      </c>
      <c r="S194" s="121" t="s">
        <v>298</v>
      </c>
      <c r="T194" s="193"/>
      <c r="U194" s="193"/>
      <c r="V194" s="120" t="s">
        <v>299</v>
      </c>
      <c r="X194" s="131" t="e">
        <f>VLOOKUP(T194,Preenchimento!$A:$BV,10,0)</f>
        <v>#N/A</v>
      </c>
    </row>
    <row r="195" spans="1:24" ht="9.75" customHeight="1" x14ac:dyDescent="0.15">
      <c r="A195" s="121" t="s">
        <v>300</v>
      </c>
      <c r="C195" s="193" t="e">
        <f>VLOOKUP(B194,Preenchimento!$A:$BV,12,0)</f>
        <v>#N/A</v>
      </c>
      <c r="D195" s="193" t="e">
        <f>VLOOKUP(C194,Preenchimento!$A:$BV,12,0)</f>
        <v>#N/A</v>
      </c>
      <c r="E195" s="193" t="e">
        <f>VLOOKUP(D194,Preenchimento!$A:$BV,12,0)</f>
        <v>#N/A</v>
      </c>
      <c r="F195" s="194" t="e">
        <f>VLOOKUP(E194,Preenchimento!$A:$BV,12,0)</f>
        <v>#N/A</v>
      </c>
      <c r="G195" s="121" t="s">
        <v>300</v>
      </c>
      <c r="I195" s="193" t="e">
        <f>VLOOKUP(H194,Preenchimento!$A:$BV,12,0)</f>
        <v>#N/A</v>
      </c>
      <c r="J195" s="193" t="e">
        <f>VLOOKUP(I194,Preenchimento!$A:$BV,12,0)</f>
        <v>#N/A</v>
      </c>
      <c r="K195" s="193" t="e">
        <f>VLOOKUP(J194,Preenchimento!$A:$BV,12,0)</f>
        <v>#N/A</v>
      </c>
      <c r="L195" s="194" t="e">
        <f>VLOOKUP(K194,Preenchimento!$A:$BV,12,0)</f>
        <v>#N/A</v>
      </c>
      <c r="M195" s="121" t="s">
        <v>300</v>
      </c>
      <c r="O195" s="193" t="e">
        <f>VLOOKUP(N194,Preenchimento!$A:$BV,12,0)</f>
        <v>#N/A</v>
      </c>
      <c r="P195" s="193" t="e">
        <f>VLOOKUP(O194,Preenchimento!$A:$BV,12,0)</f>
        <v>#N/A</v>
      </c>
      <c r="Q195" s="193" t="e">
        <f>VLOOKUP(P194,Preenchimento!$A:$BV,12,0)</f>
        <v>#N/A</v>
      </c>
      <c r="R195" s="194" t="e">
        <f>VLOOKUP(Q194,Preenchimento!$A:$BV,12,0)</f>
        <v>#N/A</v>
      </c>
      <c r="S195" s="121" t="s">
        <v>300</v>
      </c>
      <c r="U195" s="193" t="e">
        <f>VLOOKUP(T194,Preenchimento!$A:$BV,12,0)</f>
        <v>#N/A</v>
      </c>
      <c r="V195" s="193" t="e">
        <f>VLOOKUP(U194,Preenchimento!$A:$BV,12,0)</f>
        <v>#N/A</v>
      </c>
      <c r="W195" s="193" t="e">
        <f>VLOOKUP(V194,Preenchimento!$A:$BV,12,0)</f>
        <v>#N/A</v>
      </c>
      <c r="X195" s="194" t="e">
        <f>VLOOKUP(W194,Preenchimento!$A:$BV,12,0)</f>
        <v>#N/A</v>
      </c>
    </row>
    <row r="196" spans="1:24" ht="9.75" customHeight="1" x14ac:dyDescent="0.15">
      <c r="A196" s="123" t="s">
        <v>301</v>
      </c>
      <c r="B196" s="195" t="e">
        <f>IF(VLOOKUP(B194,Preenchimento!$A:$BV,11,0)=0,"",VLOOKUP(B194,Preenchimento!$A:$BV,11,0))</f>
        <v>#N/A</v>
      </c>
      <c r="C196" s="195"/>
      <c r="D196" s="195"/>
      <c r="E196" s="195"/>
      <c r="F196" s="196"/>
      <c r="G196" s="123" t="s">
        <v>301</v>
      </c>
      <c r="H196" s="195" t="e">
        <f>IF(VLOOKUP(H194,Preenchimento!$A:$BV,11,0)=0,"",VLOOKUP(H194,Preenchimento!$A:$BV,11,0))</f>
        <v>#N/A</v>
      </c>
      <c r="I196" s="195"/>
      <c r="J196" s="195"/>
      <c r="K196" s="195"/>
      <c r="L196" s="196"/>
      <c r="M196" s="123" t="s">
        <v>301</v>
      </c>
      <c r="N196" s="195" t="e">
        <f>IF(VLOOKUP(N194,Preenchimento!$A:$BV,11,0)=0,"",VLOOKUP(N194,Preenchimento!$A:$BV,11,0))</f>
        <v>#N/A</v>
      </c>
      <c r="O196" s="195"/>
      <c r="P196" s="195"/>
      <c r="Q196" s="195"/>
      <c r="R196" s="196"/>
      <c r="S196" s="123" t="s">
        <v>301</v>
      </c>
      <c r="T196" s="195" t="e">
        <f>IF(VLOOKUP(T194,Preenchimento!$A:$BV,11,0)=0,"",VLOOKUP(T194,Preenchimento!$A:$BV,11,0))</f>
        <v>#N/A</v>
      </c>
      <c r="U196" s="195"/>
      <c r="V196" s="195"/>
      <c r="W196" s="195"/>
      <c r="X196" s="196"/>
    </row>
    <row r="197" spans="1:24" s="130" customFormat="1" ht="33.950000000000003" customHeight="1" x14ac:dyDescent="0.25">
      <c r="A197" s="199" t="str">
        <f>Sitio!$A$3</f>
        <v>Projeto 01</v>
      </c>
      <c r="B197" s="200"/>
      <c r="C197" s="200"/>
      <c r="D197" s="200"/>
      <c r="E197" s="200"/>
      <c r="F197" s="201"/>
      <c r="G197" s="199" t="str">
        <f>Sitio!$A$3</f>
        <v>Projeto 01</v>
      </c>
      <c r="H197" s="200"/>
      <c r="I197" s="200"/>
      <c r="J197" s="200"/>
      <c r="K197" s="200"/>
      <c r="L197" s="201"/>
      <c r="M197" s="199" t="str">
        <f>Sitio!$A$3</f>
        <v>Projeto 01</v>
      </c>
      <c r="N197" s="200"/>
      <c r="O197" s="200"/>
      <c r="P197" s="200"/>
      <c r="Q197" s="200"/>
      <c r="R197" s="201"/>
      <c r="S197" s="199" t="str">
        <f>Sitio!$A$3</f>
        <v>Projeto 01</v>
      </c>
      <c r="T197" s="200"/>
      <c r="U197" s="200"/>
      <c r="V197" s="200"/>
      <c r="W197" s="200"/>
      <c r="X197" s="201"/>
    </row>
    <row r="198" spans="1:24" ht="9.75" customHeight="1" x14ac:dyDescent="0.15">
      <c r="A198" s="121" t="s">
        <v>294</v>
      </c>
      <c r="B198" s="193">
        <f>Sitio!$E$3</f>
        <v>0</v>
      </c>
      <c r="C198" s="193"/>
      <c r="D198" s="193"/>
      <c r="E198" s="193"/>
      <c r="F198" s="194"/>
      <c r="G198" s="121" t="s">
        <v>294</v>
      </c>
      <c r="H198" s="193">
        <f>Sitio!$E$3</f>
        <v>0</v>
      </c>
      <c r="I198" s="193"/>
      <c r="J198" s="193"/>
      <c r="K198" s="193"/>
      <c r="L198" s="194"/>
      <c r="M198" s="121" t="s">
        <v>294</v>
      </c>
      <c r="N198" s="193">
        <f>Sitio!$E$3</f>
        <v>0</v>
      </c>
      <c r="O198" s="193"/>
      <c r="P198" s="193"/>
      <c r="Q198" s="193"/>
      <c r="R198" s="194"/>
      <c r="S198" s="121" t="s">
        <v>294</v>
      </c>
      <c r="T198" s="193">
        <f>Sitio!$E$3</f>
        <v>0</v>
      </c>
      <c r="U198" s="193"/>
      <c r="V198" s="193"/>
      <c r="W198" s="193"/>
      <c r="X198" s="194"/>
    </row>
    <row r="199" spans="1:24" ht="9.75" customHeight="1" x14ac:dyDescent="0.15">
      <c r="A199" s="121" t="s">
        <v>295</v>
      </c>
      <c r="C199" s="193" t="e">
        <f>VLOOKUP(B201,Preenchimento!$A:$BV,2,0)</f>
        <v>#N/A</v>
      </c>
      <c r="D199" s="193" t="e">
        <f>VLOOKUP(C201,Preenchimento!$A:$BV,2,0)</f>
        <v>#N/A</v>
      </c>
      <c r="E199" s="193" t="e">
        <f>VLOOKUP(D201,Preenchimento!$A:$BV,2,0)</f>
        <v>#N/A</v>
      </c>
      <c r="F199" s="194" t="e">
        <f>VLOOKUP(E201,Preenchimento!$A:$BV,2,0)</f>
        <v>#N/A</v>
      </c>
      <c r="G199" s="121" t="s">
        <v>295</v>
      </c>
      <c r="I199" s="193" t="e">
        <f>VLOOKUP(H201,Preenchimento!$A:$BV,2,0)</f>
        <v>#N/A</v>
      </c>
      <c r="J199" s="193" t="e">
        <f>VLOOKUP(I201,Preenchimento!$A:$BV,2,0)</f>
        <v>#N/A</v>
      </c>
      <c r="K199" s="193" t="e">
        <f>VLOOKUP(J201,Preenchimento!$A:$BV,2,0)</f>
        <v>#N/A</v>
      </c>
      <c r="L199" s="194" t="e">
        <f>VLOOKUP(K201,Preenchimento!$A:$BV,2,0)</f>
        <v>#N/A</v>
      </c>
      <c r="M199" s="121" t="s">
        <v>295</v>
      </c>
      <c r="O199" s="193" t="e">
        <f>VLOOKUP(N201,Preenchimento!$A:$BV,2,0)</f>
        <v>#N/A</v>
      </c>
      <c r="P199" s="193" t="e">
        <f>VLOOKUP(O201,Preenchimento!$A:$BV,2,0)</f>
        <v>#N/A</v>
      </c>
      <c r="Q199" s="193" t="e">
        <f>VLOOKUP(P201,Preenchimento!$A:$BV,2,0)</f>
        <v>#N/A</v>
      </c>
      <c r="R199" s="194" t="e">
        <f>VLOOKUP(Q201,Preenchimento!$A:$BV,2,0)</f>
        <v>#N/A</v>
      </c>
      <c r="S199" s="121" t="s">
        <v>295</v>
      </c>
      <c r="U199" s="193" t="e">
        <f>VLOOKUP(T201,Preenchimento!$A:$BV,2,0)</f>
        <v>#N/A</v>
      </c>
      <c r="V199" s="193" t="e">
        <f>VLOOKUP(U201,Preenchimento!$A:$BV,2,0)</f>
        <v>#N/A</v>
      </c>
      <c r="W199" s="193" t="e">
        <f>VLOOKUP(V201,Preenchimento!$A:$BV,2,0)</f>
        <v>#N/A</v>
      </c>
      <c r="X199" s="194" t="e">
        <f>VLOOKUP(W201,Preenchimento!$A:$BV,2,0)</f>
        <v>#N/A</v>
      </c>
    </row>
    <row r="200" spans="1:24" ht="9.75" customHeight="1" x14ac:dyDescent="0.15">
      <c r="A200" s="121" t="s">
        <v>296</v>
      </c>
      <c r="B200" s="193" t="e">
        <f>VLOOKUP(B201,Preenchimento!$A:$BV,3,0)</f>
        <v>#N/A</v>
      </c>
      <c r="C200" s="193" t="e">
        <f>VLOOKUP(C201,Preenchimento!$A:$BV,3,0)</f>
        <v>#N/A</v>
      </c>
      <c r="D200" s="120" t="s">
        <v>297</v>
      </c>
      <c r="E200" s="197" t="e">
        <f>VLOOKUP(B201,Preenchimento!$A:$BV,5,0)</f>
        <v>#N/A</v>
      </c>
      <c r="F200" s="198" t="e">
        <f>VLOOKUP(C201,Preenchimento!$A:$BV,5,0)</f>
        <v>#N/A</v>
      </c>
      <c r="G200" s="121" t="s">
        <v>296</v>
      </c>
      <c r="H200" s="193" t="e">
        <f>VLOOKUP(H201,Preenchimento!$A:$BV,3,0)</f>
        <v>#N/A</v>
      </c>
      <c r="I200" s="193" t="e">
        <f>VLOOKUP(I201,Preenchimento!$A:$BV,3,0)</f>
        <v>#N/A</v>
      </c>
      <c r="J200" s="120" t="s">
        <v>297</v>
      </c>
      <c r="K200" s="197" t="e">
        <f>VLOOKUP(H201,Preenchimento!$A:$BV,5,0)</f>
        <v>#N/A</v>
      </c>
      <c r="L200" s="198" t="e">
        <f>VLOOKUP(I201,Preenchimento!$A:$BV,5,0)</f>
        <v>#N/A</v>
      </c>
      <c r="M200" s="121" t="s">
        <v>296</v>
      </c>
      <c r="N200" s="193" t="e">
        <f>VLOOKUP(N201,Preenchimento!$A:$BV,3,0)</f>
        <v>#N/A</v>
      </c>
      <c r="O200" s="193" t="e">
        <f>VLOOKUP(O201,Preenchimento!$A:$BV,3,0)</f>
        <v>#N/A</v>
      </c>
      <c r="P200" s="120" t="s">
        <v>297</v>
      </c>
      <c r="Q200" s="197" t="e">
        <f>VLOOKUP(N201,Preenchimento!$A:$BV,5,0)</f>
        <v>#N/A</v>
      </c>
      <c r="R200" s="198" t="e">
        <f>VLOOKUP(O201,Preenchimento!$A:$BV,5,0)</f>
        <v>#N/A</v>
      </c>
      <c r="S200" s="121" t="s">
        <v>296</v>
      </c>
      <c r="T200" s="193" t="e">
        <f>VLOOKUP(T201,Preenchimento!$A:$BV,3,0)</f>
        <v>#N/A</v>
      </c>
      <c r="U200" s="193" t="e">
        <f>VLOOKUP(U201,Preenchimento!$A:$BV,3,0)</f>
        <v>#N/A</v>
      </c>
      <c r="V200" s="120" t="s">
        <v>297</v>
      </c>
      <c r="W200" s="197" t="e">
        <f>VLOOKUP(T201,Preenchimento!$A:$BV,5,0)</f>
        <v>#N/A</v>
      </c>
      <c r="X200" s="198" t="e">
        <f>VLOOKUP(U201,Preenchimento!$A:$BV,5,0)</f>
        <v>#N/A</v>
      </c>
    </row>
    <row r="201" spans="1:24" ht="9.75" customHeight="1" x14ac:dyDescent="0.15">
      <c r="A201" s="121" t="s">
        <v>298</v>
      </c>
      <c r="B201" s="193"/>
      <c r="C201" s="193"/>
      <c r="D201" s="120" t="s">
        <v>299</v>
      </c>
      <c r="F201" s="131" t="e">
        <f>VLOOKUP(B201,Preenchimento!$A:$BV,10,0)</f>
        <v>#N/A</v>
      </c>
      <c r="G201" s="121" t="s">
        <v>298</v>
      </c>
      <c r="H201" s="193"/>
      <c r="I201" s="193"/>
      <c r="J201" s="120" t="s">
        <v>299</v>
      </c>
      <c r="L201" s="131" t="e">
        <f>VLOOKUP(H201,Preenchimento!$A:$BV,10,0)</f>
        <v>#N/A</v>
      </c>
      <c r="M201" s="121" t="s">
        <v>298</v>
      </c>
      <c r="N201" s="193"/>
      <c r="O201" s="193"/>
      <c r="P201" s="120" t="s">
        <v>299</v>
      </c>
      <c r="R201" s="131" t="e">
        <f>VLOOKUP(N201,Preenchimento!$A:$BV,10,0)</f>
        <v>#N/A</v>
      </c>
      <c r="S201" s="121" t="s">
        <v>298</v>
      </c>
      <c r="T201" s="193"/>
      <c r="U201" s="193"/>
      <c r="V201" s="120" t="s">
        <v>299</v>
      </c>
      <c r="X201" s="131" t="e">
        <f>VLOOKUP(T201,Preenchimento!$A:$BV,10,0)</f>
        <v>#N/A</v>
      </c>
    </row>
    <row r="202" spans="1:24" ht="9.75" customHeight="1" x14ac:dyDescent="0.15">
      <c r="A202" s="121" t="s">
        <v>300</v>
      </c>
      <c r="C202" s="193" t="e">
        <f>VLOOKUP(B201,Preenchimento!$A:$BV,12,0)</f>
        <v>#N/A</v>
      </c>
      <c r="D202" s="193" t="e">
        <f>VLOOKUP(C201,Preenchimento!$A:$BV,12,0)</f>
        <v>#N/A</v>
      </c>
      <c r="E202" s="193" t="e">
        <f>VLOOKUP(D201,Preenchimento!$A:$BV,12,0)</f>
        <v>#N/A</v>
      </c>
      <c r="F202" s="194" t="e">
        <f>VLOOKUP(E201,Preenchimento!$A:$BV,12,0)</f>
        <v>#N/A</v>
      </c>
      <c r="G202" s="121" t="s">
        <v>300</v>
      </c>
      <c r="I202" s="193" t="e">
        <f>VLOOKUP(H201,Preenchimento!$A:$BV,12,0)</f>
        <v>#N/A</v>
      </c>
      <c r="J202" s="193" t="e">
        <f>VLOOKUP(I201,Preenchimento!$A:$BV,12,0)</f>
        <v>#N/A</v>
      </c>
      <c r="K202" s="193" t="e">
        <f>VLOOKUP(J201,Preenchimento!$A:$BV,12,0)</f>
        <v>#N/A</v>
      </c>
      <c r="L202" s="194" t="e">
        <f>VLOOKUP(K201,Preenchimento!$A:$BV,12,0)</f>
        <v>#N/A</v>
      </c>
      <c r="M202" s="121" t="s">
        <v>300</v>
      </c>
      <c r="O202" s="193" t="e">
        <f>VLOOKUP(N201,Preenchimento!$A:$BV,12,0)</f>
        <v>#N/A</v>
      </c>
      <c r="P202" s="193" t="e">
        <f>VLOOKUP(O201,Preenchimento!$A:$BV,12,0)</f>
        <v>#N/A</v>
      </c>
      <c r="Q202" s="193" t="e">
        <f>VLOOKUP(P201,Preenchimento!$A:$BV,12,0)</f>
        <v>#N/A</v>
      </c>
      <c r="R202" s="194" t="e">
        <f>VLOOKUP(Q201,Preenchimento!$A:$BV,12,0)</f>
        <v>#N/A</v>
      </c>
      <c r="S202" s="121" t="s">
        <v>300</v>
      </c>
      <c r="U202" s="193" t="e">
        <f>VLOOKUP(T201,Preenchimento!$A:$BV,12,0)</f>
        <v>#N/A</v>
      </c>
      <c r="V202" s="193" t="e">
        <f>VLOOKUP(U201,Preenchimento!$A:$BV,12,0)</f>
        <v>#N/A</v>
      </c>
      <c r="W202" s="193" t="e">
        <f>VLOOKUP(V201,Preenchimento!$A:$BV,12,0)</f>
        <v>#N/A</v>
      </c>
      <c r="X202" s="194" t="e">
        <f>VLOOKUP(W201,Preenchimento!$A:$BV,12,0)</f>
        <v>#N/A</v>
      </c>
    </row>
    <row r="203" spans="1:24" ht="9.75" customHeight="1" x14ac:dyDescent="0.15">
      <c r="A203" s="123" t="s">
        <v>301</v>
      </c>
      <c r="B203" s="195" t="e">
        <f>IF(VLOOKUP(B201,Preenchimento!$A:$BV,11,0)=0,"",VLOOKUP(B201,Preenchimento!$A:$BV,11,0))</f>
        <v>#N/A</v>
      </c>
      <c r="C203" s="195"/>
      <c r="D203" s="195"/>
      <c r="E203" s="195"/>
      <c r="F203" s="196"/>
      <c r="G203" s="123" t="s">
        <v>301</v>
      </c>
      <c r="H203" s="195" t="e">
        <f>IF(VLOOKUP(H201,Preenchimento!$A:$BV,11,0)=0,"",VLOOKUP(H201,Preenchimento!$A:$BV,11,0))</f>
        <v>#N/A</v>
      </c>
      <c r="I203" s="195"/>
      <c r="J203" s="195"/>
      <c r="K203" s="195"/>
      <c r="L203" s="196"/>
      <c r="M203" s="123" t="s">
        <v>301</v>
      </c>
      <c r="N203" s="195" t="e">
        <f>IF(VLOOKUP(N201,Preenchimento!$A:$BV,11,0)=0,"",VLOOKUP(N201,Preenchimento!$A:$BV,11,0))</f>
        <v>#N/A</v>
      </c>
      <c r="O203" s="195"/>
      <c r="P203" s="195"/>
      <c r="Q203" s="195"/>
      <c r="R203" s="196"/>
      <c r="S203" s="123" t="s">
        <v>301</v>
      </c>
      <c r="T203" s="195" t="e">
        <f>IF(VLOOKUP(T201,Preenchimento!$A:$BV,11,0)=0,"",VLOOKUP(T201,Preenchimento!$A:$BV,11,0))</f>
        <v>#N/A</v>
      </c>
      <c r="U203" s="195"/>
      <c r="V203" s="195"/>
      <c r="W203" s="195"/>
      <c r="X203" s="196"/>
    </row>
    <row r="204" spans="1:24" s="130" customFormat="1" ht="33.950000000000003" customHeight="1" x14ac:dyDescent="0.25">
      <c r="A204" s="199" t="str">
        <f>Sitio!$A$3</f>
        <v>Projeto 01</v>
      </c>
      <c r="B204" s="200"/>
      <c r="C204" s="200"/>
      <c r="D204" s="200"/>
      <c r="E204" s="200"/>
      <c r="F204" s="201"/>
      <c r="G204" s="199" t="str">
        <f>Sitio!$A$3</f>
        <v>Projeto 01</v>
      </c>
      <c r="H204" s="200"/>
      <c r="I204" s="200"/>
      <c r="J204" s="200"/>
      <c r="K204" s="200"/>
      <c r="L204" s="201"/>
      <c r="M204" s="199" t="str">
        <f>Sitio!$A$3</f>
        <v>Projeto 01</v>
      </c>
      <c r="N204" s="200"/>
      <c r="O204" s="200"/>
      <c r="P204" s="200"/>
      <c r="Q204" s="200"/>
      <c r="R204" s="201"/>
      <c r="S204" s="199" t="str">
        <f>Sitio!$A$3</f>
        <v>Projeto 01</v>
      </c>
      <c r="T204" s="200"/>
      <c r="U204" s="200"/>
      <c r="V204" s="200"/>
      <c r="W204" s="200"/>
      <c r="X204" s="201"/>
    </row>
    <row r="205" spans="1:24" ht="9.75" customHeight="1" x14ac:dyDescent="0.15">
      <c r="A205" s="121" t="s">
        <v>294</v>
      </c>
      <c r="B205" s="193">
        <f>Sitio!$E$3</f>
        <v>0</v>
      </c>
      <c r="C205" s="193"/>
      <c r="D205" s="193"/>
      <c r="E205" s="193"/>
      <c r="F205" s="194"/>
      <c r="G205" s="121" t="s">
        <v>294</v>
      </c>
      <c r="H205" s="193">
        <f>Sitio!$E$3</f>
        <v>0</v>
      </c>
      <c r="I205" s="193"/>
      <c r="J205" s="193"/>
      <c r="K205" s="193"/>
      <c r="L205" s="194"/>
      <c r="M205" s="121" t="s">
        <v>294</v>
      </c>
      <c r="N205" s="193">
        <f>Sitio!$E$3</f>
        <v>0</v>
      </c>
      <c r="O205" s="193"/>
      <c r="P205" s="193"/>
      <c r="Q205" s="193"/>
      <c r="R205" s="194"/>
      <c r="S205" s="121" t="s">
        <v>294</v>
      </c>
      <c r="T205" s="193">
        <f>Sitio!$E$3</f>
        <v>0</v>
      </c>
      <c r="U205" s="193"/>
      <c r="V205" s="193"/>
      <c r="W205" s="193"/>
      <c r="X205" s="194"/>
    </row>
    <row r="206" spans="1:24" ht="9.75" customHeight="1" x14ac:dyDescent="0.15">
      <c r="A206" s="121" t="s">
        <v>295</v>
      </c>
      <c r="C206" s="193" t="e">
        <f>VLOOKUP(B208,Preenchimento!$A:$BV,2,0)</f>
        <v>#N/A</v>
      </c>
      <c r="D206" s="193" t="e">
        <f>VLOOKUP(C208,Preenchimento!$A:$BV,2,0)</f>
        <v>#N/A</v>
      </c>
      <c r="E206" s="193" t="e">
        <f>VLOOKUP(D208,Preenchimento!$A:$BV,2,0)</f>
        <v>#N/A</v>
      </c>
      <c r="F206" s="194" t="e">
        <f>VLOOKUP(E208,Preenchimento!$A:$BV,2,0)</f>
        <v>#N/A</v>
      </c>
      <c r="G206" s="121" t="s">
        <v>295</v>
      </c>
      <c r="I206" s="193" t="e">
        <f>VLOOKUP(H208,Preenchimento!$A:$BV,2,0)</f>
        <v>#N/A</v>
      </c>
      <c r="J206" s="193" t="e">
        <f>VLOOKUP(I208,Preenchimento!$A:$BV,2,0)</f>
        <v>#N/A</v>
      </c>
      <c r="K206" s="193" t="e">
        <f>VLOOKUP(J208,Preenchimento!$A:$BV,2,0)</f>
        <v>#N/A</v>
      </c>
      <c r="L206" s="194" t="e">
        <f>VLOOKUP(K208,Preenchimento!$A:$BV,2,0)</f>
        <v>#N/A</v>
      </c>
      <c r="M206" s="121" t="s">
        <v>295</v>
      </c>
      <c r="O206" s="193" t="e">
        <f>VLOOKUP(N208,Preenchimento!$A:$BV,2,0)</f>
        <v>#N/A</v>
      </c>
      <c r="P206" s="193" t="e">
        <f>VLOOKUP(O208,Preenchimento!$A:$BV,2,0)</f>
        <v>#N/A</v>
      </c>
      <c r="Q206" s="193" t="e">
        <f>VLOOKUP(P208,Preenchimento!$A:$BV,2,0)</f>
        <v>#N/A</v>
      </c>
      <c r="R206" s="194" t="e">
        <f>VLOOKUP(Q208,Preenchimento!$A:$BV,2,0)</f>
        <v>#N/A</v>
      </c>
      <c r="S206" s="121" t="s">
        <v>295</v>
      </c>
      <c r="U206" s="193" t="e">
        <f>VLOOKUP(T208,Preenchimento!$A:$BV,2,0)</f>
        <v>#N/A</v>
      </c>
      <c r="V206" s="193" t="e">
        <f>VLOOKUP(U208,Preenchimento!$A:$BV,2,0)</f>
        <v>#N/A</v>
      </c>
      <c r="W206" s="193" t="e">
        <f>VLOOKUP(V208,Preenchimento!$A:$BV,2,0)</f>
        <v>#N/A</v>
      </c>
      <c r="X206" s="194" t="e">
        <f>VLOOKUP(W208,Preenchimento!$A:$BV,2,0)</f>
        <v>#N/A</v>
      </c>
    </row>
    <row r="207" spans="1:24" ht="9.75" customHeight="1" x14ac:dyDescent="0.15">
      <c r="A207" s="121" t="s">
        <v>296</v>
      </c>
      <c r="B207" s="193" t="e">
        <f>VLOOKUP(B208,Preenchimento!$A:$BV,3,0)</f>
        <v>#N/A</v>
      </c>
      <c r="C207" s="193" t="e">
        <f>VLOOKUP(C208,Preenchimento!$A:$BV,3,0)</f>
        <v>#N/A</v>
      </c>
      <c r="D207" s="120" t="s">
        <v>297</v>
      </c>
      <c r="E207" s="197" t="e">
        <f>VLOOKUP(B208,Preenchimento!$A:$BV,5,0)</f>
        <v>#N/A</v>
      </c>
      <c r="F207" s="198" t="e">
        <f>VLOOKUP(C208,Preenchimento!$A:$BV,5,0)</f>
        <v>#N/A</v>
      </c>
      <c r="G207" s="121" t="s">
        <v>296</v>
      </c>
      <c r="H207" s="193" t="e">
        <f>VLOOKUP(H208,Preenchimento!$A:$BV,3,0)</f>
        <v>#N/A</v>
      </c>
      <c r="I207" s="193" t="e">
        <f>VLOOKUP(I208,Preenchimento!$A:$BV,3,0)</f>
        <v>#N/A</v>
      </c>
      <c r="J207" s="120" t="s">
        <v>297</v>
      </c>
      <c r="K207" s="197" t="e">
        <f>VLOOKUP(H208,Preenchimento!$A:$BV,5,0)</f>
        <v>#N/A</v>
      </c>
      <c r="L207" s="198" t="e">
        <f>VLOOKUP(I208,Preenchimento!$A:$BV,5,0)</f>
        <v>#N/A</v>
      </c>
      <c r="M207" s="121" t="s">
        <v>296</v>
      </c>
      <c r="N207" s="193" t="e">
        <f>VLOOKUP(N208,Preenchimento!$A:$BV,3,0)</f>
        <v>#N/A</v>
      </c>
      <c r="O207" s="193" t="e">
        <f>VLOOKUP(O208,Preenchimento!$A:$BV,3,0)</f>
        <v>#N/A</v>
      </c>
      <c r="P207" s="120" t="s">
        <v>297</v>
      </c>
      <c r="Q207" s="197" t="e">
        <f>VLOOKUP(N208,Preenchimento!$A:$BV,5,0)</f>
        <v>#N/A</v>
      </c>
      <c r="R207" s="198" t="e">
        <f>VLOOKUP(O208,Preenchimento!$A:$BV,5,0)</f>
        <v>#N/A</v>
      </c>
      <c r="S207" s="121" t="s">
        <v>296</v>
      </c>
      <c r="T207" s="193" t="e">
        <f>VLOOKUP(T208,Preenchimento!$A:$BV,3,0)</f>
        <v>#N/A</v>
      </c>
      <c r="U207" s="193" t="e">
        <f>VLOOKUP(U208,Preenchimento!$A:$BV,3,0)</f>
        <v>#N/A</v>
      </c>
      <c r="V207" s="120" t="s">
        <v>297</v>
      </c>
      <c r="W207" s="197" t="e">
        <f>VLOOKUP(T208,Preenchimento!$A:$BV,5,0)</f>
        <v>#N/A</v>
      </c>
      <c r="X207" s="198" t="e">
        <f>VLOOKUP(U208,Preenchimento!$A:$BV,5,0)</f>
        <v>#N/A</v>
      </c>
    </row>
    <row r="208" spans="1:24" ht="9.75" customHeight="1" x14ac:dyDescent="0.15">
      <c r="A208" s="121" t="s">
        <v>298</v>
      </c>
      <c r="B208" s="193"/>
      <c r="C208" s="193"/>
      <c r="D208" s="120" t="s">
        <v>299</v>
      </c>
      <c r="F208" s="131" t="e">
        <f>VLOOKUP(B208,Preenchimento!$A:$BV,10,0)</f>
        <v>#N/A</v>
      </c>
      <c r="G208" s="121" t="s">
        <v>298</v>
      </c>
      <c r="H208" s="193"/>
      <c r="I208" s="193"/>
      <c r="J208" s="120" t="s">
        <v>299</v>
      </c>
      <c r="L208" s="131" t="e">
        <f>VLOOKUP(H208,Preenchimento!$A:$BV,10,0)</f>
        <v>#N/A</v>
      </c>
      <c r="M208" s="121" t="s">
        <v>298</v>
      </c>
      <c r="N208" s="193"/>
      <c r="O208" s="193"/>
      <c r="P208" s="120" t="s">
        <v>299</v>
      </c>
      <c r="R208" s="131" t="e">
        <f>VLOOKUP(N208,Preenchimento!$A:$BV,10,0)</f>
        <v>#N/A</v>
      </c>
      <c r="S208" s="121" t="s">
        <v>298</v>
      </c>
      <c r="T208" s="193"/>
      <c r="U208" s="193"/>
      <c r="V208" s="120" t="s">
        <v>299</v>
      </c>
      <c r="X208" s="131" t="e">
        <f>VLOOKUP(T208,Preenchimento!$A:$BV,10,0)</f>
        <v>#N/A</v>
      </c>
    </row>
    <row r="209" spans="1:24" ht="9.75" customHeight="1" x14ac:dyDescent="0.15">
      <c r="A209" s="121" t="s">
        <v>300</v>
      </c>
      <c r="C209" s="193" t="e">
        <f>VLOOKUP(B208,Preenchimento!$A:$BV,12,0)</f>
        <v>#N/A</v>
      </c>
      <c r="D209" s="193" t="e">
        <f>VLOOKUP(C208,Preenchimento!$A:$BV,12,0)</f>
        <v>#N/A</v>
      </c>
      <c r="E209" s="193" t="e">
        <f>VLOOKUP(D208,Preenchimento!$A:$BV,12,0)</f>
        <v>#N/A</v>
      </c>
      <c r="F209" s="194" t="e">
        <f>VLOOKUP(E208,Preenchimento!$A:$BV,12,0)</f>
        <v>#N/A</v>
      </c>
      <c r="G209" s="121" t="s">
        <v>300</v>
      </c>
      <c r="I209" s="193" t="e">
        <f>VLOOKUP(H208,Preenchimento!$A:$BV,12,0)</f>
        <v>#N/A</v>
      </c>
      <c r="J209" s="193" t="e">
        <f>VLOOKUP(I208,Preenchimento!$A:$BV,12,0)</f>
        <v>#N/A</v>
      </c>
      <c r="K209" s="193" t="e">
        <f>VLOOKUP(J208,Preenchimento!$A:$BV,12,0)</f>
        <v>#N/A</v>
      </c>
      <c r="L209" s="194" t="e">
        <f>VLOOKUP(K208,Preenchimento!$A:$BV,12,0)</f>
        <v>#N/A</v>
      </c>
      <c r="M209" s="121" t="s">
        <v>300</v>
      </c>
      <c r="O209" s="193" t="e">
        <f>VLOOKUP(N208,Preenchimento!$A:$BV,12,0)</f>
        <v>#N/A</v>
      </c>
      <c r="P209" s="193" t="e">
        <f>VLOOKUP(O208,Preenchimento!$A:$BV,12,0)</f>
        <v>#N/A</v>
      </c>
      <c r="Q209" s="193" t="e">
        <f>VLOOKUP(P208,Preenchimento!$A:$BV,12,0)</f>
        <v>#N/A</v>
      </c>
      <c r="R209" s="194" t="e">
        <f>VLOOKUP(Q208,Preenchimento!$A:$BV,12,0)</f>
        <v>#N/A</v>
      </c>
      <c r="S209" s="121" t="s">
        <v>300</v>
      </c>
      <c r="U209" s="193" t="e">
        <f>VLOOKUP(T208,Preenchimento!$A:$BV,12,0)</f>
        <v>#N/A</v>
      </c>
      <c r="V209" s="193" t="e">
        <f>VLOOKUP(U208,Preenchimento!$A:$BV,12,0)</f>
        <v>#N/A</v>
      </c>
      <c r="W209" s="193" t="e">
        <f>VLOOKUP(V208,Preenchimento!$A:$BV,12,0)</f>
        <v>#N/A</v>
      </c>
      <c r="X209" s="194" t="e">
        <f>VLOOKUP(W208,Preenchimento!$A:$BV,12,0)</f>
        <v>#N/A</v>
      </c>
    </row>
    <row r="210" spans="1:24" ht="9.75" customHeight="1" x14ac:dyDescent="0.15">
      <c r="A210" s="123" t="s">
        <v>301</v>
      </c>
      <c r="B210" s="195" t="e">
        <f>IF(VLOOKUP(B208,Preenchimento!$A:$BV,11,0)=0,"",VLOOKUP(B208,Preenchimento!$A:$BV,11,0))</f>
        <v>#N/A</v>
      </c>
      <c r="C210" s="195"/>
      <c r="D210" s="195"/>
      <c r="E210" s="195"/>
      <c r="F210" s="196"/>
      <c r="G210" s="123" t="s">
        <v>301</v>
      </c>
      <c r="H210" s="195" t="e">
        <f>IF(VLOOKUP(H208,Preenchimento!$A:$BV,11,0)=0,"",VLOOKUP(H208,Preenchimento!$A:$BV,11,0))</f>
        <v>#N/A</v>
      </c>
      <c r="I210" s="195"/>
      <c r="J210" s="195"/>
      <c r="K210" s="195"/>
      <c r="L210" s="196"/>
      <c r="M210" s="123" t="s">
        <v>301</v>
      </c>
      <c r="N210" s="195" t="e">
        <f>IF(VLOOKUP(N208,Preenchimento!$A:$BV,11,0)=0,"",VLOOKUP(N208,Preenchimento!$A:$BV,11,0))</f>
        <v>#N/A</v>
      </c>
      <c r="O210" s="195"/>
      <c r="P210" s="195"/>
      <c r="Q210" s="195"/>
      <c r="R210" s="196"/>
      <c r="S210" s="123" t="s">
        <v>301</v>
      </c>
      <c r="T210" s="195" t="e">
        <f>IF(VLOOKUP(T208,Preenchimento!$A:$BV,11,0)=0,"",VLOOKUP(T208,Preenchimento!$A:$BV,11,0))</f>
        <v>#N/A</v>
      </c>
      <c r="U210" s="195"/>
      <c r="V210" s="195"/>
      <c r="W210" s="195"/>
      <c r="X210" s="196"/>
    </row>
    <row r="211" spans="1:24" s="130" customFormat="1" ht="33.950000000000003" customHeight="1" x14ac:dyDescent="0.25">
      <c r="A211" s="199" t="str">
        <f>Sitio!$A$3</f>
        <v>Projeto 01</v>
      </c>
      <c r="B211" s="200"/>
      <c r="C211" s="200"/>
      <c r="D211" s="200"/>
      <c r="E211" s="200"/>
      <c r="F211" s="201"/>
      <c r="G211" s="199" t="str">
        <f>Sitio!$A$3</f>
        <v>Projeto 01</v>
      </c>
      <c r="H211" s="200"/>
      <c r="I211" s="200"/>
      <c r="J211" s="200"/>
      <c r="K211" s="200"/>
      <c r="L211" s="201"/>
      <c r="M211" s="199" t="str">
        <f>Sitio!$A$3</f>
        <v>Projeto 01</v>
      </c>
      <c r="N211" s="200"/>
      <c r="O211" s="200"/>
      <c r="P211" s="200"/>
      <c r="Q211" s="200"/>
      <c r="R211" s="201"/>
      <c r="S211" s="199" t="str">
        <f>Sitio!$A$3</f>
        <v>Projeto 01</v>
      </c>
      <c r="T211" s="200"/>
      <c r="U211" s="200"/>
      <c r="V211" s="200"/>
      <c r="W211" s="200"/>
      <c r="X211" s="201"/>
    </row>
    <row r="212" spans="1:24" ht="9.75" customHeight="1" x14ac:dyDescent="0.15">
      <c r="A212" s="121" t="s">
        <v>294</v>
      </c>
      <c r="B212" s="193">
        <f>Sitio!$E$3</f>
        <v>0</v>
      </c>
      <c r="C212" s="193"/>
      <c r="D212" s="193"/>
      <c r="E212" s="193"/>
      <c r="F212" s="194"/>
      <c r="G212" s="121" t="s">
        <v>294</v>
      </c>
      <c r="H212" s="193">
        <f>Sitio!$E$3</f>
        <v>0</v>
      </c>
      <c r="I212" s="193"/>
      <c r="J212" s="193"/>
      <c r="K212" s="193"/>
      <c r="L212" s="194"/>
      <c r="M212" s="121" t="s">
        <v>294</v>
      </c>
      <c r="N212" s="193">
        <f>Sitio!$E$3</f>
        <v>0</v>
      </c>
      <c r="O212" s="193"/>
      <c r="P212" s="193"/>
      <c r="Q212" s="193"/>
      <c r="R212" s="194"/>
      <c r="S212" s="121" t="s">
        <v>294</v>
      </c>
      <c r="T212" s="193">
        <f>Sitio!$E$3</f>
        <v>0</v>
      </c>
      <c r="U212" s="193"/>
      <c r="V212" s="193"/>
      <c r="W212" s="193"/>
      <c r="X212" s="194"/>
    </row>
    <row r="213" spans="1:24" ht="9.75" customHeight="1" x14ac:dyDescent="0.15">
      <c r="A213" s="121" t="s">
        <v>295</v>
      </c>
      <c r="C213" s="193" t="e">
        <f>VLOOKUP(B215,Preenchimento!$A:$BV,2,0)</f>
        <v>#N/A</v>
      </c>
      <c r="D213" s="193" t="e">
        <f>VLOOKUP(C215,Preenchimento!$A:$BV,2,0)</f>
        <v>#N/A</v>
      </c>
      <c r="E213" s="193" t="e">
        <f>VLOOKUP(D215,Preenchimento!$A:$BV,2,0)</f>
        <v>#N/A</v>
      </c>
      <c r="F213" s="194" t="e">
        <f>VLOOKUP(E215,Preenchimento!$A:$BV,2,0)</f>
        <v>#N/A</v>
      </c>
      <c r="G213" s="121" t="s">
        <v>295</v>
      </c>
      <c r="I213" s="193" t="e">
        <f>VLOOKUP(H215,Preenchimento!$A:$BV,2,0)</f>
        <v>#N/A</v>
      </c>
      <c r="J213" s="193" t="e">
        <f>VLOOKUP(I215,Preenchimento!$A:$BV,2,0)</f>
        <v>#N/A</v>
      </c>
      <c r="K213" s="193" t="e">
        <f>VLOOKUP(J215,Preenchimento!$A:$BV,2,0)</f>
        <v>#N/A</v>
      </c>
      <c r="L213" s="194" t="e">
        <f>VLOOKUP(K215,Preenchimento!$A:$BV,2,0)</f>
        <v>#N/A</v>
      </c>
      <c r="M213" s="121" t="s">
        <v>295</v>
      </c>
      <c r="O213" s="193" t="e">
        <f>VLOOKUP(N215,Preenchimento!$A:$BV,2,0)</f>
        <v>#N/A</v>
      </c>
      <c r="P213" s="193" t="e">
        <f>VLOOKUP(O215,Preenchimento!$A:$BV,2,0)</f>
        <v>#N/A</v>
      </c>
      <c r="Q213" s="193" t="e">
        <f>VLOOKUP(P215,Preenchimento!$A:$BV,2,0)</f>
        <v>#N/A</v>
      </c>
      <c r="R213" s="194" t="e">
        <f>VLOOKUP(Q215,Preenchimento!$A:$BV,2,0)</f>
        <v>#N/A</v>
      </c>
      <c r="S213" s="121" t="s">
        <v>295</v>
      </c>
      <c r="U213" s="193" t="e">
        <f>VLOOKUP(T215,Preenchimento!$A:$BV,2,0)</f>
        <v>#N/A</v>
      </c>
      <c r="V213" s="193" t="e">
        <f>VLOOKUP(U215,Preenchimento!$A:$BV,2,0)</f>
        <v>#N/A</v>
      </c>
      <c r="W213" s="193" t="e">
        <f>VLOOKUP(V215,Preenchimento!$A:$BV,2,0)</f>
        <v>#N/A</v>
      </c>
      <c r="X213" s="194" t="e">
        <f>VLOOKUP(W215,Preenchimento!$A:$BV,2,0)</f>
        <v>#N/A</v>
      </c>
    </row>
    <row r="214" spans="1:24" ht="9.75" customHeight="1" x14ac:dyDescent="0.15">
      <c r="A214" s="121" t="s">
        <v>296</v>
      </c>
      <c r="B214" s="193" t="e">
        <f>VLOOKUP(B215,Preenchimento!$A:$BV,3,0)</f>
        <v>#N/A</v>
      </c>
      <c r="C214" s="193" t="e">
        <f>VLOOKUP(C215,Preenchimento!$A:$BV,3,0)</f>
        <v>#N/A</v>
      </c>
      <c r="D214" s="120" t="s">
        <v>297</v>
      </c>
      <c r="E214" s="197" t="e">
        <f>VLOOKUP(B215,Preenchimento!$A:$BV,5,0)</f>
        <v>#N/A</v>
      </c>
      <c r="F214" s="198" t="e">
        <f>VLOOKUP(C215,Preenchimento!$A:$BV,5,0)</f>
        <v>#N/A</v>
      </c>
      <c r="G214" s="121" t="s">
        <v>296</v>
      </c>
      <c r="H214" s="193" t="e">
        <f>VLOOKUP(H215,Preenchimento!$A:$BV,3,0)</f>
        <v>#N/A</v>
      </c>
      <c r="I214" s="193" t="e">
        <f>VLOOKUP(I215,Preenchimento!$A:$BV,3,0)</f>
        <v>#N/A</v>
      </c>
      <c r="J214" s="120" t="s">
        <v>297</v>
      </c>
      <c r="K214" s="197" t="e">
        <f>VLOOKUP(H215,Preenchimento!$A:$BV,5,0)</f>
        <v>#N/A</v>
      </c>
      <c r="L214" s="198" t="e">
        <f>VLOOKUP(I215,Preenchimento!$A:$BV,5,0)</f>
        <v>#N/A</v>
      </c>
      <c r="M214" s="121" t="s">
        <v>296</v>
      </c>
      <c r="N214" s="193" t="e">
        <f>VLOOKUP(N215,Preenchimento!$A:$BV,3,0)</f>
        <v>#N/A</v>
      </c>
      <c r="O214" s="193" t="e">
        <f>VLOOKUP(O215,Preenchimento!$A:$BV,3,0)</f>
        <v>#N/A</v>
      </c>
      <c r="P214" s="120" t="s">
        <v>297</v>
      </c>
      <c r="Q214" s="197" t="e">
        <f>VLOOKUP(N215,Preenchimento!$A:$BV,5,0)</f>
        <v>#N/A</v>
      </c>
      <c r="R214" s="198" t="e">
        <f>VLOOKUP(O215,Preenchimento!$A:$BV,5,0)</f>
        <v>#N/A</v>
      </c>
      <c r="S214" s="121" t="s">
        <v>296</v>
      </c>
      <c r="T214" s="193" t="e">
        <f>VLOOKUP(T215,Preenchimento!$A:$BV,3,0)</f>
        <v>#N/A</v>
      </c>
      <c r="U214" s="193" t="e">
        <f>VLOOKUP(U215,Preenchimento!$A:$BV,3,0)</f>
        <v>#N/A</v>
      </c>
      <c r="V214" s="120" t="s">
        <v>297</v>
      </c>
      <c r="W214" s="197" t="e">
        <f>VLOOKUP(T215,Preenchimento!$A:$BV,5,0)</f>
        <v>#N/A</v>
      </c>
      <c r="X214" s="198" t="e">
        <f>VLOOKUP(U215,Preenchimento!$A:$BV,5,0)</f>
        <v>#N/A</v>
      </c>
    </row>
    <row r="215" spans="1:24" ht="9.75" customHeight="1" x14ac:dyDescent="0.15">
      <c r="A215" s="121" t="s">
        <v>298</v>
      </c>
      <c r="B215" s="193"/>
      <c r="C215" s="193"/>
      <c r="D215" s="120" t="s">
        <v>299</v>
      </c>
      <c r="F215" s="131" t="e">
        <f>VLOOKUP(B215,Preenchimento!$A:$BV,10,0)</f>
        <v>#N/A</v>
      </c>
      <c r="G215" s="121" t="s">
        <v>298</v>
      </c>
      <c r="H215" s="193"/>
      <c r="I215" s="193"/>
      <c r="J215" s="120" t="s">
        <v>299</v>
      </c>
      <c r="L215" s="131" t="e">
        <f>VLOOKUP(H215,Preenchimento!$A:$BV,10,0)</f>
        <v>#N/A</v>
      </c>
      <c r="M215" s="121" t="s">
        <v>298</v>
      </c>
      <c r="N215" s="193"/>
      <c r="O215" s="193"/>
      <c r="P215" s="120" t="s">
        <v>299</v>
      </c>
      <c r="R215" s="131" t="e">
        <f>VLOOKUP(N215,Preenchimento!$A:$BV,10,0)</f>
        <v>#N/A</v>
      </c>
      <c r="S215" s="121" t="s">
        <v>298</v>
      </c>
      <c r="T215" s="193"/>
      <c r="U215" s="193"/>
      <c r="V215" s="120" t="s">
        <v>299</v>
      </c>
      <c r="X215" s="131" t="e">
        <f>VLOOKUP(T215,Preenchimento!$A:$BV,10,0)</f>
        <v>#N/A</v>
      </c>
    </row>
    <row r="216" spans="1:24" ht="9.75" customHeight="1" x14ac:dyDescent="0.15">
      <c r="A216" s="121" t="s">
        <v>300</v>
      </c>
      <c r="C216" s="193" t="e">
        <f>VLOOKUP(B215,Preenchimento!$A:$BV,12,0)</f>
        <v>#N/A</v>
      </c>
      <c r="D216" s="193" t="e">
        <f>VLOOKUP(C215,Preenchimento!$A:$BV,12,0)</f>
        <v>#N/A</v>
      </c>
      <c r="E216" s="193" t="e">
        <f>VLOOKUP(D215,Preenchimento!$A:$BV,12,0)</f>
        <v>#N/A</v>
      </c>
      <c r="F216" s="194" t="e">
        <f>VLOOKUP(E215,Preenchimento!$A:$BV,12,0)</f>
        <v>#N/A</v>
      </c>
      <c r="G216" s="121" t="s">
        <v>300</v>
      </c>
      <c r="I216" s="193" t="e">
        <f>VLOOKUP(H215,Preenchimento!$A:$BV,12,0)</f>
        <v>#N/A</v>
      </c>
      <c r="J216" s="193" t="e">
        <f>VLOOKUP(I215,Preenchimento!$A:$BV,12,0)</f>
        <v>#N/A</v>
      </c>
      <c r="K216" s="193" t="e">
        <f>VLOOKUP(J215,Preenchimento!$A:$BV,12,0)</f>
        <v>#N/A</v>
      </c>
      <c r="L216" s="194" t="e">
        <f>VLOOKUP(K215,Preenchimento!$A:$BV,12,0)</f>
        <v>#N/A</v>
      </c>
      <c r="M216" s="121" t="s">
        <v>300</v>
      </c>
      <c r="O216" s="193" t="e">
        <f>VLOOKUP(N215,Preenchimento!$A:$BV,12,0)</f>
        <v>#N/A</v>
      </c>
      <c r="P216" s="193" t="e">
        <f>VLOOKUP(O215,Preenchimento!$A:$BV,12,0)</f>
        <v>#N/A</v>
      </c>
      <c r="Q216" s="193" t="e">
        <f>VLOOKUP(P215,Preenchimento!$A:$BV,12,0)</f>
        <v>#N/A</v>
      </c>
      <c r="R216" s="194" t="e">
        <f>VLOOKUP(Q215,Preenchimento!$A:$BV,12,0)</f>
        <v>#N/A</v>
      </c>
      <c r="S216" s="121" t="s">
        <v>300</v>
      </c>
      <c r="U216" s="193" t="e">
        <f>VLOOKUP(T215,Preenchimento!$A:$BV,12,0)</f>
        <v>#N/A</v>
      </c>
      <c r="V216" s="193" t="e">
        <f>VLOOKUP(U215,Preenchimento!$A:$BV,12,0)</f>
        <v>#N/A</v>
      </c>
      <c r="W216" s="193" t="e">
        <f>VLOOKUP(V215,Preenchimento!$A:$BV,12,0)</f>
        <v>#N/A</v>
      </c>
      <c r="X216" s="194" t="e">
        <f>VLOOKUP(W215,Preenchimento!$A:$BV,12,0)</f>
        <v>#N/A</v>
      </c>
    </row>
    <row r="217" spans="1:24" ht="9.75" customHeight="1" x14ac:dyDescent="0.15">
      <c r="A217" s="123" t="s">
        <v>301</v>
      </c>
      <c r="B217" s="195" t="e">
        <f>IF(VLOOKUP(B215,Preenchimento!$A:$BV,11,0)=0,"",VLOOKUP(B215,Preenchimento!$A:$BV,11,0))</f>
        <v>#N/A</v>
      </c>
      <c r="C217" s="195"/>
      <c r="D217" s="195"/>
      <c r="E217" s="195"/>
      <c r="F217" s="196"/>
      <c r="G217" s="123" t="s">
        <v>301</v>
      </c>
      <c r="H217" s="195" t="e">
        <f>IF(VLOOKUP(H215,Preenchimento!$A:$BV,11,0)=0,"",VLOOKUP(H215,Preenchimento!$A:$BV,11,0))</f>
        <v>#N/A</v>
      </c>
      <c r="I217" s="195"/>
      <c r="J217" s="195"/>
      <c r="K217" s="195"/>
      <c r="L217" s="196"/>
      <c r="M217" s="123" t="s">
        <v>301</v>
      </c>
      <c r="N217" s="195" t="e">
        <f>IF(VLOOKUP(N215,Preenchimento!$A:$BV,11,0)=0,"",VLOOKUP(N215,Preenchimento!$A:$BV,11,0))</f>
        <v>#N/A</v>
      </c>
      <c r="O217" s="195"/>
      <c r="P217" s="195"/>
      <c r="Q217" s="195"/>
      <c r="R217" s="196"/>
      <c r="S217" s="123" t="s">
        <v>301</v>
      </c>
      <c r="T217" s="195" t="e">
        <f>IF(VLOOKUP(T215,Preenchimento!$A:$BV,11,0)=0,"",VLOOKUP(T215,Preenchimento!$A:$BV,11,0))</f>
        <v>#N/A</v>
      </c>
      <c r="U217" s="195"/>
      <c r="V217" s="195"/>
      <c r="W217" s="195"/>
      <c r="X217" s="196"/>
    </row>
    <row r="218" spans="1:24" s="130" customFormat="1" ht="33.950000000000003" customHeight="1" x14ac:dyDescent="0.25">
      <c r="A218" s="199" t="str">
        <f>Sitio!$A$3</f>
        <v>Projeto 01</v>
      </c>
      <c r="B218" s="200"/>
      <c r="C218" s="200"/>
      <c r="D218" s="200"/>
      <c r="E218" s="200"/>
      <c r="F218" s="201"/>
      <c r="G218" s="199" t="str">
        <f>Sitio!$A$3</f>
        <v>Projeto 01</v>
      </c>
      <c r="H218" s="200"/>
      <c r="I218" s="200"/>
      <c r="J218" s="200"/>
      <c r="K218" s="200"/>
      <c r="L218" s="201"/>
      <c r="M218" s="199" t="str">
        <f>Sitio!$A$3</f>
        <v>Projeto 01</v>
      </c>
      <c r="N218" s="200"/>
      <c r="O218" s="200"/>
      <c r="P218" s="200"/>
      <c r="Q218" s="200"/>
      <c r="R218" s="201"/>
      <c r="S218" s="199" t="str">
        <f>Sitio!$A$3</f>
        <v>Projeto 01</v>
      </c>
      <c r="T218" s="200"/>
      <c r="U218" s="200"/>
      <c r="V218" s="200"/>
      <c r="W218" s="200"/>
      <c r="X218" s="201"/>
    </row>
    <row r="219" spans="1:24" ht="9.75" customHeight="1" x14ac:dyDescent="0.15">
      <c r="A219" s="121" t="s">
        <v>294</v>
      </c>
      <c r="B219" s="193">
        <f>Sitio!$E$3</f>
        <v>0</v>
      </c>
      <c r="C219" s="193"/>
      <c r="D219" s="193"/>
      <c r="E219" s="193"/>
      <c r="F219" s="194"/>
      <c r="G219" s="121" t="s">
        <v>294</v>
      </c>
      <c r="H219" s="193">
        <f>Sitio!$E$3</f>
        <v>0</v>
      </c>
      <c r="I219" s="193"/>
      <c r="J219" s="193"/>
      <c r="K219" s="193"/>
      <c r="L219" s="194"/>
      <c r="M219" s="121" t="s">
        <v>294</v>
      </c>
      <c r="N219" s="193">
        <f>Sitio!$E$3</f>
        <v>0</v>
      </c>
      <c r="O219" s="193"/>
      <c r="P219" s="193"/>
      <c r="Q219" s="193"/>
      <c r="R219" s="194"/>
      <c r="S219" s="121" t="s">
        <v>294</v>
      </c>
      <c r="T219" s="193">
        <f>Sitio!$E$3</f>
        <v>0</v>
      </c>
      <c r="U219" s="193"/>
      <c r="V219" s="193"/>
      <c r="W219" s="193"/>
      <c r="X219" s="194"/>
    </row>
    <row r="220" spans="1:24" ht="9.75" customHeight="1" x14ac:dyDescent="0.15">
      <c r="A220" s="121" t="s">
        <v>295</v>
      </c>
      <c r="C220" s="193" t="e">
        <f>VLOOKUP(B222,Preenchimento!$A:$BV,2,0)</f>
        <v>#N/A</v>
      </c>
      <c r="D220" s="193" t="e">
        <f>VLOOKUP(C222,Preenchimento!$A:$BV,2,0)</f>
        <v>#N/A</v>
      </c>
      <c r="E220" s="193" t="e">
        <f>VLOOKUP(D222,Preenchimento!$A:$BV,2,0)</f>
        <v>#N/A</v>
      </c>
      <c r="F220" s="194" t="e">
        <f>VLOOKUP(E222,Preenchimento!$A:$BV,2,0)</f>
        <v>#N/A</v>
      </c>
      <c r="G220" s="121" t="s">
        <v>295</v>
      </c>
      <c r="I220" s="193" t="e">
        <f>VLOOKUP(H222,Preenchimento!$A:$BV,2,0)</f>
        <v>#N/A</v>
      </c>
      <c r="J220" s="193" t="e">
        <f>VLOOKUP(I222,Preenchimento!$A:$BV,2,0)</f>
        <v>#N/A</v>
      </c>
      <c r="K220" s="193" t="e">
        <f>VLOOKUP(J222,Preenchimento!$A:$BV,2,0)</f>
        <v>#N/A</v>
      </c>
      <c r="L220" s="194" t="e">
        <f>VLOOKUP(K222,Preenchimento!$A:$BV,2,0)</f>
        <v>#N/A</v>
      </c>
      <c r="M220" s="121" t="s">
        <v>295</v>
      </c>
      <c r="O220" s="193" t="e">
        <f>VLOOKUP(N222,Preenchimento!$A:$BV,2,0)</f>
        <v>#N/A</v>
      </c>
      <c r="P220" s="193" t="e">
        <f>VLOOKUP(O222,Preenchimento!$A:$BV,2,0)</f>
        <v>#N/A</v>
      </c>
      <c r="Q220" s="193" t="e">
        <f>VLOOKUP(P222,Preenchimento!$A:$BV,2,0)</f>
        <v>#N/A</v>
      </c>
      <c r="R220" s="194" t="e">
        <f>VLOOKUP(Q222,Preenchimento!$A:$BV,2,0)</f>
        <v>#N/A</v>
      </c>
      <c r="S220" s="121" t="s">
        <v>295</v>
      </c>
      <c r="U220" s="193" t="e">
        <f>VLOOKUP(T222,Preenchimento!$A:$BV,2,0)</f>
        <v>#N/A</v>
      </c>
      <c r="V220" s="193" t="e">
        <f>VLOOKUP(U222,Preenchimento!$A:$BV,2,0)</f>
        <v>#N/A</v>
      </c>
      <c r="W220" s="193" t="e">
        <f>VLOOKUP(V222,Preenchimento!$A:$BV,2,0)</f>
        <v>#N/A</v>
      </c>
      <c r="X220" s="194" t="e">
        <f>VLOOKUP(W222,Preenchimento!$A:$BV,2,0)</f>
        <v>#N/A</v>
      </c>
    </row>
    <row r="221" spans="1:24" ht="9.75" customHeight="1" x14ac:dyDescent="0.15">
      <c r="A221" s="121" t="s">
        <v>296</v>
      </c>
      <c r="B221" s="193" t="e">
        <f>VLOOKUP(B222,Preenchimento!$A:$BV,3,0)</f>
        <v>#N/A</v>
      </c>
      <c r="C221" s="193" t="e">
        <f>VLOOKUP(C222,Preenchimento!$A:$BV,3,0)</f>
        <v>#N/A</v>
      </c>
      <c r="D221" s="120" t="s">
        <v>297</v>
      </c>
      <c r="E221" s="197" t="e">
        <f>VLOOKUP(B222,Preenchimento!$A:$BV,5,0)</f>
        <v>#N/A</v>
      </c>
      <c r="F221" s="198" t="e">
        <f>VLOOKUP(C222,Preenchimento!$A:$BV,5,0)</f>
        <v>#N/A</v>
      </c>
      <c r="G221" s="121" t="s">
        <v>296</v>
      </c>
      <c r="H221" s="193" t="e">
        <f>VLOOKUP(H222,Preenchimento!$A:$BV,3,0)</f>
        <v>#N/A</v>
      </c>
      <c r="I221" s="193" t="e">
        <f>VLOOKUP(I222,Preenchimento!$A:$BV,3,0)</f>
        <v>#N/A</v>
      </c>
      <c r="J221" s="120" t="s">
        <v>297</v>
      </c>
      <c r="K221" s="197" t="e">
        <f>VLOOKUP(H222,Preenchimento!$A:$BV,5,0)</f>
        <v>#N/A</v>
      </c>
      <c r="L221" s="198" t="e">
        <f>VLOOKUP(I222,Preenchimento!$A:$BV,5,0)</f>
        <v>#N/A</v>
      </c>
      <c r="M221" s="121" t="s">
        <v>296</v>
      </c>
      <c r="N221" s="193" t="e">
        <f>VLOOKUP(N222,Preenchimento!$A:$BV,3,0)</f>
        <v>#N/A</v>
      </c>
      <c r="O221" s="193" t="e">
        <f>VLOOKUP(O222,Preenchimento!$A:$BV,3,0)</f>
        <v>#N/A</v>
      </c>
      <c r="P221" s="120" t="s">
        <v>297</v>
      </c>
      <c r="Q221" s="197" t="e">
        <f>VLOOKUP(N222,Preenchimento!$A:$BV,5,0)</f>
        <v>#N/A</v>
      </c>
      <c r="R221" s="198" t="e">
        <f>VLOOKUP(O222,Preenchimento!$A:$BV,5,0)</f>
        <v>#N/A</v>
      </c>
      <c r="S221" s="121" t="s">
        <v>296</v>
      </c>
      <c r="T221" s="193" t="e">
        <f>VLOOKUP(T222,Preenchimento!$A:$BV,3,0)</f>
        <v>#N/A</v>
      </c>
      <c r="U221" s="193" t="e">
        <f>VLOOKUP(U222,Preenchimento!$A:$BV,3,0)</f>
        <v>#N/A</v>
      </c>
      <c r="V221" s="120" t="s">
        <v>297</v>
      </c>
      <c r="W221" s="197" t="e">
        <f>VLOOKUP(T222,Preenchimento!$A:$BV,5,0)</f>
        <v>#N/A</v>
      </c>
      <c r="X221" s="198" t="e">
        <f>VLOOKUP(U222,Preenchimento!$A:$BV,5,0)</f>
        <v>#N/A</v>
      </c>
    </row>
    <row r="222" spans="1:24" ht="9.75" customHeight="1" x14ac:dyDescent="0.15">
      <c r="A222" s="121" t="s">
        <v>298</v>
      </c>
      <c r="B222" s="193"/>
      <c r="C222" s="193"/>
      <c r="D222" s="120" t="s">
        <v>299</v>
      </c>
      <c r="F222" s="131" t="e">
        <f>VLOOKUP(B222,Preenchimento!$A:$BV,10,0)</f>
        <v>#N/A</v>
      </c>
      <c r="G222" s="121" t="s">
        <v>298</v>
      </c>
      <c r="H222" s="193"/>
      <c r="I222" s="193"/>
      <c r="J222" s="120" t="s">
        <v>299</v>
      </c>
      <c r="L222" s="131" t="e">
        <f>VLOOKUP(H222,Preenchimento!$A:$BV,10,0)</f>
        <v>#N/A</v>
      </c>
      <c r="M222" s="121" t="s">
        <v>298</v>
      </c>
      <c r="N222" s="193"/>
      <c r="O222" s="193"/>
      <c r="P222" s="120" t="s">
        <v>299</v>
      </c>
      <c r="R222" s="131" t="e">
        <f>VLOOKUP(N222,Preenchimento!$A:$BV,10,0)</f>
        <v>#N/A</v>
      </c>
      <c r="S222" s="121" t="s">
        <v>298</v>
      </c>
      <c r="T222" s="193"/>
      <c r="U222" s="193"/>
      <c r="V222" s="120" t="s">
        <v>299</v>
      </c>
      <c r="X222" s="131" t="e">
        <f>VLOOKUP(T222,Preenchimento!$A:$BV,10,0)</f>
        <v>#N/A</v>
      </c>
    </row>
    <row r="223" spans="1:24" ht="9.75" customHeight="1" x14ac:dyDescent="0.15">
      <c r="A223" s="121" t="s">
        <v>300</v>
      </c>
      <c r="C223" s="193" t="e">
        <f>VLOOKUP(B222,Preenchimento!$A:$BV,12,0)</f>
        <v>#N/A</v>
      </c>
      <c r="D223" s="193" t="e">
        <f>VLOOKUP(C222,Preenchimento!$A:$BV,12,0)</f>
        <v>#N/A</v>
      </c>
      <c r="E223" s="193" t="e">
        <f>VLOOKUP(D222,Preenchimento!$A:$BV,12,0)</f>
        <v>#N/A</v>
      </c>
      <c r="F223" s="194" t="e">
        <f>VLOOKUP(E222,Preenchimento!$A:$BV,12,0)</f>
        <v>#N/A</v>
      </c>
      <c r="G223" s="121" t="s">
        <v>300</v>
      </c>
      <c r="I223" s="193" t="e">
        <f>VLOOKUP(H222,Preenchimento!$A:$BV,12,0)</f>
        <v>#N/A</v>
      </c>
      <c r="J223" s="193" t="e">
        <f>VLOOKUP(I222,Preenchimento!$A:$BV,12,0)</f>
        <v>#N/A</v>
      </c>
      <c r="K223" s="193" t="e">
        <f>VLOOKUP(J222,Preenchimento!$A:$BV,12,0)</f>
        <v>#N/A</v>
      </c>
      <c r="L223" s="194" t="e">
        <f>VLOOKUP(K222,Preenchimento!$A:$BV,12,0)</f>
        <v>#N/A</v>
      </c>
      <c r="M223" s="121" t="s">
        <v>300</v>
      </c>
      <c r="O223" s="193" t="e">
        <f>VLOOKUP(N222,Preenchimento!$A:$BV,12,0)</f>
        <v>#N/A</v>
      </c>
      <c r="P223" s="193" t="e">
        <f>VLOOKUP(O222,Preenchimento!$A:$BV,12,0)</f>
        <v>#N/A</v>
      </c>
      <c r="Q223" s="193" t="e">
        <f>VLOOKUP(P222,Preenchimento!$A:$BV,12,0)</f>
        <v>#N/A</v>
      </c>
      <c r="R223" s="194" t="e">
        <f>VLOOKUP(Q222,Preenchimento!$A:$BV,12,0)</f>
        <v>#N/A</v>
      </c>
      <c r="S223" s="121" t="s">
        <v>300</v>
      </c>
      <c r="U223" s="193" t="e">
        <f>VLOOKUP(T222,Preenchimento!$A:$BV,12,0)</f>
        <v>#N/A</v>
      </c>
      <c r="V223" s="193" t="e">
        <f>VLOOKUP(U222,Preenchimento!$A:$BV,12,0)</f>
        <v>#N/A</v>
      </c>
      <c r="W223" s="193" t="e">
        <f>VLOOKUP(V222,Preenchimento!$A:$BV,12,0)</f>
        <v>#N/A</v>
      </c>
      <c r="X223" s="194" t="e">
        <f>VLOOKUP(W222,Preenchimento!$A:$BV,12,0)</f>
        <v>#N/A</v>
      </c>
    </row>
    <row r="224" spans="1:24" ht="9.75" customHeight="1" x14ac:dyDescent="0.15">
      <c r="A224" s="123" t="s">
        <v>301</v>
      </c>
      <c r="B224" s="195" t="e">
        <f>IF(VLOOKUP(B222,Preenchimento!$A:$BV,11,0)=0,"",VLOOKUP(B222,Preenchimento!$A:$BV,11,0))</f>
        <v>#N/A</v>
      </c>
      <c r="C224" s="195"/>
      <c r="D224" s="195"/>
      <c r="E224" s="195"/>
      <c r="F224" s="196"/>
      <c r="G224" s="123" t="s">
        <v>301</v>
      </c>
      <c r="H224" s="195" t="e">
        <f>IF(VLOOKUP(H222,Preenchimento!$A:$BV,11,0)=0,"",VLOOKUP(H222,Preenchimento!$A:$BV,11,0))</f>
        <v>#N/A</v>
      </c>
      <c r="I224" s="195"/>
      <c r="J224" s="195"/>
      <c r="K224" s="195"/>
      <c r="L224" s="196"/>
      <c r="M224" s="123" t="s">
        <v>301</v>
      </c>
      <c r="N224" s="195" t="e">
        <f>IF(VLOOKUP(N222,Preenchimento!$A:$BV,11,0)=0,"",VLOOKUP(N222,Preenchimento!$A:$BV,11,0))</f>
        <v>#N/A</v>
      </c>
      <c r="O224" s="195"/>
      <c r="P224" s="195"/>
      <c r="Q224" s="195"/>
      <c r="R224" s="196"/>
      <c r="S224" s="123" t="s">
        <v>301</v>
      </c>
      <c r="T224" s="195" t="e">
        <f>IF(VLOOKUP(T222,Preenchimento!$A:$BV,11,0)=0,"",VLOOKUP(T222,Preenchimento!$A:$BV,11,0))</f>
        <v>#N/A</v>
      </c>
      <c r="U224" s="195"/>
      <c r="V224" s="195"/>
      <c r="W224" s="195"/>
      <c r="X224" s="196"/>
    </row>
    <row r="225" spans="1:24" s="130" customFormat="1" ht="33.950000000000003" customHeight="1" x14ac:dyDescent="0.25">
      <c r="A225" s="199" t="str">
        <f>Sitio!$A$3</f>
        <v>Projeto 01</v>
      </c>
      <c r="B225" s="200"/>
      <c r="C225" s="200"/>
      <c r="D225" s="200"/>
      <c r="E225" s="200"/>
      <c r="F225" s="201"/>
      <c r="G225" s="199" t="str">
        <f>Sitio!$A$3</f>
        <v>Projeto 01</v>
      </c>
      <c r="H225" s="200"/>
      <c r="I225" s="200"/>
      <c r="J225" s="200"/>
      <c r="K225" s="200"/>
      <c r="L225" s="201"/>
      <c r="M225" s="199" t="str">
        <f>Sitio!$A$3</f>
        <v>Projeto 01</v>
      </c>
      <c r="N225" s="200"/>
      <c r="O225" s="200"/>
      <c r="P225" s="200"/>
      <c r="Q225" s="200"/>
      <c r="R225" s="201"/>
      <c r="S225" s="199" t="str">
        <f>Sitio!$A$3</f>
        <v>Projeto 01</v>
      </c>
      <c r="T225" s="200"/>
      <c r="U225" s="200"/>
      <c r="V225" s="200"/>
      <c r="W225" s="200"/>
      <c r="X225" s="201"/>
    </row>
    <row r="226" spans="1:24" ht="9.75" customHeight="1" x14ac:dyDescent="0.15">
      <c r="A226" s="121" t="s">
        <v>294</v>
      </c>
      <c r="B226" s="193">
        <f>Sitio!$E$3</f>
        <v>0</v>
      </c>
      <c r="C226" s="193"/>
      <c r="D226" s="193"/>
      <c r="E226" s="193"/>
      <c r="F226" s="194"/>
      <c r="G226" s="121" t="s">
        <v>294</v>
      </c>
      <c r="H226" s="193">
        <f>Sitio!$E$3</f>
        <v>0</v>
      </c>
      <c r="I226" s="193"/>
      <c r="J226" s="193"/>
      <c r="K226" s="193"/>
      <c r="L226" s="194"/>
      <c r="M226" s="121" t="s">
        <v>294</v>
      </c>
      <c r="N226" s="193">
        <f>Sitio!$E$3</f>
        <v>0</v>
      </c>
      <c r="O226" s="193"/>
      <c r="P226" s="193"/>
      <c r="Q226" s="193"/>
      <c r="R226" s="194"/>
      <c r="S226" s="121" t="s">
        <v>294</v>
      </c>
      <c r="T226" s="193">
        <f>Sitio!$E$3</f>
        <v>0</v>
      </c>
      <c r="U226" s="193"/>
      <c r="V226" s="193"/>
      <c r="W226" s="193"/>
      <c r="X226" s="194"/>
    </row>
    <row r="227" spans="1:24" ht="9.75" customHeight="1" x14ac:dyDescent="0.15">
      <c r="A227" s="121" t="s">
        <v>295</v>
      </c>
      <c r="C227" s="193" t="e">
        <f>VLOOKUP(B229,Preenchimento!$A:$BV,2,0)</f>
        <v>#N/A</v>
      </c>
      <c r="D227" s="193" t="e">
        <f>VLOOKUP(C229,Preenchimento!$A:$BV,2,0)</f>
        <v>#N/A</v>
      </c>
      <c r="E227" s="193" t="e">
        <f>VLOOKUP(D229,Preenchimento!$A:$BV,2,0)</f>
        <v>#N/A</v>
      </c>
      <c r="F227" s="194" t="e">
        <f>VLOOKUP(E229,Preenchimento!$A:$BV,2,0)</f>
        <v>#N/A</v>
      </c>
      <c r="G227" s="121" t="s">
        <v>295</v>
      </c>
      <c r="I227" s="193" t="e">
        <f>VLOOKUP(H229,Preenchimento!$A:$BV,2,0)</f>
        <v>#N/A</v>
      </c>
      <c r="J227" s="193" t="e">
        <f>VLOOKUP(I229,Preenchimento!$A:$BV,2,0)</f>
        <v>#N/A</v>
      </c>
      <c r="K227" s="193" t="e">
        <f>VLOOKUP(J229,Preenchimento!$A:$BV,2,0)</f>
        <v>#N/A</v>
      </c>
      <c r="L227" s="194" t="e">
        <f>VLOOKUP(K229,Preenchimento!$A:$BV,2,0)</f>
        <v>#N/A</v>
      </c>
      <c r="M227" s="121" t="s">
        <v>295</v>
      </c>
      <c r="O227" s="193" t="e">
        <f>VLOOKUP(N229,Preenchimento!$A:$BV,2,0)</f>
        <v>#N/A</v>
      </c>
      <c r="P227" s="193" t="e">
        <f>VLOOKUP(O229,Preenchimento!$A:$BV,2,0)</f>
        <v>#N/A</v>
      </c>
      <c r="Q227" s="193" t="e">
        <f>VLOOKUP(P229,Preenchimento!$A:$BV,2,0)</f>
        <v>#N/A</v>
      </c>
      <c r="R227" s="194" t="e">
        <f>VLOOKUP(Q229,Preenchimento!$A:$BV,2,0)</f>
        <v>#N/A</v>
      </c>
      <c r="S227" s="121" t="s">
        <v>295</v>
      </c>
      <c r="U227" s="193" t="e">
        <f>VLOOKUP(T229,Preenchimento!$A:$BV,2,0)</f>
        <v>#N/A</v>
      </c>
      <c r="V227" s="193" t="e">
        <f>VLOOKUP(U229,Preenchimento!$A:$BV,2,0)</f>
        <v>#N/A</v>
      </c>
      <c r="W227" s="193" t="e">
        <f>VLOOKUP(V229,Preenchimento!$A:$BV,2,0)</f>
        <v>#N/A</v>
      </c>
      <c r="X227" s="194" t="e">
        <f>VLOOKUP(W229,Preenchimento!$A:$BV,2,0)</f>
        <v>#N/A</v>
      </c>
    </row>
    <row r="228" spans="1:24" ht="9.75" customHeight="1" x14ac:dyDescent="0.15">
      <c r="A228" s="121" t="s">
        <v>296</v>
      </c>
      <c r="B228" s="193" t="e">
        <f>VLOOKUP(B229,Preenchimento!$A:$BV,3,0)</f>
        <v>#N/A</v>
      </c>
      <c r="C228" s="193" t="e">
        <f>VLOOKUP(C229,Preenchimento!$A:$BV,3,0)</f>
        <v>#N/A</v>
      </c>
      <c r="D228" s="120" t="s">
        <v>297</v>
      </c>
      <c r="E228" s="197" t="e">
        <f>VLOOKUP(B229,Preenchimento!$A:$BV,5,0)</f>
        <v>#N/A</v>
      </c>
      <c r="F228" s="198" t="e">
        <f>VLOOKUP(C229,Preenchimento!$A:$BV,5,0)</f>
        <v>#N/A</v>
      </c>
      <c r="G228" s="121" t="s">
        <v>296</v>
      </c>
      <c r="H228" s="193" t="e">
        <f>VLOOKUP(H229,Preenchimento!$A:$BV,3,0)</f>
        <v>#N/A</v>
      </c>
      <c r="I228" s="193" t="e">
        <f>VLOOKUP(I229,Preenchimento!$A:$BV,3,0)</f>
        <v>#N/A</v>
      </c>
      <c r="J228" s="120" t="s">
        <v>297</v>
      </c>
      <c r="K228" s="197" t="e">
        <f>VLOOKUP(H229,Preenchimento!$A:$BV,5,0)</f>
        <v>#N/A</v>
      </c>
      <c r="L228" s="198" t="e">
        <f>VLOOKUP(I229,Preenchimento!$A:$BV,5,0)</f>
        <v>#N/A</v>
      </c>
      <c r="M228" s="121" t="s">
        <v>296</v>
      </c>
      <c r="N228" s="193" t="e">
        <f>VLOOKUP(N229,Preenchimento!$A:$BV,3,0)</f>
        <v>#N/A</v>
      </c>
      <c r="O228" s="193" t="e">
        <f>VLOOKUP(O229,Preenchimento!$A:$BV,3,0)</f>
        <v>#N/A</v>
      </c>
      <c r="P228" s="120" t="s">
        <v>297</v>
      </c>
      <c r="Q228" s="197" t="e">
        <f>VLOOKUP(N229,Preenchimento!$A:$BV,5,0)</f>
        <v>#N/A</v>
      </c>
      <c r="R228" s="198" t="e">
        <f>VLOOKUP(O229,Preenchimento!$A:$BV,5,0)</f>
        <v>#N/A</v>
      </c>
      <c r="S228" s="121" t="s">
        <v>296</v>
      </c>
      <c r="T228" s="193" t="e">
        <f>VLOOKUP(T229,Preenchimento!$A:$BV,3,0)</f>
        <v>#N/A</v>
      </c>
      <c r="U228" s="193" t="e">
        <f>VLOOKUP(U229,Preenchimento!$A:$BV,3,0)</f>
        <v>#N/A</v>
      </c>
      <c r="V228" s="120" t="s">
        <v>297</v>
      </c>
      <c r="W228" s="197" t="e">
        <f>VLOOKUP(T229,Preenchimento!$A:$BV,5,0)</f>
        <v>#N/A</v>
      </c>
      <c r="X228" s="198" t="e">
        <f>VLOOKUP(U229,Preenchimento!$A:$BV,5,0)</f>
        <v>#N/A</v>
      </c>
    </row>
    <row r="229" spans="1:24" ht="9.75" customHeight="1" x14ac:dyDescent="0.15">
      <c r="A229" s="121" t="s">
        <v>298</v>
      </c>
      <c r="B229" s="193"/>
      <c r="C229" s="193"/>
      <c r="D229" s="120" t="s">
        <v>299</v>
      </c>
      <c r="F229" s="131" t="e">
        <f>VLOOKUP(B229,Preenchimento!$A:$BV,10,0)</f>
        <v>#N/A</v>
      </c>
      <c r="G229" s="121" t="s">
        <v>298</v>
      </c>
      <c r="H229" s="193"/>
      <c r="I229" s="193"/>
      <c r="J229" s="120" t="s">
        <v>299</v>
      </c>
      <c r="L229" s="131" t="e">
        <f>VLOOKUP(H229,Preenchimento!$A:$BV,10,0)</f>
        <v>#N/A</v>
      </c>
      <c r="M229" s="121" t="s">
        <v>298</v>
      </c>
      <c r="N229" s="193"/>
      <c r="O229" s="193"/>
      <c r="P229" s="120" t="s">
        <v>299</v>
      </c>
      <c r="R229" s="131" t="e">
        <f>VLOOKUP(N229,Preenchimento!$A:$BV,10,0)</f>
        <v>#N/A</v>
      </c>
      <c r="S229" s="121" t="s">
        <v>298</v>
      </c>
      <c r="T229" s="193"/>
      <c r="U229" s="193"/>
      <c r="V229" s="120" t="s">
        <v>299</v>
      </c>
      <c r="X229" s="131" t="e">
        <f>VLOOKUP(T229,Preenchimento!$A:$BV,10,0)</f>
        <v>#N/A</v>
      </c>
    </row>
    <row r="230" spans="1:24" ht="9.75" customHeight="1" x14ac:dyDescent="0.15">
      <c r="A230" s="121" t="s">
        <v>300</v>
      </c>
      <c r="C230" s="193" t="e">
        <f>VLOOKUP(B229,Preenchimento!$A:$BV,12,0)</f>
        <v>#N/A</v>
      </c>
      <c r="D230" s="193" t="e">
        <f>VLOOKUP(C229,Preenchimento!$A:$BV,12,0)</f>
        <v>#N/A</v>
      </c>
      <c r="E230" s="193" t="e">
        <f>VLOOKUP(D229,Preenchimento!$A:$BV,12,0)</f>
        <v>#N/A</v>
      </c>
      <c r="F230" s="194" t="e">
        <f>VLOOKUP(E229,Preenchimento!$A:$BV,12,0)</f>
        <v>#N/A</v>
      </c>
      <c r="G230" s="121" t="s">
        <v>300</v>
      </c>
      <c r="I230" s="193" t="e">
        <f>VLOOKUP(H229,Preenchimento!$A:$BV,12,0)</f>
        <v>#N/A</v>
      </c>
      <c r="J230" s="193" t="e">
        <f>VLOOKUP(I229,Preenchimento!$A:$BV,12,0)</f>
        <v>#N/A</v>
      </c>
      <c r="K230" s="193" t="e">
        <f>VLOOKUP(J229,Preenchimento!$A:$BV,12,0)</f>
        <v>#N/A</v>
      </c>
      <c r="L230" s="194" t="e">
        <f>VLOOKUP(K229,Preenchimento!$A:$BV,12,0)</f>
        <v>#N/A</v>
      </c>
      <c r="M230" s="121" t="s">
        <v>300</v>
      </c>
      <c r="O230" s="193" t="e">
        <f>VLOOKUP(N229,Preenchimento!$A:$BV,12,0)</f>
        <v>#N/A</v>
      </c>
      <c r="P230" s="193" t="e">
        <f>VLOOKUP(O229,Preenchimento!$A:$BV,12,0)</f>
        <v>#N/A</v>
      </c>
      <c r="Q230" s="193" t="e">
        <f>VLOOKUP(P229,Preenchimento!$A:$BV,12,0)</f>
        <v>#N/A</v>
      </c>
      <c r="R230" s="194" t="e">
        <f>VLOOKUP(Q229,Preenchimento!$A:$BV,12,0)</f>
        <v>#N/A</v>
      </c>
      <c r="S230" s="121" t="s">
        <v>300</v>
      </c>
      <c r="U230" s="193" t="e">
        <f>VLOOKUP(T229,Preenchimento!$A:$BV,12,0)</f>
        <v>#N/A</v>
      </c>
      <c r="V230" s="193" t="e">
        <f>VLOOKUP(U229,Preenchimento!$A:$BV,12,0)</f>
        <v>#N/A</v>
      </c>
      <c r="W230" s="193" t="e">
        <f>VLOOKUP(V229,Preenchimento!$A:$BV,12,0)</f>
        <v>#N/A</v>
      </c>
      <c r="X230" s="194" t="e">
        <f>VLOOKUP(W229,Preenchimento!$A:$BV,12,0)</f>
        <v>#N/A</v>
      </c>
    </row>
    <row r="231" spans="1:24" ht="9.75" customHeight="1" x14ac:dyDescent="0.15">
      <c r="A231" s="123" t="s">
        <v>301</v>
      </c>
      <c r="B231" s="195" t="e">
        <f>IF(VLOOKUP(B229,Preenchimento!$A:$BV,11,0)=0,"",VLOOKUP(B229,Preenchimento!$A:$BV,11,0))</f>
        <v>#N/A</v>
      </c>
      <c r="C231" s="195"/>
      <c r="D231" s="195"/>
      <c r="E231" s="195"/>
      <c r="F231" s="196"/>
      <c r="G231" s="123" t="s">
        <v>301</v>
      </c>
      <c r="H231" s="195" t="e">
        <f>IF(VLOOKUP(H229,Preenchimento!$A:$BV,11,0)=0,"",VLOOKUP(H229,Preenchimento!$A:$BV,11,0))</f>
        <v>#N/A</v>
      </c>
      <c r="I231" s="195"/>
      <c r="J231" s="195"/>
      <c r="K231" s="195"/>
      <c r="L231" s="196"/>
      <c r="M231" s="123" t="s">
        <v>301</v>
      </c>
      <c r="N231" s="195" t="e">
        <f>IF(VLOOKUP(N229,Preenchimento!$A:$BV,11,0)=0,"",VLOOKUP(N229,Preenchimento!$A:$BV,11,0))</f>
        <v>#N/A</v>
      </c>
      <c r="O231" s="195"/>
      <c r="P231" s="195"/>
      <c r="Q231" s="195"/>
      <c r="R231" s="196"/>
      <c r="S231" s="123" t="s">
        <v>301</v>
      </c>
      <c r="T231" s="195" t="e">
        <f>IF(VLOOKUP(T229,Preenchimento!$A:$BV,11,0)=0,"",VLOOKUP(T229,Preenchimento!$A:$BV,11,0))</f>
        <v>#N/A</v>
      </c>
      <c r="U231" s="195"/>
      <c r="V231" s="195"/>
      <c r="W231" s="195"/>
      <c r="X231" s="196"/>
    </row>
    <row r="232" spans="1:24" s="130" customFormat="1" ht="33.950000000000003" customHeight="1" x14ac:dyDescent="0.25">
      <c r="A232" s="199" t="str">
        <f>Sitio!$A$3</f>
        <v>Projeto 01</v>
      </c>
      <c r="B232" s="200"/>
      <c r="C232" s="200"/>
      <c r="D232" s="200"/>
      <c r="E232" s="200"/>
      <c r="F232" s="201"/>
      <c r="G232" s="199" t="str">
        <f>Sitio!$A$3</f>
        <v>Projeto 01</v>
      </c>
      <c r="H232" s="200"/>
      <c r="I232" s="200"/>
      <c r="J232" s="200"/>
      <c r="K232" s="200"/>
      <c r="L232" s="201"/>
      <c r="M232" s="199" t="str">
        <f>Sitio!$A$3</f>
        <v>Projeto 01</v>
      </c>
      <c r="N232" s="200"/>
      <c r="O232" s="200"/>
      <c r="P232" s="200"/>
      <c r="Q232" s="200"/>
      <c r="R232" s="201"/>
      <c r="S232" s="199" t="str">
        <f>Sitio!$A$3</f>
        <v>Projeto 01</v>
      </c>
      <c r="T232" s="200"/>
      <c r="U232" s="200"/>
      <c r="V232" s="200"/>
      <c r="W232" s="200"/>
      <c r="X232" s="201"/>
    </row>
    <row r="233" spans="1:24" ht="9.75" customHeight="1" x14ac:dyDescent="0.15">
      <c r="A233" s="121" t="s">
        <v>294</v>
      </c>
      <c r="B233" s="193">
        <f>Sitio!$E$3</f>
        <v>0</v>
      </c>
      <c r="C233" s="193"/>
      <c r="D233" s="193"/>
      <c r="E233" s="193"/>
      <c r="F233" s="194"/>
      <c r="G233" s="121" t="s">
        <v>294</v>
      </c>
      <c r="H233" s="193">
        <f>Sitio!$E$3</f>
        <v>0</v>
      </c>
      <c r="I233" s="193"/>
      <c r="J233" s="193"/>
      <c r="K233" s="193"/>
      <c r="L233" s="194"/>
      <c r="M233" s="121" t="s">
        <v>294</v>
      </c>
      <c r="N233" s="193">
        <f>Sitio!$E$3</f>
        <v>0</v>
      </c>
      <c r="O233" s="193"/>
      <c r="P233" s="193"/>
      <c r="Q233" s="193"/>
      <c r="R233" s="194"/>
      <c r="S233" s="121" t="s">
        <v>294</v>
      </c>
      <c r="T233" s="193">
        <f>Sitio!$E$3</f>
        <v>0</v>
      </c>
      <c r="U233" s="193"/>
      <c r="V233" s="193"/>
      <c r="W233" s="193"/>
      <c r="X233" s="194"/>
    </row>
    <row r="234" spans="1:24" ht="9.75" customHeight="1" x14ac:dyDescent="0.15">
      <c r="A234" s="121" t="s">
        <v>295</v>
      </c>
      <c r="C234" s="193" t="e">
        <f>VLOOKUP(B236,Preenchimento!$A:$BV,2,0)</f>
        <v>#N/A</v>
      </c>
      <c r="D234" s="193" t="e">
        <f>VLOOKUP(C236,Preenchimento!$A:$BV,2,0)</f>
        <v>#N/A</v>
      </c>
      <c r="E234" s="193" t="e">
        <f>VLOOKUP(D236,Preenchimento!$A:$BV,2,0)</f>
        <v>#N/A</v>
      </c>
      <c r="F234" s="194" t="e">
        <f>VLOOKUP(E236,Preenchimento!$A:$BV,2,0)</f>
        <v>#N/A</v>
      </c>
      <c r="G234" s="121" t="s">
        <v>295</v>
      </c>
      <c r="I234" s="193" t="e">
        <f>VLOOKUP(H236,Preenchimento!$A:$BV,2,0)</f>
        <v>#N/A</v>
      </c>
      <c r="J234" s="193" t="e">
        <f>VLOOKUP(I236,Preenchimento!$A:$BV,2,0)</f>
        <v>#N/A</v>
      </c>
      <c r="K234" s="193" t="e">
        <f>VLOOKUP(J236,Preenchimento!$A:$BV,2,0)</f>
        <v>#N/A</v>
      </c>
      <c r="L234" s="194" t="e">
        <f>VLOOKUP(K236,Preenchimento!$A:$BV,2,0)</f>
        <v>#N/A</v>
      </c>
      <c r="M234" s="121" t="s">
        <v>295</v>
      </c>
      <c r="O234" s="193" t="e">
        <f>VLOOKUP(N236,Preenchimento!$A:$BV,2,0)</f>
        <v>#N/A</v>
      </c>
      <c r="P234" s="193" t="e">
        <f>VLOOKUP(O236,Preenchimento!$A:$BV,2,0)</f>
        <v>#N/A</v>
      </c>
      <c r="Q234" s="193" t="e">
        <f>VLOOKUP(P236,Preenchimento!$A:$BV,2,0)</f>
        <v>#N/A</v>
      </c>
      <c r="R234" s="194" t="e">
        <f>VLOOKUP(Q236,Preenchimento!$A:$BV,2,0)</f>
        <v>#N/A</v>
      </c>
      <c r="S234" s="121" t="s">
        <v>295</v>
      </c>
      <c r="U234" s="193" t="e">
        <f>VLOOKUP(T236,Preenchimento!$A:$BV,2,0)</f>
        <v>#N/A</v>
      </c>
      <c r="V234" s="193" t="e">
        <f>VLOOKUP(U236,Preenchimento!$A:$BV,2,0)</f>
        <v>#N/A</v>
      </c>
      <c r="W234" s="193" t="e">
        <f>VLOOKUP(V236,Preenchimento!$A:$BV,2,0)</f>
        <v>#N/A</v>
      </c>
      <c r="X234" s="194" t="e">
        <f>VLOOKUP(W236,Preenchimento!$A:$BV,2,0)</f>
        <v>#N/A</v>
      </c>
    </row>
    <row r="235" spans="1:24" ht="9.75" customHeight="1" x14ac:dyDescent="0.15">
      <c r="A235" s="121" t="s">
        <v>296</v>
      </c>
      <c r="B235" s="193" t="e">
        <f>VLOOKUP(B236,Preenchimento!$A:$BV,3,0)</f>
        <v>#N/A</v>
      </c>
      <c r="C235" s="193" t="e">
        <f>VLOOKUP(C236,Preenchimento!$A:$BV,3,0)</f>
        <v>#N/A</v>
      </c>
      <c r="D235" s="120" t="s">
        <v>297</v>
      </c>
      <c r="E235" s="197" t="e">
        <f>VLOOKUP(B236,Preenchimento!$A:$BV,5,0)</f>
        <v>#N/A</v>
      </c>
      <c r="F235" s="198" t="e">
        <f>VLOOKUP(C236,Preenchimento!$A:$BV,5,0)</f>
        <v>#N/A</v>
      </c>
      <c r="G235" s="121" t="s">
        <v>296</v>
      </c>
      <c r="H235" s="193" t="e">
        <f>VLOOKUP(H236,Preenchimento!$A:$BV,3,0)</f>
        <v>#N/A</v>
      </c>
      <c r="I235" s="193" t="e">
        <f>VLOOKUP(I236,Preenchimento!$A:$BV,3,0)</f>
        <v>#N/A</v>
      </c>
      <c r="J235" s="120" t="s">
        <v>297</v>
      </c>
      <c r="K235" s="197" t="e">
        <f>VLOOKUP(H236,Preenchimento!$A:$BV,5,0)</f>
        <v>#N/A</v>
      </c>
      <c r="L235" s="198" t="e">
        <f>VLOOKUP(I236,Preenchimento!$A:$BV,5,0)</f>
        <v>#N/A</v>
      </c>
      <c r="M235" s="121" t="s">
        <v>296</v>
      </c>
      <c r="N235" s="193" t="e">
        <f>VLOOKUP(N236,Preenchimento!$A:$BV,3,0)</f>
        <v>#N/A</v>
      </c>
      <c r="O235" s="193" t="e">
        <f>VLOOKUP(O236,Preenchimento!$A:$BV,3,0)</f>
        <v>#N/A</v>
      </c>
      <c r="P235" s="120" t="s">
        <v>297</v>
      </c>
      <c r="Q235" s="197" t="e">
        <f>VLOOKUP(N236,Preenchimento!$A:$BV,5,0)</f>
        <v>#N/A</v>
      </c>
      <c r="R235" s="198" t="e">
        <f>VLOOKUP(O236,Preenchimento!$A:$BV,5,0)</f>
        <v>#N/A</v>
      </c>
      <c r="S235" s="121" t="s">
        <v>296</v>
      </c>
      <c r="T235" s="193" t="e">
        <f>VLOOKUP(T236,Preenchimento!$A:$BV,3,0)</f>
        <v>#N/A</v>
      </c>
      <c r="U235" s="193" t="e">
        <f>VLOOKUP(U236,Preenchimento!$A:$BV,3,0)</f>
        <v>#N/A</v>
      </c>
      <c r="V235" s="120" t="s">
        <v>297</v>
      </c>
      <c r="W235" s="197" t="e">
        <f>VLOOKUP(T236,Preenchimento!$A:$BV,5,0)</f>
        <v>#N/A</v>
      </c>
      <c r="X235" s="198" t="e">
        <f>VLOOKUP(U236,Preenchimento!$A:$BV,5,0)</f>
        <v>#N/A</v>
      </c>
    </row>
    <row r="236" spans="1:24" ht="9.75" customHeight="1" x14ac:dyDescent="0.15">
      <c r="A236" s="121" t="s">
        <v>298</v>
      </c>
      <c r="B236" s="193"/>
      <c r="C236" s="193"/>
      <c r="D236" s="120" t="s">
        <v>299</v>
      </c>
      <c r="F236" s="131" t="e">
        <f>VLOOKUP(B236,Preenchimento!$A:$BV,10,0)</f>
        <v>#N/A</v>
      </c>
      <c r="G236" s="121" t="s">
        <v>298</v>
      </c>
      <c r="H236" s="193"/>
      <c r="I236" s="193"/>
      <c r="J236" s="120" t="s">
        <v>299</v>
      </c>
      <c r="L236" s="131" t="e">
        <f>VLOOKUP(H236,Preenchimento!$A:$BV,10,0)</f>
        <v>#N/A</v>
      </c>
      <c r="M236" s="121" t="s">
        <v>298</v>
      </c>
      <c r="N236" s="193"/>
      <c r="O236" s="193"/>
      <c r="P236" s="120" t="s">
        <v>299</v>
      </c>
      <c r="R236" s="131" t="e">
        <f>VLOOKUP(N236,Preenchimento!$A:$BV,10,0)</f>
        <v>#N/A</v>
      </c>
      <c r="S236" s="121" t="s">
        <v>298</v>
      </c>
      <c r="T236" s="193"/>
      <c r="U236" s="193"/>
      <c r="V236" s="120" t="s">
        <v>299</v>
      </c>
      <c r="X236" s="131" t="e">
        <f>VLOOKUP(T236,Preenchimento!$A:$BV,10,0)</f>
        <v>#N/A</v>
      </c>
    </row>
    <row r="237" spans="1:24" ht="9.75" customHeight="1" x14ac:dyDescent="0.15">
      <c r="A237" s="121" t="s">
        <v>300</v>
      </c>
      <c r="C237" s="193" t="e">
        <f>VLOOKUP(B236,Preenchimento!$A:$BV,12,0)</f>
        <v>#N/A</v>
      </c>
      <c r="D237" s="193" t="e">
        <f>VLOOKUP(C236,Preenchimento!$A:$BV,12,0)</f>
        <v>#N/A</v>
      </c>
      <c r="E237" s="193" t="e">
        <f>VLOOKUP(D236,Preenchimento!$A:$BV,12,0)</f>
        <v>#N/A</v>
      </c>
      <c r="F237" s="194" t="e">
        <f>VLOOKUP(E236,Preenchimento!$A:$BV,12,0)</f>
        <v>#N/A</v>
      </c>
      <c r="G237" s="121" t="s">
        <v>300</v>
      </c>
      <c r="I237" s="193" t="e">
        <f>VLOOKUP(H236,Preenchimento!$A:$BV,12,0)</f>
        <v>#N/A</v>
      </c>
      <c r="J237" s="193" t="e">
        <f>VLOOKUP(I236,Preenchimento!$A:$BV,12,0)</f>
        <v>#N/A</v>
      </c>
      <c r="K237" s="193" t="e">
        <f>VLOOKUP(J236,Preenchimento!$A:$BV,12,0)</f>
        <v>#N/A</v>
      </c>
      <c r="L237" s="194" t="e">
        <f>VLOOKUP(K236,Preenchimento!$A:$BV,12,0)</f>
        <v>#N/A</v>
      </c>
      <c r="M237" s="121" t="s">
        <v>300</v>
      </c>
      <c r="O237" s="193" t="e">
        <f>VLOOKUP(N236,Preenchimento!$A:$BV,12,0)</f>
        <v>#N/A</v>
      </c>
      <c r="P237" s="193" t="e">
        <f>VLOOKUP(O236,Preenchimento!$A:$BV,12,0)</f>
        <v>#N/A</v>
      </c>
      <c r="Q237" s="193" t="e">
        <f>VLOOKUP(P236,Preenchimento!$A:$BV,12,0)</f>
        <v>#N/A</v>
      </c>
      <c r="R237" s="194" t="e">
        <f>VLOOKUP(Q236,Preenchimento!$A:$BV,12,0)</f>
        <v>#N/A</v>
      </c>
      <c r="S237" s="121" t="s">
        <v>300</v>
      </c>
      <c r="U237" s="193" t="e">
        <f>VLOOKUP(T236,Preenchimento!$A:$BV,12,0)</f>
        <v>#N/A</v>
      </c>
      <c r="V237" s="193" t="e">
        <f>VLOOKUP(U236,Preenchimento!$A:$BV,12,0)</f>
        <v>#N/A</v>
      </c>
      <c r="W237" s="193" t="e">
        <f>VLOOKUP(V236,Preenchimento!$A:$BV,12,0)</f>
        <v>#N/A</v>
      </c>
      <c r="X237" s="194" t="e">
        <f>VLOOKUP(W236,Preenchimento!$A:$BV,12,0)</f>
        <v>#N/A</v>
      </c>
    </row>
    <row r="238" spans="1:24" ht="9.75" customHeight="1" x14ac:dyDescent="0.15">
      <c r="A238" s="123" t="s">
        <v>301</v>
      </c>
      <c r="B238" s="195" t="e">
        <f>IF(VLOOKUP(B236,Preenchimento!$A:$BV,11,0)=0,"",VLOOKUP(B236,Preenchimento!$A:$BV,11,0))</f>
        <v>#N/A</v>
      </c>
      <c r="C238" s="195"/>
      <c r="D238" s="195"/>
      <c r="E238" s="195"/>
      <c r="F238" s="196"/>
      <c r="G238" s="123" t="s">
        <v>301</v>
      </c>
      <c r="H238" s="195" t="e">
        <f>IF(VLOOKUP(H236,Preenchimento!$A:$BV,11,0)=0,"",VLOOKUP(H236,Preenchimento!$A:$BV,11,0))</f>
        <v>#N/A</v>
      </c>
      <c r="I238" s="195"/>
      <c r="J238" s="195"/>
      <c r="K238" s="195"/>
      <c r="L238" s="196"/>
      <c r="M238" s="123" t="s">
        <v>301</v>
      </c>
      <c r="N238" s="195" t="e">
        <f>IF(VLOOKUP(N236,Preenchimento!$A:$BV,11,0)=0,"",VLOOKUP(N236,Preenchimento!$A:$BV,11,0))</f>
        <v>#N/A</v>
      </c>
      <c r="O238" s="195"/>
      <c r="P238" s="195"/>
      <c r="Q238" s="195"/>
      <c r="R238" s="196"/>
      <c r="S238" s="123" t="s">
        <v>301</v>
      </c>
      <c r="T238" s="195" t="e">
        <f>IF(VLOOKUP(T236,Preenchimento!$A:$BV,11,0)=0,"",VLOOKUP(T236,Preenchimento!$A:$BV,11,0))</f>
        <v>#N/A</v>
      </c>
      <c r="U238" s="195"/>
      <c r="V238" s="195"/>
      <c r="W238" s="195"/>
      <c r="X238" s="196"/>
    </row>
    <row r="239" spans="1:24" s="130" customFormat="1" ht="33.950000000000003" customHeight="1" x14ac:dyDescent="0.25">
      <c r="A239" s="199" t="str">
        <f>Sitio!$A$3</f>
        <v>Projeto 01</v>
      </c>
      <c r="B239" s="200"/>
      <c r="C239" s="200"/>
      <c r="D239" s="200"/>
      <c r="E239" s="200"/>
      <c r="F239" s="201"/>
      <c r="G239" s="199" t="str">
        <f>Sitio!$A$3</f>
        <v>Projeto 01</v>
      </c>
      <c r="H239" s="200"/>
      <c r="I239" s="200"/>
      <c r="J239" s="200"/>
      <c r="K239" s="200"/>
      <c r="L239" s="201"/>
      <c r="M239" s="199" t="str">
        <f>Sitio!$A$3</f>
        <v>Projeto 01</v>
      </c>
      <c r="N239" s="200"/>
      <c r="O239" s="200"/>
      <c r="P239" s="200"/>
      <c r="Q239" s="200"/>
      <c r="R239" s="201"/>
      <c r="S239" s="199" t="str">
        <f>Sitio!$A$3</f>
        <v>Projeto 01</v>
      </c>
      <c r="T239" s="200"/>
      <c r="U239" s="200"/>
      <c r="V239" s="200"/>
      <c r="W239" s="200"/>
      <c r="X239" s="201"/>
    </row>
    <row r="240" spans="1:24" ht="9.75" customHeight="1" x14ac:dyDescent="0.15">
      <c r="A240" s="121" t="s">
        <v>294</v>
      </c>
      <c r="B240" s="193">
        <f>Sitio!$E$3</f>
        <v>0</v>
      </c>
      <c r="C240" s="193"/>
      <c r="D240" s="193"/>
      <c r="E240" s="193"/>
      <c r="F240" s="194"/>
      <c r="G240" s="121" t="s">
        <v>294</v>
      </c>
      <c r="H240" s="193">
        <f>Sitio!$E$3</f>
        <v>0</v>
      </c>
      <c r="I240" s="193"/>
      <c r="J240" s="193"/>
      <c r="K240" s="193"/>
      <c r="L240" s="194"/>
      <c r="M240" s="121" t="s">
        <v>294</v>
      </c>
      <c r="N240" s="193">
        <f>Sitio!$E$3</f>
        <v>0</v>
      </c>
      <c r="O240" s="193"/>
      <c r="P240" s="193"/>
      <c r="Q240" s="193"/>
      <c r="R240" s="194"/>
      <c r="S240" s="121" t="s">
        <v>294</v>
      </c>
      <c r="T240" s="193">
        <f>Sitio!$E$3</f>
        <v>0</v>
      </c>
      <c r="U240" s="193"/>
      <c r="V240" s="193"/>
      <c r="W240" s="193"/>
      <c r="X240" s="194"/>
    </row>
    <row r="241" spans="1:24" ht="9.75" customHeight="1" x14ac:dyDescent="0.15">
      <c r="A241" s="121" t="s">
        <v>295</v>
      </c>
      <c r="C241" s="193" t="e">
        <f>VLOOKUP(B243,Preenchimento!$A:$BV,2,0)</f>
        <v>#N/A</v>
      </c>
      <c r="D241" s="193" t="e">
        <f>VLOOKUP(C243,Preenchimento!$A:$BV,2,0)</f>
        <v>#N/A</v>
      </c>
      <c r="E241" s="193" t="e">
        <f>VLOOKUP(D243,Preenchimento!$A:$BV,2,0)</f>
        <v>#N/A</v>
      </c>
      <c r="F241" s="194" t="e">
        <f>VLOOKUP(E243,Preenchimento!$A:$BV,2,0)</f>
        <v>#N/A</v>
      </c>
      <c r="G241" s="121" t="s">
        <v>295</v>
      </c>
      <c r="I241" s="193" t="e">
        <f>VLOOKUP(H243,Preenchimento!$A:$BV,2,0)</f>
        <v>#N/A</v>
      </c>
      <c r="J241" s="193" t="e">
        <f>VLOOKUP(I243,Preenchimento!$A:$BV,2,0)</f>
        <v>#N/A</v>
      </c>
      <c r="K241" s="193" t="e">
        <f>VLOOKUP(J243,Preenchimento!$A:$BV,2,0)</f>
        <v>#N/A</v>
      </c>
      <c r="L241" s="194" t="e">
        <f>VLOOKUP(K243,Preenchimento!$A:$BV,2,0)</f>
        <v>#N/A</v>
      </c>
      <c r="M241" s="121" t="s">
        <v>295</v>
      </c>
      <c r="O241" s="193" t="e">
        <f>VLOOKUP(N243,Preenchimento!$A:$BV,2,0)</f>
        <v>#N/A</v>
      </c>
      <c r="P241" s="193" t="e">
        <f>VLOOKUP(O243,Preenchimento!$A:$BV,2,0)</f>
        <v>#N/A</v>
      </c>
      <c r="Q241" s="193" t="e">
        <f>VLOOKUP(P243,Preenchimento!$A:$BV,2,0)</f>
        <v>#N/A</v>
      </c>
      <c r="R241" s="194" t="e">
        <f>VLOOKUP(Q243,Preenchimento!$A:$BV,2,0)</f>
        <v>#N/A</v>
      </c>
      <c r="S241" s="121" t="s">
        <v>295</v>
      </c>
      <c r="U241" s="193" t="e">
        <f>VLOOKUP(T243,Preenchimento!$A:$BV,2,0)</f>
        <v>#N/A</v>
      </c>
      <c r="V241" s="193" t="e">
        <f>VLOOKUP(U243,Preenchimento!$A:$BV,2,0)</f>
        <v>#N/A</v>
      </c>
      <c r="W241" s="193" t="e">
        <f>VLOOKUP(V243,Preenchimento!$A:$BV,2,0)</f>
        <v>#N/A</v>
      </c>
      <c r="X241" s="194" t="e">
        <f>VLOOKUP(W243,Preenchimento!$A:$BV,2,0)</f>
        <v>#N/A</v>
      </c>
    </row>
    <row r="242" spans="1:24" ht="9.75" customHeight="1" x14ac:dyDescent="0.15">
      <c r="A242" s="121" t="s">
        <v>296</v>
      </c>
      <c r="B242" s="193" t="e">
        <f>VLOOKUP(B243,Preenchimento!$A:$BV,3,0)</f>
        <v>#N/A</v>
      </c>
      <c r="C242" s="193" t="e">
        <f>VLOOKUP(C243,Preenchimento!$A:$BV,3,0)</f>
        <v>#N/A</v>
      </c>
      <c r="D242" s="120" t="s">
        <v>297</v>
      </c>
      <c r="E242" s="197" t="e">
        <f>VLOOKUP(B243,Preenchimento!$A:$BV,5,0)</f>
        <v>#N/A</v>
      </c>
      <c r="F242" s="198" t="e">
        <f>VLOOKUP(C243,Preenchimento!$A:$BV,5,0)</f>
        <v>#N/A</v>
      </c>
      <c r="G242" s="121" t="s">
        <v>296</v>
      </c>
      <c r="H242" s="193" t="e">
        <f>VLOOKUP(H243,Preenchimento!$A:$BV,3,0)</f>
        <v>#N/A</v>
      </c>
      <c r="I242" s="193" t="e">
        <f>VLOOKUP(I243,Preenchimento!$A:$BV,3,0)</f>
        <v>#N/A</v>
      </c>
      <c r="J242" s="120" t="s">
        <v>297</v>
      </c>
      <c r="K242" s="197" t="e">
        <f>VLOOKUP(H243,Preenchimento!$A:$BV,5,0)</f>
        <v>#N/A</v>
      </c>
      <c r="L242" s="198" t="e">
        <f>VLOOKUP(I243,Preenchimento!$A:$BV,5,0)</f>
        <v>#N/A</v>
      </c>
      <c r="M242" s="121" t="s">
        <v>296</v>
      </c>
      <c r="N242" s="193" t="e">
        <f>VLOOKUP(N243,Preenchimento!$A:$BV,3,0)</f>
        <v>#N/A</v>
      </c>
      <c r="O242" s="193" t="e">
        <f>VLOOKUP(O243,Preenchimento!$A:$BV,3,0)</f>
        <v>#N/A</v>
      </c>
      <c r="P242" s="120" t="s">
        <v>297</v>
      </c>
      <c r="Q242" s="197" t="e">
        <f>VLOOKUP(N243,Preenchimento!$A:$BV,5,0)</f>
        <v>#N/A</v>
      </c>
      <c r="R242" s="198" t="e">
        <f>VLOOKUP(O243,Preenchimento!$A:$BV,5,0)</f>
        <v>#N/A</v>
      </c>
      <c r="S242" s="121" t="s">
        <v>296</v>
      </c>
      <c r="T242" s="193" t="e">
        <f>VLOOKUP(T243,Preenchimento!$A:$BV,3,0)</f>
        <v>#N/A</v>
      </c>
      <c r="U242" s="193" t="e">
        <f>VLOOKUP(U243,Preenchimento!$A:$BV,3,0)</f>
        <v>#N/A</v>
      </c>
      <c r="V242" s="120" t="s">
        <v>297</v>
      </c>
      <c r="W242" s="197" t="e">
        <f>VLOOKUP(T243,Preenchimento!$A:$BV,5,0)</f>
        <v>#N/A</v>
      </c>
      <c r="X242" s="198" t="e">
        <f>VLOOKUP(U243,Preenchimento!$A:$BV,5,0)</f>
        <v>#N/A</v>
      </c>
    </row>
    <row r="243" spans="1:24" ht="9.75" customHeight="1" x14ac:dyDescent="0.15">
      <c r="A243" s="121" t="s">
        <v>298</v>
      </c>
      <c r="B243" s="193"/>
      <c r="C243" s="193"/>
      <c r="D243" s="120" t="s">
        <v>299</v>
      </c>
      <c r="F243" s="131" t="e">
        <f>VLOOKUP(B243,Preenchimento!$A:$BV,10,0)</f>
        <v>#N/A</v>
      </c>
      <c r="G243" s="121" t="s">
        <v>298</v>
      </c>
      <c r="H243" s="193"/>
      <c r="I243" s="193"/>
      <c r="J243" s="120" t="s">
        <v>299</v>
      </c>
      <c r="L243" s="131" t="e">
        <f>VLOOKUP(H243,Preenchimento!$A:$BV,10,0)</f>
        <v>#N/A</v>
      </c>
      <c r="M243" s="121" t="s">
        <v>298</v>
      </c>
      <c r="N243" s="193"/>
      <c r="O243" s="193"/>
      <c r="P243" s="120" t="s">
        <v>299</v>
      </c>
      <c r="R243" s="131" t="e">
        <f>VLOOKUP(N243,Preenchimento!$A:$BV,10,0)</f>
        <v>#N/A</v>
      </c>
      <c r="S243" s="121" t="s">
        <v>298</v>
      </c>
      <c r="T243" s="193"/>
      <c r="U243" s="193"/>
      <c r="V243" s="120" t="s">
        <v>299</v>
      </c>
      <c r="X243" s="131" t="e">
        <f>VLOOKUP(T243,Preenchimento!$A:$BV,10,0)</f>
        <v>#N/A</v>
      </c>
    </row>
    <row r="244" spans="1:24" ht="9.75" customHeight="1" x14ac:dyDescent="0.15">
      <c r="A244" s="121" t="s">
        <v>300</v>
      </c>
      <c r="C244" s="193" t="e">
        <f>VLOOKUP(B243,Preenchimento!$A:$BV,12,0)</f>
        <v>#N/A</v>
      </c>
      <c r="D244" s="193" t="e">
        <f>VLOOKUP(C243,Preenchimento!$A:$BV,12,0)</f>
        <v>#N/A</v>
      </c>
      <c r="E244" s="193" t="e">
        <f>VLOOKUP(D243,Preenchimento!$A:$BV,12,0)</f>
        <v>#N/A</v>
      </c>
      <c r="F244" s="194" t="e">
        <f>VLOOKUP(E243,Preenchimento!$A:$BV,12,0)</f>
        <v>#N/A</v>
      </c>
      <c r="G244" s="121" t="s">
        <v>300</v>
      </c>
      <c r="I244" s="193" t="e">
        <f>VLOOKUP(H243,Preenchimento!$A:$BV,12,0)</f>
        <v>#N/A</v>
      </c>
      <c r="J244" s="193" t="e">
        <f>VLOOKUP(I243,Preenchimento!$A:$BV,12,0)</f>
        <v>#N/A</v>
      </c>
      <c r="K244" s="193" t="e">
        <f>VLOOKUP(J243,Preenchimento!$A:$BV,12,0)</f>
        <v>#N/A</v>
      </c>
      <c r="L244" s="194" t="e">
        <f>VLOOKUP(K243,Preenchimento!$A:$BV,12,0)</f>
        <v>#N/A</v>
      </c>
      <c r="M244" s="121" t="s">
        <v>300</v>
      </c>
      <c r="O244" s="193" t="e">
        <f>VLOOKUP(N243,Preenchimento!$A:$BV,12,0)</f>
        <v>#N/A</v>
      </c>
      <c r="P244" s="193" t="e">
        <f>VLOOKUP(O243,Preenchimento!$A:$BV,12,0)</f>
        <v>#N/A</v>
      </c>
      <c r="Q244" s="193" t="e">
        <f>VLOOKUP(P243,Preenchimento!$A:$BV,12,0)</f>
        <v>#N/A</v>
      </c>
      <c r="R244" s="194" t="e">
        <f>VLOOKUP(Q243,Preenchimento!$A:$BV,12,0)</f>
        <v>#N/A</v>
      </c>
      <c r="S244" s="121" t="s">
        <v>300</v>
      </c>
      <c r="U244" s="193" t="e">
        <f>VLOOKUP(T243,Preenchimento!$A:$BV,12,0)</f>
        <v>#N/A</v>
      </c>
      <c r="V244" s="193" t="e">
        <f>VLOOKUP(U243,Preenchimento!$A:$BV,12,0)</f>
        <v>#N/A</v>
      </c>
      <c r="W244" s="193" t="e">
        <f>VLOOKUP(V243,Preenchimento!$A:$BV,12,0)</f>
        <v>#N/A</v>
      </c>
      <c r="X244" s="194" t="e">
        <f>VLOOKUP(W243,Preenchimento!$A:$BV,12,0)</f>
        <v>#N/A</v>
      </c>
    </row>
    <row r="245" spans="1:24" ht="9.75" customHeight="1" x14ac:dyDescent="0.15">
      <c r="A245" s="123" t="s">
        <v>301</v>
      </c>
      <c r="B245" s="195" t="e">
        <f>IF(VLOOKUP(B243,Preenchimento!$A:$BV,11,0)=0,"",VLOOKUP(B243,Preenchimento!$A:$BV,11,0))</f>
        <v>#N/A</v>
      </c>
      <c r="C245" s="195"/>
      <c r="D245" s="195"/>
      <c r="E245" s="195"/>
      <c r="F245" s="196"/>
      <c r="G245" s="123" t="s">
        <v>301</v>
      </c>
      <c r="H245" s="195" t="e">
        <f>IF(VLOOKUP(H243,Preenchimento!$A:$BV,11,0)=0,"",VLOOKUP(H243,Preenchimento!$A:$BV,11,0))</f>
        <v>#N/A</v>
      </c>
      <c r="I245" s="195"/>
      <c r="J245" s="195"/>
      <c r="K245" s="195"/>
      <c r="L245" s="196"/>
      <c r="M245" s="123" t="s">
        <v>301</v>
      </c>
      <c r="N245" s="195" t="e">
        <f>IF(VLOOKUP(N243,Preenchimento!$A:$BV,11,0)=0,"",VLOOKUP(N243,Preenchimento!$A:$BV,11,0))</f>
        <v>#N/A</v>
      </c>
      <c r="O245" s="195"/>
      <c r="P245" s="195"/>
      <c r="Q245" s="195"/>
      <c r="R245" s="196"/>
      <c r="S245" s="123" t="s">
        <v>301</v>
      </c>
      <c r="T245" s="195" t="e">
        <f>IF(VLOOKUP(T243,Preenchimento!$A:$BV,11,0)=0,"",VLOOKUP(T243,Preenchimento!$A:$BV,11,0))</f>
        <v>#N/A</v>
      </c>
      <c r="U245" s="195"/>
      <c r="V245" s="195"/>
      <c r="W245" s="195"/>
      <c r="X245" s="196"/>
    </row>
    <row r="246" spans="1:24" s="130" customFormat="1" ht="33.950000000000003" customHeight="1" x14ac:dyDescent="0.25">
      <c r="A246" s="199" t="str">
        <f>Sitio!$A$3</f>
        <v>Projeto 01</v>
      </c>
      <c r="B246" s="200"/>
      <c r="C246" s="200"/>
      <c r="D246" s="200"/>
      <c r="E246" s="200"/>
      <c r="F246" s="201"/>
      <c r="G246" s="199" t="str">
        <f>Sitio!$A$3</f>
        <v>Projeto 01</v>
      </c>
      <c r="H246" s="200"/>
      <c r="I246" s="200"/>
      <c r="J246" s="200"/>
      <c r="K246" s="200"/>
      <c r="L246" s="201"/>
      <c r="M246" s="199" t="str">
        <f>Sitio!$A$3</f>
        <v>Projeto 01</v>
      </c>
      <c r="N246" s="200"/>
      <c r="O246" s="200"/>
      <c r="P246" s="200"/>
      <c r="Q246" s="200"/>
      <c r="R246" s="201"/>
      <c r="S246" s="199" t="str">
        <f>Sitio!$A$3</f>
        <v>Projeto 01</v>
      </c>
      <c r="T246" s="200"/>
      <c r="U246" s="200"/>
      <c r="V246" s="200"/>
      <c r="W246" s="200"/>
      <c r="X246" s="201"/>
    </row>
    <row r="247" spans="1:24" ht="9.75" customHeight="1" x14ac:dyDescent="0.15">
      <c r="A247" s="121" t="s">
        <v>294</v>
      </c>
      <c r="B247" s="193">
        <f>Sitio!$E$3</f>
        <v>0</v>
      </c>
      <c r="C247" s="193"/>
      <c r="D247" s="193"/>
      <c r="E247" s="193"/>
      <c r="F247" s="194"/>
      <c r="G247" s="121" t="s">
        <v>294</v>
      </c>
      <c r="H247" s="193">
        <f>Sitio!$E$3</f>
        <v>0</v>
      </c>
      <c r="I247" s="193"/>
      <c r="J247" s="193"/>
      <c r="K247" s="193"/>
      <c r="L247" s="194"/>
      <c r="M247" s="121" t="s">
        <v>294</v>
      </c>
      <c r="N247" s="193">
        <f>Sitio!$E$3</f>
        <v>0</v>
      </c>
      <c r="O247" s="193"/>
      <c r="P247" s="193"/>
      <c r="Q247" s="193"/>
      <c r="R247" s="194"/>
      <c r="S247" s="121" t="s">
        <v>294</v>
      </c>
      <c r="T247" s="193">
        <f>Sitio!$E$3</f>
        <v>0</v>
      </c>
      <c r="U247" s="193"/>
      <c r="V247" s="193"/>
      <c r="W247" s="193"/>
      <c r="X247" s="194"/>
    </row>
    <row r="248" spans="1:24" ht="9.75" customHeight="1" x14ac:dyDescent="0.15">
      <c r="A248" s="121" t="s">
        <v>295</v>
      </c>
      <c r="C248" s="193" t="e">
        <f>VLOOKUP(B250,Preenchimento!$A:$BV,2,0)</f>
        <v>#N/A</v>
      </c>
      <c r="D248" s="193" t="e">
        <f>VLOOKUP(C250,Preenchimento!$A:$BV,2,0)</f>
        <v>#N/A</v>
      </c>
      <c r="E248" s="193" t="e">
        <f>VLOOKUP(D250,Preenchimento!$A:$BV,2,0)</f>
        <v>#N/A</v>
      </c>
      <c r="F248" s="194" t="e">
        <f>VLOOKUP(E250,Preenchimento!$A:$BV,2,0)</f>
        <v>#N/A</v>
      </c>
      <c r="G248" s="121" t="s">
        <v>295</v>
      </c>
      <c r="I248" s="193" t="e">
        <f>VLOOKUP(H250,Preenchimento!$A:$BV,2,0)</f>
        <v>#N/A</v>
      </c>
      <c r="J248" s="193" t="e">
        <f>VLOOKUP(I250,Preenchimento!$A:$BV,2,0)</f>
        <v>#N/A</v>
      </c>
      <c r="K248" s="193" t="e">
        <f>VLOOKUP(J250,Preenchimento!$A:$BV,2,0)</f>
        <v>#N/A</v>
      </c>
      <c r="L248" s="194" t="e">
        <f>VLOOKUP(K250,Preenchimento!$A:$BV,2,0)</f>
        <v>#N/A</v>
      </c>
      <c r="M248" s="121" t="s">
        <v>295</v>
      </c>
      <c r="O248" s="193" t="e">
        <f>VLOOKUP(N250,Preenchimento!$A:$BV,2,0)</f>
        <v>#N/A</v>
      </c>
      <c r="P248" s="193" t="e">
        <f>VLOOKUP(O250,Preenchimento!$A:$BV,2,0)</f>
        <v>#N/A</v>
      </c>
      <c r="Q248" s="193" t="e">
        <f>VLOOKUP(P250,Preenchimento!$A:$BV,2,0)</f>
        <v>#N/A</v>
      </c>
      <c r="R248" s="194" t="e">
        <f>VLOOKUP(Q250,Preenchimento!$A:$BV,2,0)</f>
        <v>#N/A</v>
      </c>
      <c r="S248" s="121" t="s">
        <v>295</v>
      </c>
      <c r="U248" s="193" t="e">
        <f>VLOOKUP(T250,Preenchimento!$A:$BV,2,0)</f>
        <v>#N/A</v>
      </c>
      <c r="V248" s="193" t="e">
        <f>VLOOKUP(U250,Preenchimento!$A:$BV,2,0)</f>
        <v>#N/A</v>
      </c>
      <c r="W248" s="193" t="e">
        <f>VLOOKUP(V250,Preenchimento!$A:$BV,2,0)</f>
        <v>#N/A</v>
      </c>
      <c r="X248" s="194" t="e">
        <f>VLOOKUP(W250,Preenchimento!$A:$BV,2,0)</f>
        <v>#N/A</v>
      </c>
    </row>
    <row r="249" spans="1:24" ht="9.75" customHeight="1" x14ac:dyDescent="0.15">
      <c r="A249" s="121" t="s">
        <v>296</v>
      </c>
      <c r="B249" s="193" t="e">
        <f>VLOOKUP(B250,Preenchimento!$A:$BV,3,0)</f>
        <v>#N/A</v>
      </c>
      <c r="C249" s="193" t="e">
        <f>VLOOKUP(C250,Preenchimento!$A:$BV,3,0)</f>
        <v>#N/A</v>
      </c>
      <c r="D249" s="120" t="s">
        <v>297</v>
      </c>
      <c r="E249" s="197" t="e">
        <f>VLOOKUP(B250,Preenchimento!$A:$BV,5,0)</f>
        <v>#N/A</v>
      </c>
      <c r="F249" s="198" t="e">
        <f>VLOOKUP(C250,Preenchimento!$A:$BV,5,0)</f>
        <v>#N/A</v>
      </c>
      <c r="G249" s="121" t="s">
        <v>296</v>
      </c>
      <c r="H249" s="193" t="e">
        <f>VLOOKUP(H250,Preenchimento!$A:$BV,3,0)</f>
        <v>#N/A</v>
      </c>
      <c r="I249" s="193" t="e">
        <f>VLOOKUP(I250,Preenchimento!$A:$BV,3,0)</f>
        <v>#N/A</v>
      </c>
      <c r="J249" s="120" t="s">
        <v>297</v>
      </c>
      <c r="K249" s="197" t="e">
        <f>VLOOKUP(H250,Preenchimento!$A:$BV,5,0)</f>
        <v>#N/A</v>
      </c>
      <c r="L249" s="198" t="e">
        <f>VLOOKUP(I250,Preenchimento!$A:$BV,5,0)</f>
        <v>#N/A</v>
      </c>
      <c r="M249" s="121" t="s">
        <v>296</v>
      </c>
      <c r="N249" s="193" t="e">
        <f>VLOOKUP(N250,Preenchimento!$A:$BV,3,0)</f>
        <v>#N/A</v>
      </c>
      <c r="O249" s="193" t="e">
        <f>VLOOKUP(O250,Preenchimento!$A:$BV,3,0)</f>
        <v>#N/A</v>
      </c>
      <c r="P249" s="120" t="s">
        <v>297</v>
      </c>
      <c r="Q249" s="197" t="e">
        <f>VLOOKUP(N250,Preenchimento!$A:$BV,5,0)</f>
        <v>#N/A</v>
      </c>
      <c r="R249" s="198" t="e">
        <f>VLOOKUP(O250,Preenchimento!$A:$BV,5,0)</f>
        <v>#N/A</v>
      </c>
      <c r="S249" s="121" t="s">
        <v>296</v>
      </c>
      <c r="T249" s="193" t="e">
        <f>VLOOKUP(T250,Preenchimento!$A:$BV,3,0)</f>
        <v>#N/A</v>
      </c>
      <c r="U249" s="193" t="e">
        <f>VLOOKUP(U250,Preenchimento!$A:$BV,3,0)</f>
        <v>#N/A</v>
      </c>
      <c r="V249" s="120" t="s">
        <v>297</v>
      </c>
      <c r="W249" s="197" t="e">
        <f>VLOOKUP(T250,Preenchimento!$A:$BV,5,0)</f>
        <v>#N/A</v>
      </c>
      <c r="X249" s="198" t="e">
        <f>VLOOKUP(U250,Preenchimento!$A:$BV,5,0)</f>
        <v>#N/A</v>
      </c>
    </row>
    <row r="250" spans="1:24" ht="9.75" customHeight="1" x14ac:dyDescent="0.15">
      <c r="A250" s="121" t="s">
        <v>298</v>
      </c>
      <c r="B250" s="193"/>
      <c r="C250" s="193"/>
      <c r="D250" s="120" t="s">
        <v>299</v>
      </c>
      <c r="F250" s="131" t="e">
        <f>VLOOKUP(B250,Preenchimento!$A:$BV,10,0)</f>
        <v>#N/A</v>
      </c>
      <c r="G250" s="121" t="s">
        <v>298</v>
      </c>
      <c r="H250" s="193"/>
      <c r="I250" s="193"/>
      <c r="J250" s="120" t="s">
        <v>299</v>
      </c>
      <c r="L250" s="131" t="e">
        <f>VLOOKUP(H250,Preenchimento!$A:$BV,10,0)</f>
        <v>#N/A</v>
      </c>
      <c r="M250" s="121" t="s">
        <v>298</v>
      </c>
      <c r="N250" s="193"/>
      <c r="O250" s="193"/>
      <c r="P250" s="120" t="s">
        <v>299</v>
      </c>
      <c r="R250" s="131" t="e">
        <f>VLOOKUP(N250,Preenchimento!$A:$BV,10,0)</f>
        <v>#N/A</v>
      </c>
      <c r="S250" s="121" t="s">
        <v>298</v>
      </c>
      <c r="T250" s="193"/>
      <c r="U250" s="193"/>
      <c r="V250" s="120" t="s">
        <v>299</v>
      </c>
      <c r="X250" s="131" t="e">
        <f>VLOOKUP(T250,Preenchimento!$A:$BV,10,0)</f>
        <v>#N/A</v>
      </c>
    </row>
    <row r="251" spans="1:24" ht="9.75" customHeight="1" x14ac:dyDescent="0.15">
      <c r="A251" s="121" t="s">
        <v>300</v>
      </c>
      <c r="C251" s="193" t="e">
        <f>VLOOKUP(B250,Preenchimento!$A:$BV,12,0)</f>
        <v>#N/A</v>
      </c>
      <c r="D251" s="193" t="e">
        <f>VLOOKUP(C250,Preenchimento!$A:$BV,12,0)</f>
        <v>#N/A</v>
      </c>
      <c r="E251" s="193" t="e">
        <f>VLOOKUP(D250,Preenchimento!$A:$BV,12,0)</f>
        <v>#N/A</v>
      </c>
      <c r="F251" s="194" t="e">
        <f>VLOOKUP(E250,Preenchimento!$A:$BV,12,0)</f>
        <v>#N/A</v>
      </c>
      <c r="G251" s="121" t="s">
        <v>300</v>
      </c>
      <c r="I251" s="193" t="e">
        <f>VLOOKUP(H250,Preenchimento!$A:$BV,12,0)</f>
        <v>#N/A</v>
      </c>
      <c r="J251" s="193" t="e">
        <f>VLOOKUP(I250,Preenchimento!$A:$BV,12,0)</f>
        <v>#N/A</v>
      </c>
      <c r="K251" s="193" t="e">
        <f>VLOOKUP(J250,Preenchimento!$A:$BV,12,0)</f>
        <v>#N/A</v>
      </c>
      <c r="L251" s="194" t="e">
        <f>VLOOKUP(K250,Preenchimento!$A:$BV,12,0)</f>
        <v>#N/A</v>
      </c>
      <c r="M251" s="121" t="s">
        <v>300</v>
      </c>
      <c r="O251" s="193" t="e">
        <f>VLOOKUP(N250,Preenchimento!$A:$BV,12,0)</f>
        <v>#N/A</v>
      </c>
      <c r="P251" s="193" t="e">
        <f>VLOOKUP(O250,Preenchimento!$A:$BV,12,0)</f>
        <v>#N/A</v>
      </c>
      <c r="Q251" s="193" t="e">
        <f>VLOOKUP(P250,Preenchimento!$A:$BV,12,0)</f>
        <v>#N/A</v>
      </c>
      <c r="R251" s="194" t="e">
        <f>VLOOKUP(Q250,Preenchimento!$A:$BV,12,0)</f>
        <v>#N/A</v>
      </c>
      <c r="S251" s="121" t="s">
        <v>300</v>
      </c>
      <c r="U251" s="193" t="e">
        <f>VLOOKUP(T250,Preenchimento!$A:$BV,12,0)</f>
        <v>#N/A</v>
      </c>
      <c r="V251" s="193" t="e">
        <f>VLOOKUP(U250,Preenchimento!$A:$BV,12,0)</f>
        <v>#N/A</v>
      </c>
      <c r="W251" s="193" t="e">
        <f>VLOOKUP(V250,Preenchimento!$A:$BV,12,0)</f>
        <v>#N/A</v>
      </c>
      <c r="X251" s="194" t="e">
        <f>VLOOKUP(W250,Preenchimento!$A:$BV,12,0)</f>
        <v>#N/A</v>
      </c>
    </row>
    <row r="252" spans="1:24" ht="9.75" customHeight="1" x14ac:dyDescent="0.15">
      <c r="A252" s="123" t="s">
        <v>301</v>
      </c>
      <c r="B252" s="195" t="e">
        <f>IF(VLOOKUP(B250,Preenchimento!$A:$BV,11,0)=0,"",VLOOKUP(B250,Preenchimento!$A:$BV,11,0))</f>
        <v>#N/A</v>
      </c>
      <c r="C252" s="195"/>
      <c r="D252" s="195"/>
      <c r="E252" s="195"/>
      <c r="F252" s="196"/>
      <c r="G252" s="123" t="s">
        <v>301</v>
      </c>
      <c r="H252" s="195" t="e">
        <f>IF(VLOOKUP(H250,Preenchimento!$A:$BV,11,0)=0,"",VLOOKUP(H250,Preenchimento!$A:$BV,11,0))</f>
        <v>#N/A</v>
      </c>
      <c r="I252" s="195"/>
      <c r="J252" s="195"/>
      <c r="K252" s="195"/>
      <c r="L252" s="196"/>
      <c r="M252" s="123" t="s">
        <v>301</v>
      </c>
      <c r="N252" s="195" t="e">
        <f>IF(VLOOKUP(N250,Preenchimento!$A:$BV,11,0)=0,"",VLOOKUP(N250,Preenchimento!$A:$BV,11,0))</f>
        <v>#N/A</v>
      </c>
      <c r="O252" s="195"/>
      <c r="P252" s="195"/>
      <c r="Q252" s="195"/>
      <c r="R252" s="196"/>
      <c r="S252" s="123" t="s">
        <v>301</v>
      </c>
      <c r="T252" s="195" t="e">
        <f>IF(VLOOKUP(T250,Preenchimento!$A:$BV,11,0)=0,"",VLOOKUP(T250,Preenchimento!$A:$BV,11,0))</f>
        <v>#N/A</v>
      </c>
      <c r="U252" s="195"/>
      <c r="V252" s="195"/>
      <c r="W252" s="195"/>
      <c r="X252" s="196"/>
    </row>
    <row r="253" spans="1:24" s="130" customFormat="1" ht="33.950000000000003" customHeight="1" x14ac:dyDescent="0.25">
      <c r="A253" s="199" t="str">
        <f>Sitio!$A$3</f>
        <v>Projeto 01</v>
      </c>
      <c r="B253" s="200"/>
      <c r="C253" s="200"/>
      <c r="D253" s="200"/>
      <c r="E253" s="200"/>
      <c r="F253" s="201"/>
      <c r="G253" s="199" t="str">
        <f>Sitio!$A$3</f>
        <v>Projeto 01</v>
      </c>
      <c r="H253" s="200"/>
      <c r="I253" s="200"/>
      <c r="J253" s="200"/>
      <c r="K253" s="200"/>
      <c r="L253" s="201"/>
      <c r="M253" s="199" t="str">
        <f>Sitio!$A$3</f>
        <v>Projeto 01</v>
      </c>
      <c r="N253" s="200"/>
      <c r="O253" s="200"/>
      <c r="P253" s="200"/>
      <c r="Q253" s="200"/>
      <c r="R253" s="201"/>
      <c r="S253" s="199" t="str">
        <f>Sitio!$A$3</f>
        <v>Projeto 01</v>
      </c>
      <c r="T253" s="200"/>
      <c r="U253" s="200"/>
      <c r="V253" s="200"/>
      <c r="W253" s="200"/>
      <c r="X253" s="201"/>
    </row>
    <row r="254" spans="1:24" ht="9.75" customHeight="1" x14ac:dyDescent="0.15">
      <c r="A254" s="121" t="s">
        <v>294</v>
      </c>
      <c r="B254" s="193">
        <f>Sitio!$E$3</f>
        <v>0</v>
      </c>
      <c r="C254" s="193"/>
      <c r="D254" s="193"/>
      <c r="E254" s="193"/>
      <c r="F254" s="194"/>
      <c r="G254" s="121" t="s">
        <v>294</v>
      </c>
      <c r="H254" s="193">
        <f>Sitio!$E$3</f>
        <v>0</v>
      </c>
      <c r="I254" s="193"/>
      <c r="J254" s="193"/>
      <c r="K254" s="193"/>
      <c r="L254" s="194"/>
      <c r="M254" s="121" t="s">
        <v>294</v>
      </c>
      <c r="N254" s="193">
        <f>Sitio!$E$3</f>
        <v>0</v>
      </c>
      <c r="O254" s="193"/>
      <c r="P254" s="193"/>
      <c r="Q254" s="193"/>
      <c r="R254" s="194"/>
      <c r="S254" s="121" t="s">
        <v>294</v>
      </c>
      <c r="T254" s="193">
        <f>Sitio!$E$3</f>
        <v>0</v>
      </c>
      <c r="U254" s="193"/>
      <c r="V254" s="193"/>
      <c r="W254" s="193"/>
      <c r="X254" s="194"/>
    </row>
    <row r="255" spans="1:24" ht="9.75" customHeight="1" x14ac:dyDescent="0.15">
      <c r="A255" s="121" t="s">
        <v>295</v>
      </c>
      <c r="C255" s="193" t="e">
        <f>VLOOKUP(B257,Preenchimento!$A:$BV,2,0)</f>
        <v>#N/A</v>
      </c>
      <c r="D255" s="193" t="e">
        <f>VLOOKUP(C257,Preenchimento!$A:$BV,2,0)</f>
        <v>#N/A</v>
      </c>
      <c r="E255" s="193" t="e">
        <f>VLOOKUP(D257,Preenchimento!$A:$BV,2,0)</f>
        <v>#N/A</v>
      </c>
      <c r="F255" s="194" t="e">
        <f>VLOOKUP(E257,Preenchimento!$A:$BV,2,0)</f>
        <v>#N/A</v>
      </c>
      <c r="G255" s="121" t="s">
        <v>295</v>
      </c>
      <c r="I255" s="193" t="e">
        <f>VLOOKUP(H257,Preenchimento!$A:$BV,2,0)</f>
        <v>#N/A</v>
      </c>
      <c r="J255" s="193" t="e">
        <f>VLOOKUP(I257,Preenchimento!$A:$BV,2,0)</f>
        <v>#N/A</v>
      </c>
      <c r="K255" s="193" t="e">
        <f>VLOOKUP(J257,Preenchimento!$A:$BV,2,0)</f>
        <v>#N/A</v>
      </c>
      <c r="L255" s="194" t="e">
        <f>VLOOKUP(K257,Preenchimento!$A:$BV,2,0)</f>
        <v>#N/A</v>
      </c>
      <c r="M255" s="121" t="s">
        <v>295</v>
      </c>
      <c r="O255" s="193" t="e">
        <f>VLOOKUP(N257,Preenchimento!$A:$BV,2,0)</f>
        <v>#N/A</v>
      </c>
      <c r="P255" s="193" t="e">
        <f>VLOOKUP(O257,Preenchimento!$A:$BV,2,0)</f>
        <v>#N/A</v>
      </c>
      <c r="Q255" s="193" t="e">
        <f>VLOOKUP(P257,Preenchimento!$A:$BV,2,0)</f>
        <v>#N/A</v>
      </c>
      <c r="R255" s="194" t="e">
        <f>VLOOKUP(Q257,Preenchimento!$A:$BV,2,0)</f>
        <v>#N/A</v>
      </c>
      <c r="S255" s="121" t="s">
        <v>295</v>
      </c>
      <c r="U255" s="193" t="e">
        <f>VLOOKUP(T257,Preenchimento!$A:$BV,2,0)</f>
        <v>#N/A</v>
      </c>
      <c r="V255" s="193" t="e">
        <f>VLOOKUP(U257,Preenchimento!$A:$BV,2,0)</f>
        <v>#N/A</v>
      </c>
      <c r="W255" s="193" t="e">
        <f>VLOOKUP(V257,Preenchimento!$A:$BV,2,0)</f>
        <v>#N/A</v>
      </c>
      <c r="X255" s="194" t="e">
        <f>VLOOKUP(W257,Preenchimento!$A:$BV,2,0)</f>
        <v>#N/A</v>
      </c>
    </row>
    <row r="256" spans="1:24" ht="9.75" customHeight="1" x14ac:dyDescent="0.15">
      <c r="A256" s="121" t="s">
        <v>296</v>
      </c>
      <c r="B256" s="193" t="e">
        <f>VLOOKUP(B257,Preenchimento!$A:$BV,3,0)</f>
        <v>#N/A</v>
      </c>
      <c r="C256" s="193" t="e">
        <f>VLOOKUP(C257,Preenchimento!$A:$BV,3,0)</f>
        <v>#N/A</v>
      </c>
      <c r="D256" s="120" t="s">
        <v>297</v>
      </c>
      <c r="E256" s="197" t="e">
        <f>VLOOKUP(B257,Preenchimento!$A:$BV,5,0)</f>
        <v>#N/A</v>
      </c>
      <c r="F256" s="198" t="e">
        <f>VLOOKUP(C257,Preenchimento!$A:$BV,5,0)</f>
        <v>#N/A</v>
      </c>
      <c r="G256" s="121" t="s">
        <v>296</v>
      </c>
      <c r="H256" s="193" t="e">
        <f>VLOOKUP(H257,Preenchimento!$A:$BV,3,0)</f>
        <v>#N/A</v>
      </c>
      <c r="I256" s="193" t="e">
        <f>VLOOKUP(I257,Preenchimento!$A:$BV,3,0)</f>
        <v>#N/A</v>
      </c>
      <c r="J256" s="120" t="s">
        <v>297</v>
      </c>
      <c r="K256" s="197" t="e">
        <f>VLOOKUP(H257,Preenchimento!$A:$BV,5,0)</f>
        <v>#N/A</v>
      </c>
      <c r="L256" s="198" t="e">
        <f>VLOOKUP(I257,Preenchimento!$A:$BV,5,0)</f>
        <v>#N/A</v>
      </c>
      <c r="M256" s="121" t="s">
        <v>296</v>
      </c>
      <c r="N256" s="193" t="e">
        <f>VLOOKUP(N257,Preenchimento!$A:$BV,3,0)</f>
        <v>#N/A</v>
      </c>
      <c r="O256" s="193" t="e">
        <f>VLOOKUP(O257,Preenchimento!$A:$BV,3,0)</f>
        <v>#N/A</v>
      </c>
      <c r="P256" s="120" t="s">
        <v>297</v>
      </c>
      <c r="Q256" s="197" t="e">
        <f>VLOOKUP(N257,Preenchimento!$A:$BV,5,0)</f>
        <v>#N/A</v>
      </c>
      <c r="R256" s="198" t="e">
        <f>VLOOKUP(O257,Preenchimento!$A:$BV,5,0)</f>
        <v>#N/A</v>
      </c>
      <c r="S256" s="121" t="s">
        <v>296</v>
      </c>
      <c r="T256" s="193" t="e">
        <f>VLOOKUP(T257,Preenchimento!$A:$BV,3,0)</f>
        <v>#N/A</v>
      </c>
      <c r="U256" s="193" t="e">
        <f>VLOOKUP(U257,Preenchimento!$A:$BV,3,0)</f>
        <v>#N/A</v>
      </c>
      <c r="V256" s="120" t="s">
        <v>297</v>
      </c>
      <c r="W256" s="197" t="e">
        <f>VLOOKUP(T257,Preenchimento!$A:$BV,5,0)</f>
        <v>#N/A</v>
      </c>
      <c r="X256" s="198" t="e">
        <f>VLOOKUP(U257,Preenchimento!$A:$BV,5,0)</f>
        <v>#N/A</v>
      </c>
    </row>
    <row r="257" spans="1:24" ht="9.75" customHeight="1" x14ac:dyDescent="0.15">
      <c r="A257" s="121" t="s">
        <v>298</v>
      </c>
      <c r="B257" s="193"/>
      <c r="C257" s="193"/>
      <c r="D257" s="120" t="s">
        <v>299</v>
      </c>
      <c r="F257" s="131" t="e">
        <f>VLOOKUP(B257,Preenchimento!$A:$BV,10,0)</f>
        <v>#N/A</v>
      </c>
      <c r="G257" s="121" t="s">
        <v>298</v>
      </c>
      <c r="H257" s="193"/>
      <c r="I257" s="193"/>
      <c r="J257" s="120" t="s">
        <v>299</v>
      </c>
      <c r="L257" s="131" t="e">
        <f>VLOOKUP(H257,Preenchimento!$A:$BV,10,0)</f>
        <v>#N/A</v>
      </c>
      <c r="M257" s="121" t="s">
        <v>298</v>
      </c>
      <c r="N257" s="193"/>
      <c r="O257" s="193"/>
      <c r="P257" s="120" t="s">
        <v>299</v>
      </c>
      <c r="R257" s="131" t="e">
        <f>VLOOKUP(N257,Preenchimento!$A:$BV,10,0)</f>
        <v>#N/A</v>
      </c>
      <c r="S257" s="121" t="s">
        <v>298</v>
      </c>
      <c r="T257" s="193"/>
      <c r="U257" s="193"/>
      <c r="V257" s="120" t="s">
        <v>299</v>
      </c>
      <c r="X257" s="131" t="e">
        <f>VLOOKUP(T257,Preenchimento!$A:$BV,10,0)</f>
        <v>#N/A</v>
      </c>
    </row>
    <row r="258" spans="1:24" ht="9.75" customHeight="1" x14ac:dyDescent="0.15">
      <c r="A258" s="121" t="s">
        <v>300</v>
      </c>
      <c r="C258" s="193" t="e">
        <f>VLOOKUP(B257,Preenchimento!$A:$BV,12,0)</f>
        <v>#N/A</v>
      </c>
      <c r="D258" s="193" t="e">
        <f>VLOOKUP(C257,Preenchimento!$A:$BV,12,0)</f>
        <v>#N/A</v>
      </c>
      <c r="E258" s="193" t="e">
        <f>VLOOKUP(D257,Preenchimento!$A:$BV,12,0)</f>
        <v>#N/A</v>
      </c>
      <c r="F258" s="194" t="e">
        <f>VLOOKUP(E257,Preenchimento!$A:$BV,12,0)</f>
        <v>#N/A</v>
      </c>
      <c r="G258" s="121" t="s">
        <v>300</v>
      </c>
      <c r="I258" s="193" t="e">
        <f>VLOOKUP(H257,Preenchimento!$A:$BV,12,0)</f>
        <v>#N/A</v>
      </c>
      <c r="J258" s="193" t="e">
        <f>VLOOKUP(I257,Preenchimento!$A:$BV,12,0)</f>
        <v>#N/A</v>
      </c>
      <c r="K258" s="193" t="e">
        <f>VLOOKUP(J257,Preenchimento!$A:$BV,12,0)</f>
        <v>#N/A</v>
      </c>
      <c r="L258" s="194" t="e">
        <f>VLOOKUP(K257,Preenchimento!$A:$BV,12,0)</f>
        <v>#N/A</v>
      </c>
      <c r="M258" s="121" t="s">
        <v>300</v>
      </c>
      <c r="O258" s="193" t="e">
        <f>VLOOKUP(N257,Preenchimento!$A:$BV,12,0)</f>
        <v>#N/A</v>
      </c>
      <c r="P258" s="193" t="e">
        <f>VLOOKUP(O257,Preenchimento!$A:$BV,12,0)</f>
        <v>#N/A</v>
      </c>
      <c r="Q258" s="193" t="e">
        <f>VLOOKUP(P257,Preenchimento!$A:$BV,12,0)</f>
        <v>#N/A</v>
      </c>
      <c r="R258" s="194" t="e">
        <f>VLOOKUP(Q257,Preenchimento!$A:$BV,12,0)</f>
        <v>#N/A</v>
      </c>
      <c r="S258" s="121" t="s">
        <v>300</v>
      </c>
      <c r="U258" s="193" t="e">
        <f>VLOOKUP(T257,Preenchimento!$A:$BV,12,0)</f>
        <v>#N/A</v>
      </c>
      <c r="V258" s="193" t="e">
        <f>VLOOKUP(U257,Preenchimento!$A:$BV,12,0)</f>
        <v>#N/A</v>
      </c>
      <c r="W258" s="193" t="e">
        <f>VLOOKUP(V257,Preenchimento!$A:$BV,12,0)</f>
        <v>#N/A</v>
      </c>
      <c r="X258" s="194" t="e">
        <f>VLOOKUP(W257,Preenchimento!$A:$BV,12,0)</f>
        <v>#N/A</v>
      </c>
    </row>
    <row r="259" spans="1:24" ht="9.75" customHeight="1" x14ac:dyDescent="0.15">
      <c r="A259" s="123" t="s">
        <v>301</v>
      </c>
      <c r="B259" s="195" t="e">
        <f>IF(VLOOKUP(B257,Preenchimento!$A:$BV,11,0)=0,"",VLOOKUP(B257,Preenchimento!$A:$BV,11,0))</f>
        <v>#N/A</v>
      </c>
      <c r="C259" s="195"/>
      <c r="D259" s="195"/>
      <c r="E259" s="195"/>
      <c r="F259" s="196"/>
      <c r="G259" s="123" t="s">
        <v>301</v>
      </c>
      <c r="H259" s="195" t="e">
        <f>IF(VLOOKUP(H257,Preenchimento!$A:$BV,11,0)=0,"",VLOOKUP(H257,Preenchimento!$A:$BV,11,0))</f>
        <v>#N/A</v>
      </c>
      <c r="I259" s="195"/>
      <c r="J259" s="195"/>
      <c r="K259" s="195"/>
      <c r="L259" s="196"/>
      <c r="M259" s="123" t="s">
        <v>301</v>
      </c>
      <c r="N259" s="195" t="e">
        <f>IF(VLOOKUP(N257,Preenchimento!$A:$BV,11,0)=0,"",VLOOKUP(N257,Preenchimento!$A:$BV,11,0))</f>
        <v>#N/A</v>
      </c>
      <c r="O259" s="195"/>
      <c r="P259" s="195"/>
      <c r="Q259" s="195"/>
      <c r="R259" s="196"/>
      <c r="S259" s="123" t="s">
        <v>301</v>
      </c>
      <c r="T259" s="195" t="e">
        <f>IF(VLOOKUP(T257,Preenchimento!$A:$BV,11,0)=0,"",VLOOKUP(T257,Preenchimento!$A:$BV,11,0))</f>
        <v>#N/A</v>
      </c>
      <c r="U259" s="195"/>
      <c r="V259" s="195"/>
      <c r="W259" s="195"/>
      <c r="X259" s="196"/>
    </row>
    <row r="260" spans="1:24" s="130" customFormat="1" ht="33.950000000000003" customHeight="1" x14ac:dyDescent="0.25">
      <c r="A260" s="199" t="str">
        <f>Sitio!$A$3</f>
        <v>Projeto 01</v>
      </c>
      <c r="B260" s="200"/>
      <c r="C260" s="200"/>
      <c r="D260" s="200"/>
      <c r="E260" s="200"/>
      <c r="F260" s="201"/>
      <c r="G260" s="199" t="str">
        <f>Sitio!$A$3</f>
        <v>Projeto 01</v>
      </c>
      <c r="H260" s="200"/>
      <c r="I260" s="200"/>
      <c r="J260" s="200"/>
      <c r="K260" s="200"/>
      <c r="L260" s="201"/>
      <c r="M260" s="199" t="str">
        <f>Sitio!$A$3</f>
        <v>Projeto 01</v>
      </c>
      <c r="N260" s="200"/>
      <c r="O260" s="200"/>
      <c r="P260" s="200"/>
      <c r="Q260" s="200"/>
      <c r="R260" s="201"/>
      <c r="S260" s="199" t="str">
        <f>Sitio!$A$3</f>
        <v>Projeto 01</v>
      </c>
      <c r="T260" s="200"/>
      <c r="U260" s="200"/>
      <c r="V260" s="200"/>
      <c r="W260" s="200"/>
      <c r="X260" s="201"/>
    </row>
    <row r="261" spans="1:24" ht="9.75" customHeight="1" x14ac:dyDescent="0.15">
      <c r="A261" s="121" t="s">
        <v>294</v>
      </c>
      <c r="B261" s="193">
        <f>Sitio!$E$3</f>
        <v>0</v>
      </c>
      <c r="C261" s="193"/>
      <c r="D261" s="193"/>
      <c r="E261" s="193"/>
      <c r="F261" s="194"/>
      <c r="G261" s="121" t="s">
        <v>294</v>
      </c>
      <c r="H261" s="193">
        <f>Sitio!$E$3</f>
        <v>0</v>
      </c>
      <c r="I261" s="193"/>
      <c r="J261" s="193"/>
      <c r="K261" s="193"/>
      <c r="L261" s="194"/>
      <c r="M261" s="121" t="s">
        <v>294</v>
      </c>
      <c r="N261" s="193">
        <f>Sitio!$E$3</f>
        <v>0</v>
      </c>
      <c r="O261" s="193"/>
      <c r="P261" s="193"/>
      <c r="Q261" s="193"/>
      <c r="R261" s="194"/>
      <c r="S261" s="121" t="s">
        <v>294</v>
      </c>
      <c r="T261" s="193">
        <f>Sitio!$E$3</f>
        <v>0</v>
      </c>
      <c r="U261" s="193"/>
      <c r="V261" s="193"/>
      <c r="W261" s="193"/>
      <c r="X261" s="194"/>
    </row>
    <row r="262" spans="1:24" ht="9.75" customHeight="1" x14ac:dyDescent="0.15">
      <c r="A262" s="121" t="s">
        <v>295</v>
      </c>
      <c r="C262" s="193" t="e">
        <f>VLOOKUP(B264,Preenchimento!$A:$BV,2,0)</f>
        <v>#N/A</v>
      </c>
      <c r="D262" s="193" t="e">
        <f>VLOOKUP(C264,Preenchimento!$A:$BV,2,0)</f>
        <v>#N/A</v>
      </c>
      <c r="E262" s="193" t="e">
        <f>VLOOKUP(D264,Preenchimento!$A:$BV,2,0)</f>
        <v>#N/A</v>
      </c>
      <c r="F262" s="194" t="e">
        <f>VLOOKUP(E264,Preenchimento!$A:$BV,2,0)</f>
        <v>#N/A</v>
      </c>
      <c r="G262" s="121" t="s">
        <v>295</v>
      </c>
      <c r="I262" s="193" t="e">
        <f>VLOOKUP(H264,Preenchimento!$A:$BV,2,0)</f>
        <v>#N/A</v>
      </c>
      <c r="J262" s="193" t="e">
        <f>VLOOKUP(I264,Preenchimento!$A:$BV,2,0)</f>
        <v>#N/A</v>
      </c>
      <c r="K262" s="193" t="e">
        <f>VLOOKUP(J264,Preenchimento!$A:$BV,2,0)</f>
        <v>#N/A</v>
      </c>
      <c r="L262" s="194" t="e">
        <f>VLOOKUP(K264,Preenchimento!$A:$BV,2,0)</f>
        <v>#N/A</v>
      </c>
      <c r="M262" s="121" t="s">
        <v>295</v>
      </c>
      <c r="O262" s="193" t="e">
        <f>VLOOKUP(N264,Preenchimento!$A:$BV,2,0)</f>
        <v>#N/A</v>
      </c>
      <c r="P262" s="193" t="e">
        <f>VLOOKUP(O264,Preenchimento!$A:$BV,2,0)</f>
        <v>#N/A</v>
      </c>
      <c r="Q262" s="193" t="e">
        <f>VLOOKUP(P264,Preenchimento!$A:$BV,2,0)</f>
        <v>#N/A</v>
      </c>
      <c r="R262" s="194" t="e">
        <f>VLOOKUP(Q264,Preenchimento!$A:$BV,2,0)</f>
        <v>#N/A</v>
      </c>
      <c r="S262" s="121" t="s">
        <v>295</v>
      </c>
      <c r="U262" s="193" t="e">
        <f>VLOOKUP(T264,Preenchimento!$A:$BV,2,0)</f>
        <v>#N/A</v>
      </c>
      <c r="V262" s="193" t="e">
        <f>VLOOKUP(U264,Preenchimento!$A:$BV,2,0)</f>
        <v>#N/A</v>
      </c>
      <c r="W262" s="193" t="e">
        <f>VLOOKUP(V264,Preenchimento!$A:$BV,2,0)</f>
        <v>#N/A</v>
      </c>
      <c r="X262" s="194" t="e">
        <f>VLOOKUP(W264,Preenchimento!$A:$BV,2,0)</f>
        <v>#N/A</v>
      </c>
    </row>
    <row r="263" spans="1:24" ht="9.75" customHeight="1" x14ac:dyDescent="0.15">
      <c r="A263" s="121" t="s">
        <v>296</v>
      </c>
      <c r="B263" s="193" t="e">
        <f>VLOOKUP(B264,Preenchimento!$A:$BV,3,0)</f>
        <v>#N/A</v>
      </c>
      <c r="C263" s="193" t="e">
        <f>VLOOKUP(C264,Preenchimento!$A:$BV,3,0)</f>
        <v>#N/A</v>
      </c>
      <c r="D263" s="120" t="s">
        <v>297</v>
      </c>
      <c r="E263" s="197" t="e">
        <f>VLOOKUP(B264,Preenchimento!$A:$BV,5,0)</f>
        <v>#N/A</v>
      </c>
      <c r="F263" s="198" t="e">
        <f>VLOOKUP(C264,Preenchimento!$A:$BV,5,0)</f>
        <v>#N/A</v>
      </c>
      <c r="G263" s="121" t="s">
        <v>296</v>
      </c>
      <c r="H263" s="193" t="e">
        <f>VLOOKUP(H264,Preenchimento!$A:$BV,3,0)</f>
        <v>#N/A</v>
      </c>
      <c r="I263" s="193" t="e">
        <f>VLOOKUP(I264,Preenchimento!$A:$BV,3,0)</f>
        <v>#N/A</v>
      </c>
      <c r="J263" s="120" t="s">
        <v>297</v>
      </c>
      <c r="K263" s="197" t="e">
        <f>VLOOKUP(H264,Preenchimento!$A:$BV,5,0)</f>
        <v>#N/A</v>
      </c>
      <c r="L263" s="198" t="e">
        <f>VLOOKUP(I264,Preenchimento!$A:$BV,5,0)</f>
        <v>#N/A</v>
      </c>
      <c r="M263" s="121" t="s">
        <v>296</v>
      </c>
      <c r="N263" s="193" t="e">
        <f>VLOOKUP(N264,Preenchimento!$A:$BV,3,0)</f>
        <v>#N/A</v>
      </c>
      <c r="O263" s="193" t="e">
        <f>VLOOKUP(O264,Preenchimento!$A:$BV,3,0)</f>
        <v>#N/A</v>
      </c>
      <c r="P263" s="120" t="s">
        <v>297</v>
      </c>
      <c r="Q263" s="197" t="e">
        <f>VLOOKUP(N264,Preenchimento!$A:$BV,5,0)</f>
        <v>#N/A</v>
      </c>
      <c r="R263" s="198" t="e">
        <f>VLOOKUP(O264,Preenchimento!$A:$BV,5,0)</f>
        <v>#N/A</v>
      </c>
      <c r="S263" s="121" t="s">
        <v>296</v>
      </c>
      <c r="T263" s="193" t="e">
        <f>VLOOKUP(T264,Preenchimento!$A:$BV,3,0)</f>
        <v>#N/A</v>
      </c>
      <c r="U263" s="193" t="e">
        <f>VLOOKUP(U264,Preenchimento!$A:$BV,3,0)</f>
        <v>#N/A</v>
      </c>
      <c r="V263" s="120" t="s">
        <v>297</v>
      </c>
      <c r="W263" s="197" t="e">
        <f>VLOOKUP(T264,Preenchimento!$A:$BV,5,0)</f>
        <v>#N/A</v>
      </c>
      <c r="X263" s="198" t="e">
        <f>VLOOKUP(U264,Preenchimento!$A:$BV,5,0)</f>
        <v>#N/A</v>
      </c>
    </row>
    <row r="264" spans="1:24" ht="9.75" customHeight="1" x14ac:dyDescent="0.15">
      <c r="A264" s="121" t="s">
        <v>298</v>
      </c>
      <c r="B264" s="193"/>
      <c r="C264" s="193"/>
      <c r="D264" s="120" t="s">
        <v>299</v>
      </c>
      <c r="F264" s="131" t="e">
        <f>VLOOKUP(B264,Preenchimento!$A:$BV,10,0)</f>
        <v>#N/A</v>
      </c>
      <c r="G264" s="121" t="s">
        <v>298</v>
      </c>
      <c r="H264" s="193"/>
      <c r="I264" s="193"/>
      <c r="J264" s="120" t="s">
        <v>299</v>
      </c>
      <c r="L264" s="131" t="e">
        <f>VLOOKUP(H264,Preenchimento!$A:$BV,10,0)</f>
        <v>#N/A</v>
      </c>
      <c r="M264" s="121" t="s">
        <v>298</v>
      </c>
      <c r="N264" s="193"/>
      <c r="O264" s="193"/>
      <c r="P264" s="120" t="s">
        <v>299</v>
      </c>
      <c r="R264" s="131" t="e">
        <f>VLOOKUP(N264,Preenchimento!$A:$BV,10,0)</f>
        <v>#N/A</v>
      </c>
      <c r="S264" s="121" t="s">
        <v>298</v>
      </c>
      <c r="T264" s="193"/>
      <c r="U264" s="193"/>
      <c r="V264" s="120" t="s">
        <v>299</v>
      </c>
      <c r="X264" s="131" t="e">
        <f>VLOOKUP(T264,Preenchimento!$A:$BV,10,0)</f>
        <v>#N/A</v>
      </c>
    </row>
    <row r="265" spans="1:24" ht="9.75" customHeight="1" x14ac:dyDescent="0.15">
      <c r="A265" s="121" t="s">
        <v>300</v>
      </c>
      <c r="C265" s="193" t="e">
        <f>VLOOKUP(B264,Preenchimento!$A:$BV,12,0)</f>
        <v>#N/A</v>
      </c>
      <c r="D265" s="193" t="e">
        <f>VLOOKUP(C264,Preenchimento!$A:$BV,12,0)</f>
        <v>#N/A</v>
      </c>
      <c r="E265" s="193" t="e">
        <f>VLOOKUP(D264,Preenchimento!$A:$BV,12,0)</f>
        <v>#N/A</v>
      </c>
      <c r="F265" s="194" t="e">
        <f>VLOOKUP(E264,Preenchimento!$A:$BV,12,0)</f>
        <v>#N/A</v>
      </c>
      <c r="G265" s="121" t="s">
        <v>300</v>
      </c>
      <c r="I265" s="193" t="e">
        <f>VLOOKUP(H264,Preenchimento!$A:$BV,12,0)</f>
        <v>#N/A</v>
      </c>
      <c r="J265" s="193" t="e">
        <f>VLOOKUP(I264,Preenchimento!$A:$BV,12,0)</f>
        <v>#N/A</v>
      </c>
      <c r="K265" s="193" t="e">
        <f>VLOOKUP(J264,Preenchimento!$A:$BV,12,0)</f>
        <v>#N/A</v>
      </c>
      <c r="L265" s="194" t="e">
        <f>VLOOKUP(K264,Preenchimento!$A:$BV,12,0)</f>
        <v>#N/A</v>
      </c>
      <c r="M265" s="121" t="s">
        <v>300</v>
      </c>
      <c r="O265" s="193" t="e">
        <f>VLOOKUP(N264,Preenchimento!$A:$BV,12,0)</f>
        <v>#N/A</v>
      </c>
      <c r="P265" s="193" t="e">
        <f>VLOOKUP(O264,Preenchimento!$A:$BV,12,0)</f>
        <v>#N/A</v>
      </c>
      <c r="Q265" s="193" t="e">
        <f>VLOOKUP(P264,Preenchimento!$A:$BV,12,0)</f>
        <v>#N/A</v>
      </c>
      <c r="R265" s="194" t="e">
        <f>VLOOKUP(Q264,Preenchimento!$A:$BV,12,0)</f>
        <v>#N/A</v>
      </c>
      <c r="S265" s="121" t="s">
        <v>300</v>
      </c>
      <c r="U265" s="193" t="e">
        <f>VLOOKUP(T264,Preenchimento!$A:$BV,12,0)</f>
        <v>#N/A</v>
      </c>
      <c r="V265" s="193" t="e">
        <f>VLOOKUP(U264,Preenchimento!$A:$BV,12,0)</f>
        <v>#N/A</v>
      </c>
      <c r="W265" s="193" t="e">
        <f>VLOOKUP(V264,Preenchimento!$A:$BV,12,0)</f>
        <v>#N/A</v>
      </c>
      <c r="X265" s="194" t="e">
        <f>VLOOKUP(W264,Preenchimento!$A:$BV,12,0)</f>
        <v>#N/A</v>
      </c>
    </row>
    <row r="266" spans="1:24" ht="9.75" customHeight="1" x14ac:dyDescent="0.15">
      <c r="A266" s="123" t="s">
        <v>301</v>
      </c>
      <c r="B266" s="195" t="e">
        <f>IF(VLOOKUP(B264,Preenchimento!$A:$BV,11,0)=0,"",VLOOKUP(B264,Preenchimento!$A:$BV,11,0))</f>
        <v>#N/A</v>
      </c>
      <c r="C266" s="195"/>
      <c r="D266" s="195"/>
      <c r="E266" s="195"/>
      <c r="F266" s="196"/>
      <c r="G266" s="123" t="s">
        <v>301</v>
      </c>
      <c r="H266" s="195" t="e">
        <f>IF(VLOOKUP(H264,Preenchimento!$A:$BV,11,0)=0,"",VLOOKUP(H264,Preenchimento!$A:$BV,11,0))</f>
        <v>#N/A</v>
      </c>
      <c r="I266" s="195"/>
      <c r="J266" s="195"/>
      <c r="K266" s="195"/>
      <c r="L266" s="196"/>
      <c r="M266" s="123" t="s">
        <v>301</v>
      </c>
      <c r="N266" s="195" t="e">
        <f>IF(VLOOKUP(N264,Preenchimento!$A:$BV,11,0)=0,"",VLOOKUP(N264,Preenchimento!$A:$BV,11,0))</f>
        <v>#N/A</v>
      </c>
      <c r="O266" s="195"/>
      <c r="P266" s="195"/>
      <c r="Q266" s="195"/>
      <c r="R266" s="196"/>
      <c r="S266" s="123" t="s">
        <v>301</v>
      </c>
      <c r="T266" s="195" t="e">
        <f>IF(VLOOKUP(T264,Preenchimento!$A:$BV,11,0)=0,"",VLOOKUP(T264,Preenchimento!$A:$BV,11,0))</f>
        <v>#N/A</v>
      </c>
      <c r="U266" s="195"/>
      <c r="V266" s="195"/>
      <c r="W266" s="195"/>
      <c r="X266" s="196"/>
    </row>
    <row r="267" spans="1:24" s="130" customFormat="1" ht="33.950000000000003" customHeight="1" x14ac:dyDescent="0.25">
      <c r="A267" s="199" t="str">
        <f>Sitio!$A$3</f>
        <v>Projeto 01</v>
      </c>
      <c r="B267" s="200"/>
      <c r="C267" s="200"/>
      <c r="D267" s="200"/>
      <c r="E267" s="200"/>
      <c r="F267" s="201"/>
      <c r="G267" s="199" t="str">
        <f>Sitio!$A$3</f>
        <v>Projeto 01</v>
      </c>
      <c r="H267" s="200"/>
      <c r="I267" s="200"/>
      <c r="J267" s="200"/>
      <c r="K267" s="200"/>
      <c r="L267" s="201"/>
      <c r="M267" s="199" t="str">
        <f>Sitio!$A$3</f>
        <v>Projeto 01</v>
      </c>
      <c r="N267" s="200"/>
      <c r="O267" s="200"/>
      <c r="P267" s="200"/>
      <c r="Q267" s="200"/>
      <c r="R267" s="201"/>
      <c r="S267" s="199" t="str">
        <f>Sitio!$A$3</f>
        <v>Projeto 01</v>
      </c>
      <c r="T267" s="200"/>
      <c r="U267" s="200"/>
      <c r="V267" s="200"/>
      <c r="W267" s="200"/>
      <c r="X267" s="201"/>
    </row>
    <row r="268" spans="1:24" ht="9.75" customHeight="1" x14ac:dyDescent="0.15">
      <c r="A268" s="121" t="s">
        <v>294</v>
      </c>
      <c r="B268" s="193">
        <f>Sitio!$E$3</f>
        <v>0</v>
      </c>
      <c r="C268" s="193"/>
      <c r="D268" s="193"/>
      <c r="E268" s="193"/>
      <c r="F268" s="194"/>
      <c r="G268" s="121" t="s">
        <v>294</v>
      </c>
      <c r="H268" s="193">
        <f>Sitio!$E$3</f>
        <v>0</v>
      </c>
      <c r="I268" s="193"/>
      <c r="J268" s="193"/>
      <c r="K268" s="193"/>
      <c r="L268" s="194"/>
      <c r="M268" s="121" t="s">
        <v>294</v>
      </c>
      <c r="N268" s="193">
        <f>Sitio!$E$3</f>
        <v>0</v>
      </c>
      <c r="O268" s="193"/>
      <c r="P268" s="193"/>
      <c r="Q268" s="193"/>
      <c r="R268" s="194"/>
      <c r="S268" s="121" t="s">
        <v>294</v>
      </c>
      <c r="T268" s="193">
        <f>Sitio!$E$3</f>
        <v>0</v>
      </c>
      <c r="U268" s="193"/>
      <c r="V268" s="193"/>
      <c r="W268" s="193"/>
      <c r="X268" s="194"/>
    </row>
    <row r="269" spans="1:24" ht="9.75" customHeight="1" x14ac:dyDescent="0.15">
      <c r="A269" s="121" t="s">
        <v>295</v>
      </c>
      <c r="C269" s="193" t="e">
        <f>VLOOKUP(B271,Preenchimento!$A:$BV,2,0)</f>
        <v>#N/A</v>
      </c>
      <c r="D269" s="193" t="e">
        <f>VLOOKUP(C271,Preenchimento!$A:$BV,2,0)</f>
        <v>#N/A</v>
      </c>
      <c r="E269" s="193" t="e">
        <f>VLOOKUP(D271,Preenchimento!$A:$BV,2,0)</f>
        <v>#N/A</v>
      </c>
      <c r="F269" s="194" t="e">
        <f>VLOOKUP(E271,Preenchimento!$A:$BV,2,0)</f>
        <v>#N/A</v>
      </c>
      <c r="G269" s="121" t="s">
        <v>295</v>
      </c>
      <c r="I269" s="193" t="e">
        <f>VLOOKUP(H271,Preenchimento!$A:$BV,2,0)</f>
        <v>#N/A</v>
      </c>
      <c r="J269" s="193" t="e">
        <f>VLOOKUP(I271,Preenchimento!$A:$BV,2,0)</f>
        <v>#N/A</v>
      </c>
      <c r="K269" s="193" t="e">
        <f>VLOOKUP(J271,Preenchimento!$A:$BV,2,0)</f>
        <v>#N/A</v>
      </c>
      <c r="L269" s="194" t="e">
        <f>VLOOKUP(K271,Preenchimento!$A:$BV,2,0)</f>
        <v>#N/A</v>
      </c>
      <c r="M269" s="121" t="s">
        <v>295</v>
      </c>
      <c r="O269" s="193" t="e">
        <f>VLOOKUP(N271,Preenchimento!$A:$BV,2,0)</f>
        <v>#N/A</v>
      </c>
      <c r="P269" s="193" t="e">
        <f>VLOOKUP(O271,Preenchimento!$A:$BV,2,0)</f>
        <v>#N/A</v>
      </c>
      <c r="Q269" s="193" t="e">
        <f>VLOOKUP(P271,Preenchimento!$A:$BV,2,0)</f>
        <v>#N/A</v>
      </c>
      <c r="R269" s="194" t="e">
        <f>VLOOKUP(Q271,Preenchimento!$A:$BV,2,0)</f>
        <v>#N/A</v>
      </c>
      <c r="S269" s="121" t="s">
        <v>295</v>
      </c>
      <c r="U269" s="193" t="e">
        <f>VLOOKUP(T271,Preenchimento!$A:$BV,2,0)</f>
        <v>#N/A</v>
      </c>
      <c r="V269" s="193" t="e">
        <f>VLOOKUP(U271,Preenchimento!$A:$BV,2,0)</f>
        <v>#N/A</v>
      </c>
      <c r="W269" s="193" t="e">
        <f>VLOOKUP(V271,Preenchimento!$A:$BV,2,0)</f>
        <v>#N/A</v>
      </c>
      <c r="X269" s="194" t="e">
        <f>VLOOKUP(W271,Preenchimento!$A:$BV,2,0)</f>
        <v>#N/A</v>
      </c>
    </row>
    <row r="270" spans="1:24" ht="9.75" customHeight="1" x14ac:dyDescent="0.15">
      <c r="A270" s="121" t="s">
        <v>296</v>
      </c>
      <c r="B270" s="193" t="e">
        <f>VLOOKUP(B271,Preenchimento!$A:$BV,3,0)</f>
        <v>#N/A</v>
      </c>
      <c r="C270" s="193" t="e">
        <f>VLOOKUP(C271,Preenchimento!$A:$BV,3,0)</f>
        <v>#N/A</v>
      </c>
      <c r="D270" s="120" t="s">
        <v>297</v>
      </c>
      <c r="E270" s="197" t="e">
        <f>VLOOKUP(B271,Preenchimento!$A:$BV,5,0)</f>
        <v>#N/A</v>
      </c>
      <c r="F270" s="198" t="e">
        <f>VLOOKUP(C271,Preenchimento!$A:$BV,5,0)</f>
        <v>#N/A</v>
      </c>
      <c r="G270" s="121" t="s">
        <v>296</v>
      </c>
      <c r="H270" s="193" t="e">
        <f>VLOOKUP(H271,Preenchimento!$A:$BV,3,0)</f>
        <v>#N/A</v>
      </c>
      <c r="I270" s="193" t="e">
        <f>VLOOKUP(I271,Preenchimento!$A:$BV,3,0)</f>
        <v>#N/A</v>
      </c>
      <c r="J270" s="120" t="s">
        <v>297</v>
      </c>
      <c r="K270" s="197" t="e">
        <f>VLOOKUP(H271,Preenchimento!$A:$BV,5,0)</f>
        <v>#N/A</v>
      </c>
      <c r="L270" s="198" t="e">
        <f>VLOOKUP(I271,Preenchimento!$A:$BV,5,0)</f>
        <v>#N/A</v>
      </c>
      <c r="M270" s="121" t="s">
        <v>296</v>
      </c>
      <c r="N270" s="193" t="e">
        <f>VLOOKUP(N271,Preenchimento!$A:$BV,3,0)</f>
        <v>#N/A</v>
      </c>
      <c r="O270" s="193" t="e">
        <f>VLOOKUP(O271,Preenchimento!$A:$BV,3,0)</f>
        <v>#N/A</v>
      </c>
      <c r="P270" s="120" t="s">
        <v>297</v>
      </c>
      <c r="Q270" s="197" t="e">
        <f>VLOOKUP(N271,Preenchimento!$A:$BV,5,0)</f>
        <v>#N/A</v>
      </c>
      <c r="R270" s="198" t="e">
        <f>VLOOKUP(O271,Preenchimento!$A:$BV,5,0)</f>
        <v>#N/A</v>
      </c>
      <c r="S270" s="121" t="s">
        <v>296</v>
      </c>
      <c r="T270" s="193" t="e">
        <f>VLOOKUP(T271,Preenchimento!$A:$BV,3,0)</f>
        <v>#N/A</v>
      </c>
      <c r="U270" s="193" t="e">
        <f>VLOOKUP(U271,Preenchimento!$A:$BV,3,0)</f>
        <v>#N/A</v>
      </c>
      <c r="V270" s="120" t="s">
        <v>297</v>
      </c>
      <c r="W270" s="197" t="e">
        <f>VLOOKUP(T271,Preenchimento!$A:$BV,5,0)</f>
        <v>#N/A</v>
      </c>
      <c r="X270" s="198" t="e">
        <f>VLOOKUP(U271,Preenchimento!$A:$BV,5,0)</f>
        <v>#N/A</v>
      </c>
    </row>
    <row r="271" spans="1:24" ht="9.75" customHeight="1" x14ac:dyDescent="0.15">
      <c r="A271" s="121" t="s">
        <v>298</v>
      </c>
      <c r="B271" s="193"/>
      <c r="C271" s="193"/>
      <c r="D271" s="120" t="s">
        <v>299</v>
      </c>
      <c r="F271" s="131" t="e">
        <f>VLOOKUP(B271,Preenchimento!$A:$BV,10,0)</f>
        <v>#N/A</v>
      </c>
      <c r="G271" s="121" t="s">
        <v>298</v>
      </c>
      <c r="H271" s="193"/>
      <c r="I271" s="193"/>
      <c r="J271" s="120" t="s">
        <v>299</v>
      </c>
      <c r="L271" s="131" t="e">
        <f>VLOOKUP(H271,Preenchimento!$A:$BV,10,0)</f>
        <v>#N/A</v>
      </c>
      <c r="M271" s="121" t="s">
        <v>298</v>
      </c>
      <c r="N271" s="193"/>
      <c r="O271" s="193"/>
      <c r="P271" s="120" t="s">
        <v>299</v>
      </c>
      <c r="R271" s="131" t="e">
        <f>VLOOKUP(N271,Preenchimento!$A:$BV,10,0)</f>
        <v>#N/A</v>
      </c>
      <c r="S271" s="121" t="s">
        <v>298</v>
      </c>
      <c r="T271" s="193"/>
      <c r="U271" s="193"/>
      <c r="V271" s="120" t="s">
        <v>299</v>
      </c>
      <c r="X271" s="131" t="e">
        <f>VLOOKUP(T271,Preenchimento!$A:$BV,10,0)</f>
        <v>#N/A</v>
      </c>
    </row>
    <row r="272" spans="1:24" ht="9.75" customHeight="1" x14ac:dyDescent="0.15">
      <c r="A272" s="121" t="s">
        <v>300</v>
      </c>
      <c r="C272" s="193" t="e">
        <f>VLOOKUP(B271,Preenchimento!$A:$BV,12,0)</f>
        <v>#N/A</v>
      </c>
      <c r="D272" s="193" t="e">
        <f>VLOOKUP(C271,Preenchimento!$A:$BV,12,0)</f>
        <v>#N/A</v>
      </c>
      <c r="E272" s="193" t="e">
        <f>VLOOKUP(D271,Preenchimento!$A:$BV,12,0)</f>
        <v>#N/A</v>
      </c>
      <c r="F272" s="194" t="e">
        <f>VLOOKUP(E271,Preenchimento!$A:$BV,12,0)</f>
        <v>#N/A</v>
      </c>
      <c r="G272" s="121" t="s">
        <v>300</v>
      </c>
      <c r="I272" s="193" t="e">
        <f>VLOOKUP(H271,Preenchimento!$A:$BV,12,0)</f>
        <v>#N/A</v>
      </c>
      <c r="J272" s="193" t="e">
        <f>VLOOKUP(I271,Preenchimento!$A:$BV,12,0)</f>
        <v>#N/A</v>
      </c>
      <c r="K272" s="193" t="e">
        <f>VLOOKUP(J271,Preenchimento!$A:$BV,12,0)</f>
        <v>#N/A</v>
      </c>
      <c r="L272" s="194" t="e">
        <f>VLOOKUP(K271,Preenchimento!$A:$BV,12,0)</f>
        <v>#N/A</v>
      </c>
      <c r="M272" s="121" t="s">
        <v>300</v>
      </c>
      <c r="O272" s="193" t="e">
        <f>VLOOKUP(N271,Preenchimento!$A:$BV,12,0)</f>
        <v>#N/A</v>
      </c>
      <c r="P272" s="193" t="e">
        <f>VLOOKUP(O271,Preenchimento!$A:$BV,12,0)</f>
        <v>#N/A</v>
      </c>
      <c r="Q272" s="193" t="e">
        <f>VLOOKUP(P271,Preenchimento!$A:$BV,12,0)</f>
        <v>#N/A</v>
      </c>
      <c r="R272" s="194" t="e">
        <f>VLOOKUP(Q271,Preenchimento!$A:$BV,12,0)</f>
        <v>#N/A</v>
      </c>
      <c r="S272" s="121" t="s">
        <v>300</v>
      </c>
      <c r="U272" s="193" t="e">
        <f>VLOOKUP(T271,Preenchimento!$A:$BV,12,0)</f>
        <v>#N/A</v>
      </c>
      <c r="V272" s="193" t="e">
        <f>VLOOKUP(U271,Preenchimento!$A:$BV,12,0)</f>
        <v>#N/A</v>
      </c>
      <c r="W272" s="193" t="e">
        <f>VLOOKUP(V271,Preenchimento!$A:$BV,12,0)</f>
        <v>#N/A</v>
      </c>
      <c r="X272" s="194" t="e">
        <f>VLOOKUP(W271,Preenchimento!$A:$BV,12,0)</f>
        <v>#N/A</v>
      </c>
    </row>
    <row r="273" spans="1:24" ht="9.75" customHeight="1" x14ac:dyDescent="0.15">
      <c r="A273" s="123" t="s">
        <v>301</v>
      </c>
      <c r="B273" s="195" t="e">
        <f>IF(VLOOKUP(B271,Preenchimento!$A:$BV,11,0)=0,"",VLOOKUP(B271,Preenchimento!$A:$BV,11,0))</f>
        <v>#N/A</v>
      </c>
      <c r="C273" s="195"/>
      <c r="D273" s="195"/>
      <c r="E273" s="195"/>
      <c r="F273" s="196"/>
      <c r="G273" s="123" t="s">
        <v>301</v>
      </c>
      <c r="H273" s="195" t="e">
        <f>IF(VLOOKUP(H271,Preenchimento!$A:$BV,11,0)=0,"",VLOOKUP(H271,Preenchimento!$A:$BV,11,0))</f>
        <v>#N/A</v>
      </c>
      <c r="I273" s="195"/>
      <c r="J273" s="195"/>
      <c r="K273" s="195"/>
      <c r="L273" s="196"/>
      <c r="M273" s="123" t="s">
        <v>301</v>
      </c>
      <c r="N273" s="195" t="e">
        <f>IF(VLOOKUP(N271,Preenchimento!$A:$BV,11,0)=0,"",VLOOKUP(N271,Preenchimento!$A:$BV,11,0))</f>
        <v>#N/A</v>
      </c>
      <c r="O273" s="195"/>
      <c r="P273" s="195"/>
      <c r="Q273" s="195"/>
      <c r="R273" s="196"/>
      <c r="S273" s="123" t="s">
        <v>301</v>
      </c>
      <c r="T273" s="195" t="e">
        <f>IF(VLOOKUP(T271,Preenchimento!$A:$BV,11,0)=0,"",VLOOKUP(T271,Preenchimento!$A:$BV,11,0))</f>
        <v>#N/A</v>
      </c>
      <c r="U273" s="195"/>
      <c r="V273" s="195"/>
      <c r="W273" s="195"/>
      <c r="X273" s="196"/>
    </row>
    <row r="274" spans="1:24" s="130" customFormat="1" ht="33.950000000000003" customHeight="1" x14ac:dyDescent="0.25">
      <c r="A274" s="199" t="str">
        <f>Sitio!$A$3</f>
        <v>Projeto 01</v>
      </c>
      <c r="B274" s="200"/>
      <c r="C274" s="200"/>
      <c r="D274" s="200"/>
      <c r="E274" s="200"/>
      <c r="F274" s="201"/>
      <c r="G274" s="199" t="str">
        <f>Sitio!$A$3</f>
        <v>Projeto 01</v>
      </c>
      <c r="H274" s="200"/>
      <c r="I274" s="200"/>
      <c r="J274" s="200"/>
      <c r="K274" s="200"/>
      <c r="L274" s="201"/>
      <c r="M274" s="199" t="str">
        <f>Sitio!$A$3</f>
        <v>Projeto 01</v>
      </c>
      <c r="N274" s="200"/>
      <c r="O274" s="200"/>
      <c r="P274" s="200"/>
      <c r="Q274" s="200"/>
      <c r="R274" s="201"/>
      <c r="S274" s="199" t="str">
        <f>Sitio!$A$3</f>
        <v>Projeto 01</v>
      </c>
      <c r="T274" s="200"/>
      <c r="U274" s="200"/>
      <c r="V274" s="200"/>
      <c r="W274" s="200"/>
      <c r="X274" s="201"/>
    </row>
    <row r="275" spans="1:24" ht="9.75" customHeight="1" x14ac:dyDescent="0.15">
      <c r="A275" s="121" t="s">
        <v>294</v>
      </c>
      <c r="B275" s="193">
        <f>Sitio!$E$3</f>
        <v>0</v>
      </c>
      <c r="C275" s="193"/>
      <c r="D275" s="193"/>
      <c r="E275" s="193"/>
      <c r="F275" s="194"/>
      <c r="G275" s="121" t="s">
        <v>294</v>
      </c>
      <c r="H275" s="193">
        <f>Sitio!$E$3</f>
        <v>0</v>
      </c>
      <c r="I275" s="193"/>
      <c r="J275" s="193"/>
      <c r="K275" s="193"/>
      <c r="L275" s="194"/>
      <c r="M275" s="121" t="s">
        <v>294</v>
      </c>
      <c r="N275" s="193">
        <f>Sitio!$E$3</f>
        <v>0</v>
      </c>
      <c r="O275" s="193"/>
      <c r="P275" s="193"/>
      <c r="Q275" s="193"/>
      <c r="R275" s="194"/>
      <c r="S275" s="121" t="s">
        <v>294</v>
      </c>
      <c r="T275" s="193">
        <f>Sitio!$E$3</f>
        <v>0</v>
      </c>
      <c r="U275" s="193"/>
      <c r="V275" s="193"/>
      <c r="W275" s="193"/>
      <c r="X275" s="194"/>
    </row>
    <row r="276" spans="1:24" ht="9.75" customHeight="1" x14ac:dyDescent="0.15">
      <c r="A276" s="121" t="s">
        <v>295</v>
      </c>
      <c r="C276" s="193" t="e">
        <f>VLOOKUP(B278,Preenchimento!$A:$BV,2,0)</f>
        <v>#N/A</v>
      </c>
      <c r="D276" s="193" t="e">
        <f>VLOOKUP(C278,Preenchimento!$A:$BV,2,0)</f>
        <v>#N/A</v>
      </c>
      <c r="E276" s="193" t="e">
        <f>VLOOKUP(D278,Preenchimento!$A:$BV,2,0)</f>
        <v>#N/A</v>
      </c>
      <c r="F276" s="194" t="e">
        <f>VLOOKUP(E278,Preenchimento!$A:$BV,2,0)</f>
        <v>#N/A</v>
      </c>
      <c r="G276" s="121" t="s">
        <v>295</v>
      </c>
      <c r="I276" s="193" t="e">
        <f>VLOOKUP(H278,Preenchimento!$A:$BV,2,0)</f>
        <v>#N/A</v>
      </c>
      <c r="J276" s="193" t="e">
        <f>VLOOKUP(I278,Preenchimento!$A:$BV,2,0)</f>
        <v>#N/A</v>
      </c>
      <c r="K276" s="193" t="e">
        <f>VLOOKUP(J278,Preenchimento!$A:$BV,2,0)</f>
        <v>#N/A</v>
      </c>
      <c r="L276" s="194" t="e">
        <f>VLOOKUP(K278,Preenchimento!$A:$BV,2,0)</f>
        <v>#N/A</v>
      </c>
      <c r="M276" s="121" t="s">
        <v>295</v>
      </c>
      <c r="O276" s="193" t="e">
        <f>VLOOKUP(N278,Preenchimento!$A:$BV,2,0)</f>
        <v>#N/A</v>
      </c>
      <c r="P276" s="193" t="e">
        <f>VLOOKUP(O278,Preenchimento!$A:$BV,2,0)</f>
        <v>#N/A</v>
      </c>
      <c r="Q276" s="193" t="e">
        <f>VLOOKUP(P278,Preenchimento!$A:$BV,2,0)</f>
        <v>#N/A</v>
      </c>
      <c r="R276" s="194" t="e">
        <f>VLOOKUP(Q278,Preenchimento!$A:$BV,2,0)</f>
        <v>#N/A</v>
      </c>
      <c r="S276" s="121" t="s">
        <v>295</v>
      </c>
      <c r="U276" s="193" t="e">
        <f>VLOOKUP(T278,Preenchimento!$A:$BV,2,0)</f>
        <v>#N/A</v>
      </c>
      <c r="V276" s="193" t="e">
        <f>VLOOKUP(U278,Preenchimento!$A:$BV,2,0)</f>
        <v>#N/A</v>
      </c>
      <c r="W276" s="193" t="e">
        <f>VLOOKUP(V278,Preenchimento!$A:$BV,2,0)</f>
        <v>#N/A</v>
      </c>
      <c r="X276" s="194" t="e">
        <f>VLOOKUP(W278,Preenchimento!$A:$BV,2,0)</f>
        <v>#N/A</v>
      </c>
    </row>
    <row r="277" spans="1:24" ht="9.75" customHeight="1" x14ac:dyDescent="0.15">
      <c r="A277" s="121" t="s">
        <v>296</v>
      </c>
      <c r="B277" s="193" t="e">
        <f>VLOOKUP(B278,Preenchimento!$A:$BV,3,0)</f>
        <v>#N/A</v>
      </c>
      <c r="C277" s="193" t="e">
        <f>VLOOKUP(C278,Preenchimento!$A:$BV,3,0)</f>
        <v>#N/A</v>
      </c>
      <c r="D277" s="120" t="s">
        <v>297</v>
      </c>
      <c r="E277" s="197" t="e">
        <f>VLOOKUP(B278,Preenchimento!$A:$BV,5,0)</f>
        <v>#N/A</v>
      </c>
      <c r="F277" s="198" t="e">
        <f>VLOOKUP(C278,Preenchimento!$A:$BV,5,0)</f>
        <v>#N/A</v>
      </c>
      <c r="G277" s="121" t="s">
        <v>296</v>
      </c>
      <c r="H277" s="193" t="e">
        <f>VLOOKUP(H278,Preenchimento!$A:$BV,3,0)</f>
        <v>#N/A</v>
      </c>
      <c r="I277" s="193" t="e">
        <f>VLOOKUP(I278,Preenchimento!$A:$BV,3,0)</f>
        <v>#N/A</v>
      </c>
      <c r="J277" s="120" t="s">
        <v>297</v>
      </c>
      <c r="K277" s="197" t="e">
        <f>VLOOKUP(H278,Preenchimento!$A:$BV,5,0)</f>
        <v>#N/A</v>
      </c>
      <c r="L277" s="198" t="e">
        <f>VLOOKUP(I278,Preenchimento!$A:$BV,5,0)</f>
        <v>#N/A</v>
      </c>
      <c r="M277" s="121" t="s">
        <v>296</v>
      </c>
      <c r="N277" s="193" t="e">
        <f>VLOOKUP(N278,Preenchimento!$A:$BV,3,0)</f>
        <v>#N/A</v>
      </c>
      <c r="O277" s="193" t="e">
        <f>VLOOKUP(O278,Preenchimento!$A:$BV,3,0)</f>
        <v>#N/A</v>
      </c>
      <c r="P277" s="120" t="s">
        <v>297</v>
      </c>
      <c r="Q277" s="197" t="e">
        <f>VLOOKUP(N278,Preenchimento!$A:$BV,5,0)</f>
        <v>#N/A</v>
      </c>
      <c r="R277" s="198" t="e">
        <f>VLOOKUP(O278,Preenchimento!$A:$BV,5,0)</f>
        <v>#N/A</v>
      </c>
      <c r="S277" s="121" t="s">
        <v>296</v>
      </c>
      <c r="T277" s="193" t="e">
        <f>VLOOKUP(T278,Preenchimento!$A:$BV,3,0)</f>
        <v>#N/A</v>
      </c>
      <c r="U277" s="193" t="e">
        <f>VLOOKUP(U278,Preenchimento!$A:$BV,3,0)</f>
        <v>#N/A</v>
      </c>
      <c r="V277" s="120" t="s">
        <v>297</v>
      </c>
      <c r="W277" s="197" t="e">
        <f>VLOOKUP(T278,Preenchimento!$A:$BV,5,0)</f>
        <v>#N/A</v>
      </c>
      <c r="X277" s="198" t="e">
        <f>VLOOKUP(U278,Preenchimento!$A:$BV,5,0)</f>
        <v>#N/A</v>
      </c>
    </row>
    <row r="278" spans="1:24" ht="9.75" customHeight="1" x14ac:dyDescent="0.15">
      <c r="A278" s="121" t="s">
        <v>298</v>
      </c>
      <c r="B278" s="193"/>
      <c r="C278" s="193"/>
      <c r="D278" s="120" t="s">
        <v>299</v>
      </c>
      <c r="F278" s="131" t="e">
        <f>VLOOKUP(B278,Preenchimento!$A:$BV,10,0)</f>
        <v>#N/A</v>
      </c>
      <c r="G278" s="121" t="s">
        <v>298</v>
      </c>
      <c r="H278" s="193"/>
      <c r="I278" s="193"/>
      <c r="J278" s="120" t="s">
        <v>299</v>
      </c>
      <c r="L278" s="131" t="e">
        <f>VLOOKUP(H278,Preenchimento!$A:$BV,10,0)</f>
        <v>#N/A</v>
      </c>
      <c r="M278" s="121" t="s">
        <v>298</v>
      </c>
      <c r="N278" s="193"/>
      <c r="O278" s="193"/>
      <c r="P278" s="120" t="s">
        <v>299</v>
      </c>
      <c r="R278" s="131" t="e">
        <f>VLOOKUP(N278,Preenchimento!$A:$BV,10,0)</f>
        <v>#N/A</v>
      </c>
      <c r="S278" s="121" t="s">
        <v>298</v>
      </c>
      <c r="T278" s="193"/>
      <c r="U278" s="193"/>
      <c r="V278" s="120" t="s">
        <v>299</v>
      </c>
      <c r="X278" s="131" t="e">
        <f>VLOOKUP(T278,Preenchimento!$A:$BV,10,0)</f>
        <v>#N/A</v>
      </c>
    </row>
    <row r="279" spans="1:24" ht="9.75" customHeight="1" x14ac:dyDescent="0.15">
      <c r="A279" s="121" t="s">
        <v>300</v>
      </c>
      <c r="C279" s="193" t="e">
        <f>VLOOKUP(B278,Preenchimento!$A:$BV,12,0)</f>
        <v>#N/A</v>
      </c>
      <c r="D279" s="193" t="e">
        <f>VLOOKUP(C278,Preenchimento!$A:$BV,12,0)</f>
        <v>#N/A</v>
      </c>
      <c r="E279" s="193" t="e">
        <f>VLOOKUP(D278,Preenchimento!$A:$BV,12,0)</f>
        <v>#N/A</v>
      </c>
      <c r="F279" s="194" t="e">
        <f>VLOOKUP(E278,Preenchimento!$A:$BV,12,0)</f>
        <v>#N/A</v>
      </c>
      <c r="G279" s="121" t="s">
        <v>300</v>
      </c>
      <c r="I279" s="193" t="e">
        <f>VLOOKUP(H278,Preenchimento!$A:$BV,12,0)</f>
        <v>#N/A</v>
      </c>
      <c r="J279" s="193" t="e">
        <f>VLOOKUP(I278,Preenchimento!$A:$BV,12,0)</f>
        <v>#N/A</v>
      </c>
      <c r="K279" s="193" t="e">
        <f>VLOOKUP(J278,Preenchimento!$A:$BV,12,0)</f>
        <v>#N/A</v>
      </c>
      <c r="L279" s="194" t="e">
        <f>VLOOKUP(K278,Preenchimento!$A:$BV,12,0)</f>
        <v>#N/A</v>
      </c>
      <c r="M279" s="121" t="s">
        <v>300</v>
      </c>
      <c r="O279" s="193" t="e">
        <f>VLOOKUP(N278,Preenchimento!$A:$BV,12,0)</f>
        <v>#N/A</v>
      </c>
      <c r="P279" s="193" t="e">
        <f>VLOOKUP(O278,Preenchimento!$A:$BV,12,0)</f>
        <v>#N/A</v>
      </c>
      <c r="Q279" s="193" t="e">
        <f>VLOOKUP(P278,Preenchimento!$A:$BV,12,0)</f>
        <v>#N/A</v>
      </c>
      <c r="R279" s="194" t="e">
        <f>VLOOKUP(Q278,Preenchimento!$A:$BV,12,0)</f>
        <v>#N/A</v>
      </c>
      <c r="S279" s="121" t="s">
        <v>300</v>
      </c>
      <c r="U279" s="193" t="e">
        <f>VLOOKUP(T278,Preenchimento!$A:$BV,12,0)</f>
        <v>#N/A</v>
      </c>
      <c r="V279" s="193" t="e">
        <f>VLOOKUP(U278,Preenchimento!$A:$BV,12,0)</f>
        <v>#N/A</v>
      </c>
      <c r="W279" s="193" t="e">
        <f>VLOOKUP(V278,Preenchimento!$A:$BV,12,0)</f>
        <v>#N/A</v>
      </c>
      <c r="X279" s="194" t="e">
        <f>VLOOKUP(W278,Preenchimento!$A:$BV,12,0)</f>
        <v>#N/A</v>
      </c>
    </row>
    <row r="280" spans="1:24" ht="9.75" customHeight="1" x14ac:dyDescent="0.15">
      <c r="A280" s="123" t="s">
        <v>301</v>
      </c>
      <c r="B280" s="195" t="e">
        <f>IF(VLOOKUP(B278,Preenchimento!$A:$BV,11,0)=0,"",VLOOKUP(B278,Preenchimento!$A:$BV,11,0))</f>
        <v>#N/A</v>
      </c>
      <c r="C280" s="195"/>
      <c r="D280" s="195"/>
      <c r="E280" s="195"/>
      <c r="F280" s="196"/>
      <c r="G280" s="123" t="s">
        <v>301</v>
      </c>
      <c r="H280" s="195" t="e">
        <f>IF(VLOOKUP(H278,Preenchimento!$A:$BV,11,0)=0,"",VLOOKUP(H278,Preenchimento!$A:$BV,11,0))</f>
        <v>#N/A</v>
      </c>
      <c r="I280" s="195"/>
      <c r="J280" s="195"/>
      <c r="K280" s="195"/>
      <c r="L280" s="196"/>
      <c r="M280" s="123" t="s">
        <v>301</v>
      </c>
      <c r="N280" s="195" t="e">
        <f>IF(VLOOKUP(N278,Preenchimento!$A:$BV,11,0)=0,"",VLOOKUP(N278,Preenchimento!$A:$BV,11,0))</f>
        <v>#N/A</v>
      </c>
      <c r="O280" s="195"/>
      <c r="P280" s="195"/>
      <c r="Q280" s="195"/>
      <c r="R280" s="196"/>
      <c r="S280" s="123" t="s">
        <v>301</v>
      </c>
      <c r="T280" s="195" t="e">
        <f>IF(VLOOKUP(T278,Preenchimento!$A:$BV,11,0)=0,"",VLOOKUP(T278,Preenchimento!$A:$BV,11,0))</f>
        <v>#N/A</v>
      </c>
      <c r="U280" s="195"/>
      <c r="V280" s="195"/>
      <c r="W280" s="195"/>
      <c r="X280" s="196"/>
    </row>
    <row r="281" spans="1:24" s="130" customFormat="1" ht="33.950000000000003" customHeight="1" x14ac:dyDescent="0.25">
      <c r="A281" s="199" t="str">
        <f>Sitio!$A$3</f>
        <v>Projeto 01</v>
      </c>
      <c r="B281" s="200"/>
      <c r="C281" s="200"/>
      <c r="D281" s="200"/>
      <c r="E281" s="200"/>
      <c r="F281" s="201"/>
      <c r="G281" s="199" t="str">
        <f>Sitio!$A$3</f>
        <v>Projeto 01</v>
      </c>
      <c r="H281" s="200"/>
      <c r="I281" s="200"/>
      <c r="J281" s="200"/>
      <c r="K281" s="200"/>
      <c r="L281" s="201"/>
      <c r="M281" s="199" t="str">
        <f>Sitio!$A$3</f>
        <v>Projeto 01</v>
      </c>
      <c r="N281" s="200"/>
      <c r="O281" s="200"/>
      <c r="P281" s="200"/>
      <c r="Q281" s="200"/>
      <c r="R281" s="201"/>
      <c r="S281" s="199" t="str">
        <f>Sitio!$A$3</f>
        <v>Projeto 01</v>
      </c>
      <c r="T281" s="200"/>
      <c r="U281" s="200"/>
      <c r="V281" s="200"/>
      <c r="W281" s="200"/>
      <c r="X281" s="201"/>
    </row>
    <row r="282" spans="1:24" ht="9.75" customHeight="1" x14ac:dyDescent="0.15">
      <c r="A282" s="121" t="s">
        <v>294</v>
      </c>
      <c r="B282" s="193">
        <f>Sitio!$E$3</f>
        <v>0</v>
      </c>
      <c r="C282" s="193"/>
      <c r="D282" s="193"/>
      <c r="E282" s="193"/>
      <c r="F282" s="194"/>
      <c r="G282" s="121" t="s">
        <v>294</v>
      </c>
      <c r="H282" s="193">
        <f>Sitio!$E$3</f>
        <v>0</v>
      </c>
      <c r="I282" s="193"/>
      <c r="J282" s="193"/>
      <c r="K282" s="193"/>
      <c r="L282" s="194"/>
      <c r="M282" s="121" t="s">
        <v>294</v>
      </c>
      <c r="N282" s="193">
        <f>Sitio!$E$3</f>
        <v>0</v>
      </c>
      <c r="O282" s="193"/>
      <c r="P282" s="193"/>
      <c r="Q282" s="193"/>
      <c r="R282" s="194"/>
      <c r="S282" s="121" t="s">
        <v>294</v>
      </c>
      <c r="T282" s="193">
        <f>Sitio!$E$3</f>
        <v>0</v>
      </c>
      <c r="U282" s="193"/>
      <c r="V282" s="193"/>
      <c r="W282" s="193"/>
      <c r="X282" s="194"/>
    </row>
    <row r="283" spans="1:24" ht="9.75" customHeight="1" x14ac:dyDescent="0.15">
      <c r="A283" s="121" t="s">
        <v>295</v>
      </c>
      <c r="C283" s="193" t="e">
        <f>VLOOKUP(B285,Preenchimento!$A:$BV,2,0)</f>
        <v>#N/A</v>
      </c>
      <c r="D283" s="193" t="e">
        <f>VLOOKUP(C285,Preenchimento!$A:$BV,2,0)</f>
        <v>#N/A</v>
      </c>
      <c r="E283" s="193" t="e">
        <f>VLOOKUP(D285,Preenchimento!$A:$BV,2,0)</f>
        <v>#N/A</v>
      </c>
      <c r="F283" s="194" t="e">
        <f>VLOOKUP(E285,Preenchimento!$A:$BV,2,0)</f>
        <v>#N/A</v>
      </c>
      <c r="G283" s="121" t="s">
        <v>295</v>
      </c>
      <c r="I283" s="193" t="e">
        <f>VLOOKUP(H285,Preenchimento!$A:$BV,2,0)</f>
        <v>#N/A</v>
      </c>
      <c r="J283" s="193" t="e">
        <f>VLOOKUP(I285,Preenchimento!$A:$BV,2,0)</f>
        <v>#N/A</v>
      </c>
      <c r="K283" s="193" t="e">
        <f>VLOOKUP(J285,Preenchimento!$A:$BV,2,0)</f>
        <v>#N/A</v>
      </c>
      <c r="L283" s="194" t="e">
        <f>VLOOKUP(K285,Preenchimento!$A:$BV,2,0)</f>
        <v>#N/A</v>
      </c>
      <c r="M283" s="121" t="s">
        <v>295</v>
      </c>
      <c r="O283" s="193" t="e">
        <f>VLOOKUP(N285,Preenchimento!$A:$BV,2,0)</f>
        <v>#N/A</v>
      </c>
      <c r="P283" s="193" t="e">
        <f>VLOOKUP(O285,Preenchimento!$A:$BV,2,0)</f>
        <v>#N/A</v>
      </c>
      <c r="Q283" s="193" t="e">
        <f>VLOOKUP(P285,Preenchimento!$A:$BV,2,0)</f>
        <v>#N/A</v>
      </c>
      <c r="R283" s="194" t="e">
        <f>VLOOKUP(Q285,Preenchimento!$A:$BV,2,0)</f>
        <v>#N/A</v>
      </c>
      <c r="S283" s="121" t="s">
        <v>295</v>
      </c>
      <c r="U283" s="193" t="e">
        <f>VLOOKUP(T285,Preenchimento!$A:$BV,2,0)</f>
        <v>#N/A</v>
      </c>
      <c r="V283" s="193" t="e">
        <f>VLOOKUP(U285,Preenchimento!$A:$BV,2,0)</f>
        <v>#N/A</v>
      </c>
      <c r="W283" s="193" t="e">
        <f>VLOOKUP(V285,Preenchimento!$A:$BV,2,0)</f>
        <v>#N/A</v>
      </c>
      <c r="X283" s="194" t="e">
        <f>VLOOKUP(W285,Preenchimento!$A:$BV,2,0)</f>
        <v>#N/A</v>
      </c>
    </row>
    <row r="284" spans="1:24" ht="9.75" customHeight="1" x14ac:dyDescent="0.15">
      <c r="A284" s="121" t="s">
        <v>296</v>
      </c>
      <c r="B284" s="193" t="e">
        <f>VLOOKUP(B285,Preenchimento!$A:$BV,3,0)</f>
        <v>#N/A</v>
      </c>
      <c r="C284" s="193" t="e">
        <f>VLOOKUP(C285,Preenchimento!$A:$BV,3,0)</f>
        <v>#N/A</v>
      </c>
      <c r="D284" s="120" t="s">
        <v>297</v>
      </c>
      <c r="E284" s="197" t="e">
        <f>VLOOKUP(B285,Preenchimento!$A:$BV,5,0)</f>
        <v>#N/A</v>
      </c>
      <c r="F284" s="198" t="e">
        <f>VLOOKUP(C285,Preenchimento!$A:$BV,5,0)</f>
        <v>#N/A</v>
      </c>
      <c r="G284" s="121" t="s">
        <v>296</v>
      </c>
      <c r="H284" s="193" t="e">
        <f>VLOOKUP(H285,Preenchimento!$A:$BV,3,0)</f>
        <v>#N/A</v>
      </c>
      <c r="I284" s="193" t="e">
        <f>VLOOKUP(I285,Preenchimento!$A:$BV,3,0)</f>
        <v>#N/A</v>
      </c>
      <c r="J284" s="120" t="s">
        <v>297</v>
      </c>
      <c r="K284" s="197" t="e">
        <f>VLOOKUP(H285,Preenchimento!$A:$BV,5,0)</f>
        <v>#N/A</v>
      </c>
      <c r="L284" s="198" t="e">
        <f>VLOOKUP(I285,Preenchimento!$A:$BV,5,0)</f>
        <v>#N/A</v>
      </c>
      <c r="M284" s="121" t="s">
        <v>296</v>
      </c>
      <c r="N284" s="193" t="e">
        <f>VLOOKUP(N285,Preenchimento!$A:$BV,3,0)</f>
        <v>#N/A</v>
      </c>
      <c r="O284" s="193" t="e">
        <f>VLOOKUP(O285,Preenchimento!$A:$BV,3,0)</f>
        <v>#N/A</v>
      </c>
      <c r="P284" s="120" t="s">
        <v>297</v>
      </c>
      <c r="Q284" s="197" t="e">
        <f>VLOOKUP(N285,Preenchimento!$A:$BV,5,0)</f>
        <v>#N/A</v>
      </c>
      <c r="R284" s="198" t="e">
        <f>VLOOKUP(O285,Preenchimento!$A:$BV,5,0)</f>
        <v>#N/A</v>
      </c>
      <c r="S284" s="121" t="s">
        <v>296</v>
      </c>
      <c r="T284" s="193" t="e">
        <f>VLOOKUP(T285,Preenchimento!$A:$BV,3,0)</f>
        <v>#N/A</v>
      </c>
      <c r="U284" s="193" t="e">
        <f>VLOOKUP(U285,Preenchimento!$A:$BV,3,0)</f>
        <v>#N/A</v>
      </c>
      <c r="V284" s="120" t="s">
        <v>297</v>
      </c>
      <c r="W284" s="197" t="e">
        <f>VLOOKUP(T285,Preenchimento!$A:$BV,5,0)</f>
        <v>#N/A</v>
      </c>
      <c r="X284" s="198" t="e">
        <f>VLOOKUP(U285,Preenchimento!$A:$BV,5,0)</f>
        <v>#N/A</v>
      </c>
    </row>
    <row r="285" spans="1:24" ht="9.75" customHeight="1" x14ac:dyDescent="0.15">
      <c r="A285" s="121" t="s">
        <v>298</v>
      </c>
      <c r="B285" s="193"/>
      <c r="C285" s="193"/>
      <c r="D285" s="120" t="s">
        <v>299</v>
      </c>
      <c r="F285" s="131" t="e">
        <f>VLOOKUP(B285,Preenchimento!$A:$BV,10,0)</f>
        <v>#N/A</v>
      </c>
      <c r="G285" s="121" t="s">
        <v>298</v>
      </c>
      <c r="H285" s="193"/>
      <c r="I285" s="193"/>
      <c r="J285" s="120" t="s">
        <v>299</v>
      </c>
      <c r="L285" s="131" t="e">
        <f>VLOOKUP(H285,Preenchimento!$A:$BV,10,0)</f>
        <v>#N/A</v>
      </c>
      <c r="M285" s="121" t="s">
        <v>298</v>
      </c>
      <c r="N285" s="193"/>
      <c r="O285" s="193"/>
      <c r="P285" s="120" t="s">
        <v>299</v>
      </c>
      <c r="R285" s="131" t="e">
        <f>VLOOKUP(N285,Preenchimento!$A:$BV,10,0)</f>
        <v>#N/A</v>
      </c>
      <c r="S285" s="121" t="s">
        <v>298</v>
      </c>
      <c r="T285" s="193"/>
      <c r="U285" s="193"/>
      <c r="V285" s="120" t="s">
        <v>299</v>
      </c>
      <c r="X285" s="131" t="e">
        <f>VLOOKUP(T285,Preenchimento!$A:$BV,10,0)</f>
        <v>#N/A</v>
      </c>
    </row>
    <row r="286" spans="1:24" ht="9.75" customHeight="1" x14ac:dyDescent="0.15">
      <c r="A286" s="121" t="s">
        <v>300</v>
      </c>
      <c r="C286" s="193" t="e">
        <f>VLOOKUP(B285,Preenchimento!$A:$BV,12,0)</f>
        <v>#N/A</v>
      </c>
      <c r="D286" s="193" t="e">
        <f>VLOOKUP(C285,Preenchimento!$A:$BV,12,0)</f>
        <v>#N/A</v>
      </c>
      <c r="E286" s="193" t="e">
        <f>VLOOKUP(D285,Preenchimento!$A:$BV,12,0)</f>
        <v>#N/A</v>
      </c>
      <c r="F286" s="194" t="e">
        <f>VLOOKUP(E285,Preenchimento!$A:$BV,12,0)</f>
        <v>#N/A</v>
      </c>
      <c r="G286" s="121" t="s">
        <v>300</v>
      </c>
      <c r="I286" s="193" t="e">
        <f>VLOOKUP(H285,Preenchimento!$A:$BV,12,0)</f>
        <v>#N/A</v>
      </c>
      <c r="J286" s="193" t="e">
        <f>VLOOKUP(I285,Preenchimento!$A:$BV,12,0)</f>
        <v>#N/A</v>
      </c>
      <c r="K286" s="193" t="e">
        <f>VLOOKUP(J285,Preenchimento!$A:$BV,12,0)</f>
        <v>#N/A</v>
      </c>
      <c r="L286" s="194" t="e">
        <f>VLOOKUP(K285,Preenchimento!$A:$BV,12,0)</f>
        <v>#N/A</v>
      </c>
      <c r="M286" s="121" t="s">
        <v>300</v>
      </c>
      <c r="O286" s="193" t="e">
        <f>VLOOKUP(N285,Preenchimento!$A:$BV,12,0)</f>
        <v>#N/A</v>
      </c>
      <c r="P286" s="193" t="e">
        <f>VLOOKUP(O285,Preenchimento!$A:$BV,12,0)</f>
        <v>#N/A</v>
      </c>
      <c r="Q286" s="193" t="e">
        <f>VLOOKUP(P285,Preenchimento!$A:$BV,12,0)</f>
        <v>#N/A</v>
      </c>
      <c r="R286" s="194" t="e">
        <f>VLOOKUP(Q285,Preenchimento!$A:$BV,12,0)</f>
        <v>#N/A</v>
      </c>
      <c r="S286" s="121" t="s">
        <v>300</v>
      </c>
      <c r="U286" s="193" t="e">
        <f>VLOOKUP(T285,Preenchimento!$A:$BV,12,0)</f>
        <v>#N/A</v>
      </c>
      <c r="V286" s="193" t="e">
        <f>VLOOKUP(U285,Preenchimento!$A:$BV,12,0)</f>
        <v>#N/A</v>
      </c>
      <c r="W286" s="193" t="e">
        <f>VLOOKUP(V285,Preenchimento!$A:$BV,12,0)</f>
        <v>#N/A</v>
      </c>
      <c r="X286" s="194" t="e">
        <f>VLOOKUP(W285,Preenchimento!$A:$BV,12,0)</f>
        <v>#N/A</v>
      </c>
    </row>
    <row r="287" spans="1:24" ht="9.75" customHeight="1" x14ac:dyDescent="0.15">
      <c r="A287" s="123" t="s">
        <v>301</v>
      </c>
      <c r="B287" s="195" t="e">
        <f>IF(VLOOKUP(B285,Preenchimento!$A:$BV,11,0)=0,"",VLOOKUP(B285,Preenchimento!$A:$BV,11,0))</f>
        <v>#N/A</v>
      </c>
      <c r="C287" s="195"/>
      <c r="D287" s="195"/>
      <c r="E287" s="195"/>
      <c r="F287" s="196"/>
      <c r="G287" s="123" t="s">
        <v>301</v>
      </c>
      <c r="H287" s="195" t="e">
        <f>IF(VLOOKUP(H285,Preenchimento!$A:$BV,11,0)=0,"",VLOOKUP(H285,Preenchimento!$A:$BV,11,0))</f>
        <v>#N/A</v>
      </c>
      <c r="I287" s="195"/>
      <c r="J287" s="195"/>
      <c r="K287" s="195"/>
      <c r="L287" s="196"/>
      <c r="M287" s="123" t="s">
        <v>301</v>
      </c>
      <c r="N287" s="195" t="e">
        <f>IF(VLOOKUP(N285,Preenchimento!$A:$BV,11,0)=0,"",VLOOKUP(N285,Preenchimento!$A:$BV,11,0))</f>
        <v>#N/A</v>
      </c>
      <c r="O287" s="195"/>
      <c r="P287" s="195"/>
      <c r="Q287" s="195"/>
      <c r="R287" s="196"/>
      <c r="S287" s="123" t="s">
        <v>301</v>
      </c>
      <c r="T287" s="195" t="e">
        <f>IF(VLOOKUP(T285,Preenchimento!$A:$BV,11,0)=0,"",VLOOKUP(T285,Preenchimento!$A:$BV,11,0))</f>
        <v>#N/A</v>
      </c>
      <c r="U287" s="195"/>
      <c r="V287" s="195"/>
      <c r="W287" s="195"/>
      <c r="X287" s="196"/>
    </row>
    <row r="288" spans="1:24" s="130" customFormat="1" ht="33.950000000000003" customHeight="1" x14ac:dyDescent="0.25">
      <c r="A288" s="199" t="str">
        <f>Sitio!$A$3</f>
        <v>Projeto 01</v>
      </c>
      <c r="B288" s="200"/>
      <c r="C288" s="200"/>
      <c r="D288" s="200"/>
      <c r="E288" s="200"/>
      <c r="F288" s="201"/>
      <c r="G288" s="199" t="str">
        <f>Sitio!$A$3</f>
        <v>Projeto 01</v>
      </c>
      <c r="H288" s="200"/>
      <c r="I288" s="200"/>
      <c r="J288" s="200"/>
      <c r="K288" s="200"/>
      <c r="L288" s="201"/>
      <c r="M288" s="199" t="str">
        <f>Sitio!$A$3</f>
        <v>Projeto 01</v>
      </c>
      <c r="N288" s="200"/>
      <c r="O288" s="200"/>
      <c r="P288" s="200"/>
      <c r="Q288" s="200"/>
      <c r="R288" s="201"/>
      <c r="S288" s="199" t="str">
        <f>Sitio!$A$3</f>
        <v>Projeto 01</v>
      </c>
      <c r="T288" s="200"/>
      <c r="U288" s="200"/>
      <c r="V288" s="200"/>
      <c r="W288" s="200"/>
      <c r="X288" s="201"/>
    </row>
    <row r="289" spans="1:24" ht="9.75" customHeight="1" x14ac:dyDescent="0.15">
      <c r="A289" s="121" t="s">
        <v>294</v>
      </c>
      <c r="B289" s="193">
        <f>Sitio!$E$3</f>
        <v>0</v>
      </c>
      <c r="C289" s="193"/>
      <c r="D289" s="193"/>
      <c r="E289" s="193"/>
      <c r="F289" s="194"/>
      <c r="G289" s="121" t="s">
        <v>294</v>
      </c>
      <c r="H289" s="193">
        <f>Sitio!$E$3</f>
        <v>0</v>
      </c>
      <c r="I289" s="193"/>
      <c r="J289" s="193"/>
      <c r="K289" s="193"/>
      <c r="L289" s="194"/>
      <c r="M289" s="121" t="s">
        <v>294</v>
      </c>
      <c r="N289" s="193">
        <f>Sitio!$E$3</f>
        <v>0</v>
      </c>
      <c r="O289" s="193"/>
      <c r="P289" s="193"/>
      <c r="Q289" s="193"/>
      <c r="R289" s="194"/>
      <c r="S289" s="121" t="s">
        <v>294</v>
      </c>
      <c r="T289" s="193">
        <f>Sitio!$E$3</f>
        <v>0</v>
      </c>
      <c r="U289" s="193"/>
      <c r="V289" s="193"/>
      <c r="W289" s="193"/>
      <c r="X289" s="194"/>
    </row>
    <row r="290" spans="1:24" ht="9.75" customHeight="1" x14ac:dyDescent="0.15">
      <c r="A290" s="121" t="s">
        <v>295</v>
      </c>
      <c r="C290" s="193" t="e">
        <f>VLOOKUP(B292,Preenchimento!$A:$BV,2,0)</f>
        <v>#N/A</v>
      </c>
      <c r="D290" s="193" t="e">
        <f>VLOOKUP(C292,Preenchimento!$A:$BV,2,0)</f>
        <v>#N/A</v>
      </c>
      <c r="E290" s="193" t="e">
        <f>VLOOKUP(D292,Preenchimento!$A:$BV,2,0)</f>
        <v>#N/A</v>
      </c>
      <c r="F290" s="194" t="e">
        <f>VLOOKUP(E292,Preenchimento!$A:$BV,2,0)</f>
        <v>#N/A</v>
      </c>
      <c r="G290" s="121" t="s">
        <v>295</v>
      </c>
      <c r="I290" s="193" t="e">
        <f>VLOOKUP(H292,Preenchimento!$A:$BV,2,0)</f>
        <v>#N/A</v>
      </c>
      <c r="J290" s="193" t="e">
        <f>VLOOKUP(I292,Preenchimento!$A:$BV,2,0)</f>
        <v>#N/A</v>
      </c>
      <c r="K290" s="193" t="e">
        <f>VLOOKUP(J292,Preenchimento!$A:$BV,2,0)</f>
        <v>#N/A</v>
      </c>
      <c r="L290" s="194" t="e">
        <f>VLOOKUP(K292,Preenchimento!$A:$BV,2,0)</f>
        <v>#N/A</v>
      </c>
      <c r="M290" s="121" t="s">
        <v>295</v>
      </c>
      <c r="O290" s="193" t="e">
        <f>VLOOKUP(N292,Preenchimento!$A:$BV,2,0)</f>
        <v>#N/A</v>
      </c>
      <c r="P290" s="193" t="e">
        <f>VLOOKUP(O292,Preenchimento!$A:$BV,2,0)</f>
        <v>#N/A</v>
      </c>
      <c r="Q290" s="193" t="e">
        <f>VLOOKUP(P292,Preenchimento!$A:$BV,2,0)</f>
        <v>#N/A</v>
      </c>
      <c r="R290" s="194" t="e">
        <f>VLOOKUP(Q292,Preenchimento!$A:$BV,2,0)</f>
        <v>#N/A</v>
      </c>
      <c r="S290" s="121" t="s">
        <v>295</v>
      </c>
      <c r="U290" s="193" t="e">
        <f>VLOOKUP(T292,Preenchimento!$A:$BV,2,0)</f>
        <v>#N/A</v>
      </c>
      <c r="V290" s="193" t="e">
        <f>VLOOKUP(U292,Preenchimento!$A:$BV,2,0)</f>
        <v>#N/A</v>
      </c>
      <c r="W290" s="193" t="e">
        <f>VLOOKUP(V292,Preenchimento!$A:$BV,2,0)</f>
        <v>#N/A</v>
      </c>
      <c r="X290" s="194" t="e">
        <f>VLOOKUP(W292,Preenchimento!$A:$BV,2,0)</f>
        <v>#N/A</v>
      </c>
    </row>
    <row r="291" spans="1:24" ht="9.75" customHeight="1" x14ac:dyDescent="0.15">
      <c r="A291" s="121" t="s">
        <v>296</v>
      </c>
      <c r="B291" s="193" t="e">
        <f>VLOOKUP(B292,Preenchimento!$A:$BV,3,0)</f>
        <v>#N/A</v>
      </c>
      <c r="C291" s="193" t="e">
        <f>VLOOKUP(C292,Preenchimento!$A:$BV,3,0)</f>
        <v>#N/A</v>
      </c>
      <c r="D291" s="120" t="s">
        <v>297</v>
      </c>
      <c r="E291" s="197" t="e">
        <f>VLOOKUP(B292,Preenchimento!$A:$BV,5,0)</f>
        <v>#N/A</v>
      </c>
      <c r="F291" s="198" t="e">
        <f>VLOOKUP(C292,Preenchimento!$A:$BV,5,0)</f>
        <v>#N/A</v>
      </c>
      <c r="G291" s="121" t="s">
        <v>296</v>
      </c>
      <c r="H291" s="193" t="e">
        <f>VLOOKUP(H292,Preenchimento!$A:$BV,3,0)</f>
        <v>#N/A</v>
      </c>
      <c r="I291" s="193" t="e">
        <f>VLOOKUP(I292,Preenchimento!$A:$BV,3,0)</f>
        <v>#N/A</v>
      </c>
      <c r="J291" s="120" t="s">
        <v>297</v>
      </c>
      <c r="K291" s="197" t="e">
        <f>VLOOKUP(H292,Preenchimento!$A:$BV,5,0)</f>
        <v>#N/A</v>
      </c>
      <c r="L291" s="198" t="e">
        <f>VLOOKUP(I292,Preenchimento!$A:$BV,5,0)</f>
        <v>#N/A</v>
      </c>
      <c r="M291" s="121" t="s">
        <v>296</v>
      </c>
      <c r="N291" s="193" t="e">
        <f>VLOOKUP(N292,Preenchimento!$A:$BV,3,0)</f>
        <v>#N/A</v>
      </c>
      <c r="O291" s="193" t="e">
        <f>VLOOKUP(O292,Preenchimento!$A:$BV,3,0)</f>
        <v>#N/A</v>
      </c>
      <c r="P291" s="120" t="s">
        <v>297</v>
      </c>
      <c r="Q291" s="197" t="e">
        <f>VLOOKUP(N292,Preenchimento!$A:$BV,5,0)</f>
        <v>#N/A</v>
      </c>
      <c r="R291" s="198" t="e">
        <f>VLOOKUP(O292,Preenchimento!$A:$BV,5,0)</f>
        <v>#N/A</v>
      </c>
      <c r="S291" s="121" t="s">
        <v>296</v>
      </c>
      <c r="T291" s="193" t="e">
        <f>VLOOKUP(T292,Preenchimento!$A:$BV,3,0)</f>
        <v>#N/A</v>
      </c>
      <c r="U291" s="193" t="e">
        <f>VLOOKUP(U292,Preenchimento!$A:$BV,3,0)</f>
        <v>#N/A</v>
      </c>
      <c r="V291" s="120" t="s">
        <v>297</v>
      </c>
      <c r="W291" s="197" t="e">
        <f>VLOOKUP(T292,Preenchimento!$A:$BV,5,0)</f>
        <v>#N/A</v>
      </c>
      <c r="X291" s="198" t="e">
        <f>VLOOKUP(U292,Preenchimento!$A:$BV,5,0)</f>
        <v>#N/A</v>
      </c>
    </row>
    <row r="292" spans="1:24" ht="9.75" customHeight="1" x14ac:dyDescent="0.15">
      <c r="A292" s="121" t="s">
        <v>298</v>
      </c>
      <c r="B292" s="193"/>
      <c r="C292" s="193"/>
      <c r="D292" s="120" t="s">
        <v>299</v>
      </c>
      <c r="F292" s="131" t="e">
        <f>VLOOKUP(B292,Preenchimento!$A:$BV,10,0)</f>
        <v>#N/A</v>
      </c>
      <c r="G292" s="121" t="s">
        <v>298</v>
      </c>
      <c r="H292" s="193"/>
      <c r="I292" s="193"/>
      <c r="J292" s="120" t="s">
        <v>299</v>
      </c>
      <c r="L292" s="131" t="e">
        <f>VLOOKUP(H292,Preenchimento!$A:$BV,10,0)</f>
        <v>#N/A</v>
      </c>
      <c r="M292" s="121" t="s">
        <v>298</v>
      </c>
      <c r="N292" s="193"/>
      <c r="O292" s="193"/>
      <c r="P292" s="120" t="s">
        <v>299</v>
      </c>
      <c r="R292" s="131" t="e">
        <f>VLOOKUP(N292,Preenchimento!$A:$BV,10,0)</f>
        <v>#N/A</v>
      </c>
      <c r="S292" s="121" t="s">
        <v>298</v>
      </c>
      <c r="T292" s="193"/>
      <c r="U292" s="193"/>
      <c r="V292" s="120" t="s">
        <v>299</v>
      </c>
      <c r="X292" s="131" t="e">
        <f>VLOOKUP(T292,Preenchimento!$A:$BV,10,0)</f>
        <v>#N/A</v>
      </c>
    </row>
    <row r="293" spans="1:24" ht="9.75" customHeight="1" x14ac:dyDescent="0.15">
      <c r="A293" s="121" t="s">
        <v>300</v>
      </c>
      <c r="C293" s="193" t="e">
        <f>VLOOKUP(B292,Preenchimento!$A:$BV,12,0)</f>
        <v>#N/A</v>
      </c>
      <c r="D293" s="193" t="e">
        <f>VLOOKUP(C292,Preenchimento!$A:$BV,12,0)</f>
        <v>#N/A</v>
      </c>
      <c r="E293" s="193" t="e">
        <f>VLOOKUP(D292,Preenchimento!$A:$BV,12,0)</f>
        <v>#N/A</v>
      </c>
      <c r="F293" s="194" t="e">
        <f>VLOOKUP(E292,Preenchimento!$A:$BV,12,0)</f>
        <v>#N/A</v>
      </c>
      <c r="G293" s="121" t="s">
        <v>300</v>
      </c>
      <c r="I293" s="193" t="e">
        <f>VLOOKUP(H292,Preenchimento!$A:$BV,12,0)</f>
        <v>#N/A</v>
      </c>
      <c r="J293" s="193" t="e">
        <f>VLOOKUP(I292,Preenchimento!$A:$BV,12,0)</f>
        <v>#N/A</v>
      </c>
      <c r="K293" s="193" t="e">
        <f>VLOOKUP(J292,Preenchimento!$A:$BV,12,0)</f>
        <v>#N/A</v>
      </c>
      <c r="L293" s="194" t="e">
        <f>VLOOKUP(K292,Preenchimento!$A:$BV,12,0)</f>
        <v>#N/A</v>
      </c>
      <c r="M293" s="121" t="s">
        <v>300</v>
      </c>
      <c r="O293" s="193" t="e">
        <f>VLOOKUP(N292,Preenchimento!$A:$BV,12,0)</f>
        <v>#N/A</v>
      </c>
      <c r="P293" s="193" t="e">
        <f>VLOOKUP(O292,Preenchimento!$A:$BV,12,0)</f>
        <v>#N/A</v>
      </c>
      <c r="Q293" s="193" t="e">
        <f>VLOOKUP(P292,Preenchimento!$A:$BV,12,0)</f>
        <v>#N/A</v>
      </c>
      <c r="R293" s="194" t="e">
        <f>VLOOKUP(Q292,Preenchimento!$A:$BV,12,0)</f>
        <v>#N/A</v>
      </c>
      <c r="S293" s="121" t="s">
        <v>300</v>
      </c>
      <c r="U293" s="193" t="e">
        <f>VLOOKUP(T292,Preenchimento!$A:$BV,12,0)</f>
        <v>#N/A</v>
      </c>
      <c r="V293" s="193" t="e">
        <f>VLOOKUP(U292,Preenchimento!$A:$BV,12,0)</f>
        <v>#N/A</v>
      </c>
      <c r="W293" s="193" t="e">
        <f>VLOOKUP(V292,Preenchimento!$A:$BV,12,0)</f>
        <v>#N/A</v>
      </c>
      <c r="X293" s="194" t="e">
        <f>VLOOKUP(W292,Preenchimento!$A:$BV,12,0)</f>
        <v>#N/A</v>
      </c>
    </row>
    <row r="294" spans="1:24" ht="9.75" customHeight="1" x14ac:dyDescent="0.15">
      <c r="A294" s="123" t="s">
        <v>301</v>
      </c>
      <c r="B294" s="195" t="e">
        <f>IF(VLOOKUP(B292,Preenchimento!$A:$BV,11,0)=0,"",VLOOKUP(B292,Preenchimento!$A:$BV,11,0))</f>
        <v>#N/A</v>
      </c>
      <c r="C294" s="195"/>
      <c r="D294" s="195"/>
      <c r="E294" s="195"/>
      <c r="F294" s="196"/>
      <c r="G294" s="123" t="s">
        <v>301</v>
      </c>
      <c r="H294" s="195" t="e">
        <f>IF(VLOOKUP(H292,Preenchimento!$A:$BV,11,0)=0,"",VLOOKUP(H292,Preenchimento!$A:$BV,11,0))</f>
        <v>#N/A</v>
      </c>
      <c r="I294" s="195"/>
      <c r="J294" s="195"/>
      <c r="K294" s="195"/>
      <c r="L294" s="196"/>
      <c r="M294" s="123" t="s">
        <v>301</v>
      </c>
      <c r="N294" s="195" t="e">
        <f>IF(VLOOKUP(N292,Preenchimento!$A:$BV,11,0)=0,"",VLOOKUP(N292,Preenchimento!$A:$BV,11,0))</f>
        <v>#N/A</v>
      </c>
      <c r="O294" s="195"/>
      <c r="P294" s="195"/>
      <c r="Q294" s="195"/>
      <c r="R294" s="196"/>
      <c r="S294" s="123" t="s">
        <v>301</v>
      </c>
      <c r="T294" s="195" t="e">
        <f>IF(VLOOKUP(T292,Preenchimento!$A:$BV,11,0)=0,"",VLOOKUP(T292,Preenchimento!$A:$BV,11,0))</f>
        <v>#N/A</v>
      </c>
      <c r="U294" s="195"/>
      <c r="V294" s="195"/>
      <c r="W294" s="195"/>
      <c r="X294" s="196"/>
    </row>
    <row r="295" spans="1:24" s="130" customFormat="1" ht="33.950000000000003" customHeight="1" x14ac:dyDescent="0.25">
      <c r="A295" s="199" t="str">
        <f>Sitio!$A$3</f>
        <v>Projeto 01</v>
      </c>
      <c r="B295" s="200"/>
      <c r="C295" s="200"/>
      <c r="D295" s="200"/>
      <c r="E295" s="200"/>
      <c r="F295" s="201"/>
      <c r="G295" s="199" t="str">
        <f>Sitio!$A$3</f>
        <v>Projeto 01</v>
      </c>
      <c r="H295" s="200"/>
      <c r="I295" s="200"/>
      <c r="J295" s="200"/>
      <c r="K295" s="200"/>
      <c r="L295" s="201"/>
      <c r="M295" s="199" t="str">
        <f>Sitio!$A$3</f>
        <v>Projeto 01</v>
      </c>
      <c r="N295" s="200"/>
      <c r="O295" s="200"/>
      <c r="P295" s="200"/>
      <c r="Q295" s="200"/>
      <c r="R295" s="201"/>
      <c r="S295" s="199" t="str">
        <f>Sitio!$A$3</f>
        <v>Projeto 01</v>
      </c>
      <c r="T295" s="200"/>
      <c r="U295" s="200"/>
      <c r="V295" s="200"/>
      <c r="W295" s="200"/>
      <c r="X295" s="201"/>
    </row>
    <row r="296" spans="1:24" ht="9.75" customHeight="1" x14ac:dyDescent="0.15">
      <c r="A296" s="121" t="s">
        <v>294</v>
      </c>
      <c r="B296" s="193">
        <f>Sitio!$E$3</f>
        <v>0</v>
      </c>
      <c r="C296" s="193"/>
      <c r="D296" s="193"/>
      <c r="E296" s="193"/>
      <c r="F296" s="194"/>
      <c r="G296" s="121" t="s">
        <v>294</v>
      </c>
      <c r="H296" s="193">
        <f>Sitio!$E$3</f>
        <v>0</v>
      </c>
      <c r="I296" s="193"/>
      <c r="J296" s="193"/>
      <c r="K296" s="193"/>
      <c r="L296" s="194"/>
      <c r="M296" s="121" t="s">
        <v>294</v>
      </c>
      <c r="N296" s="193">
        <f>Sitio!$E$3</f>
        <v>0</v>
      </c>
      <c r="O296" s="193"/>
      <c r="P296" s="193"/>
      <c r="Q296" s="193"/>
      <c r="R296" s="194"/>
      <c r="S296" s="121" t="s">
        <v>294</v>
      </c>
      <c r="T296" s="193">
        <f>Sitio!$E$3</f>
        <v>0</v>
      </c>
      <c r="U296" s="193"/>
      <c r="V296" s="193"/>
      <c r="W296" s="193"/>
      <c r="X296" s="194"/>
    </row>
    <row r="297" spans="1:24" ht="9.75" customHeight="1" x14ac:dyDescent="0.15">
      <c r="A297" s="121" t="s">
        <v>295</v>
      </c>
      <c r="C297" s="193" t="e">
        <f>VLOOKUP(B299,Preenchimento!$A:$BV,2,0)</f>
        <v>#N/A</v>
      </c>
      <c r="D297" s="193" t="e">
        <f>VLOOKUP(C299,Preenchimento!$A:$BV,2,0)</f>
        <v>#N/A</v>
      </c>
      <c r="E297" s="193" t="e">
        <f>VLOOKUP(D299,Preenchimento!$A:$BV,2,0)</f>
        <v>#N/A</v>
      </c>
      <c r="F297" s="194" t="e">
        <f>VLOOKUP(E299,Preenchimento!$A:$BV,2,0)</f>
        <v>#N/A</v>
      </c>
      <c r="G297" s="121" t="s">
        <v>295</v>
      </c>
      <c r="I297" s="193" t="e">
        <f>VLOOKUP(H299,Preenchimento!$A:$BV,2,0)</f>
        <v>#N/A</v>
      </c>
      <c r="J297" s="193" t="e">
        <f>VLOOKUP(I299,Preenchimento!$A:$BV,2,0)</f>
        <v>#N/A</v>
      </c>
      <c r="K297" s="193" t="e">
        <f>VLOOKUP(J299,Preenchimento!$A:$BV,2,0)</f>
        <v>#N/A</v>
      </c>
      <c r="L297" s="194" t="e">
        <f>VLOOKUP(K299,Preenchimento!$A:$BV,2,0)</f>
        <v>#N/A</v>
      </c>
      <c r="M297" s="121" t="s">
        <v>295</v>
      </c>
      <c r="O297" s="193" t="e">
        <f>VLOOKUP(N299,Preenchimento!$A:$BV,2,0)</f>
        <v>#N/A</v>
      </c>
      <c r="P297" s="193" t="e">
        <f>VLOOKUP(O299,Preenchimento!$A:$BV,2,0)</f>
        <v>#N/A</v>
      </c>
      <c r="Q297" s="193" t="e">
        <f>VLOOKUP(P299,Preenchimento!$A:$BV,2,0)</f>
        <v>#N/A</v>
      </c>
      <c r="R297" s="194" t="e">
        <f>VLOOKUP(Q299,Preenchimento!$A:$BV,2,0)</f>
        <v>#N/A</v>
      </c>
      <c r="S297" s="121" t="s">
        <v>295</v>
      </c>
      <c r="U297" s="193" t="e">
        <f>VLOOKUP(T299,Preenchimento!$A:$BV,2,0)</f>
        <v>#N/A</v>
      </c>
      <c r="V297" s="193" t="e">
        <f>VLOOKUP(U299,Preenchimento!$A:$BV,2,0)</f>
        <v>#N/A</v>
      </c>
      <c r="W297" s="193" t="e">
        <f>VLOOKUP(V299,Preenchimento!$A:$BV,2,0)</f>
        <v>#N/A</v>
      </c>
      <c r="X297" s="194" t="e">
        <f>VLOOKUP(W299,Preenchimento!$A:$BV,2,0)</f>
        <v>#N/A</v>
      </c>
    </row>
    <row r="298" spans="1:24" ht="9.75" customHeight="1" x14ac:dyDescent="0.15">
      <c r="A298" s="121" t="s">
        <v>296</v>
      </c>
      <c r="B298" s="193" t="e">
        <f>VLOOKUP(B299,Preenchimento!$A:$BV,3,0)</f>
        <v>#N/A</v>
      </c>
      <c r="C298" s="193" t="e">
        <f>VLOOKUP(C299,Preenchimento!$A:$BV,3,0)</f>
        <v>#N/A</v>
      </c>
      <c r="D298" s="120" t="s">
        <v>297</v>
      </c>
      <c r="E298" s="197" t="e">
        <f>VLOOKUP(B299,Preenchimento!$A:$BV,5,0)</f>
        <v>#N/A</v>
      </c>
      <c r="F298" s="198" t="e">
        <f>VLOOKUP(C299,Preenchimento!$A:$BV,5,0)</f>
        <v>#N/A</v>
      </c>
      <c r="G298" s="121" t="s">
        <v>296</v>
      </c>
      <c r="H298" s="193" t="e">
        <f>VLOOKUP(H299,Preenchimento!$A:$BV,3,0)</f>
        <v>#N/A</v>
      </c>
      <c r="I298" s="193" t="e">
        <f>VLOOKUP(I299,Preenchimento!$A:$BV,3,0)</f>
        <v>#N/A</v>
      </c>
      <c r="J298" s="120" t="s">
        <v>297</v>
      </c>
      <c r="K298" s="197" t="e">
        <f>VLOOKUP(H299,Preenchimento!$A:$BV,5,0)</f>
        <v>#N/A</v>
      </c>
      <c r="L298" s="198" t="e">
        <f>VLOOKUP(I299,Preenchimento!$A:$BV,5,0)</f>
        <v>#N/A</v>
      </c>
      <c r="M298" s="121" t="s">
        <v>296</v>
      </c>
      <c r="N298" s="193" t="e">
        <f>VLOOKUP(N299,Preenchimento!$A:$BV,3,0)</f>
        <v>#N/A</v>
      </c>
      <c r="O298" s="193" t="e">
        <f>VLOOKUP(O299,Preenchimento!$A:$BV,3,0)</f>
        <v>#N/A</v>
      </c>
      <c r="P298" s="120" t="s">
        <v>297</v>
      </c>
      <c r="Q298" s="197" t="e">
        <f>VLOOKUP(N299,Preenchimento!$A:$BV,5,0)</f>
        <v>#N/A</v>
      </c>
      <c r="R298" s="198" t="e">
        <f>VLOOKUP(O299,Preenchimento!$A:$BV,5,0)</f>
        <v>#N/A</v>
      </c>
      <c r="S298" s="121" t="s">
        <v>296</v>
      </c>
      <c r="T298" s="193" t="e">
        <f>VLOOKUP(T299,Preenchimento!$A:$BV,3,0)</f>
        <v>#N/A</v>
      </c>
      <c r="U298" s="193" t="e">
        <f>VLOOKUP(U299,Preenchimento!$A:$BV,3,0)</f>
        <v>#N/A</v>
      </c>
      <c r="V298" s="120" t="s">
        <v>297</v>
      </c>
      <c r="W298" s="197" t="e">
        <f>VLOOKUP(T299,Preenchimento!$A:$BV,5,0)</f>
        <v>#N/A</v>
      </c>
      <c r="X298" s="198" t="e">
        <f>VLOOKUP(U299,Preenchimento!$A:$BV,5,0)</f>
        <v>#N/A</v>
      </c>
    </row>
    <row r="299" spans="1:24" ht="9.75" customHeight="1" x14ac:dyDescent="0.15">
      <c r="A299" s="121" t="s">
        <v>298</v>
      </c>
      <c r="B299" s="193"/>
      <c r="C299" s="193"/>
      <c r="D299" s="120" t="s">
        <v>299</v>
      </c>
      <c r="F299" s="131" t="e">
        <f>VLOOKUP(B299,Preenchimento!$A:$BV,10,0)</f>
        <v>#N/A</v>
      </c>
      <c r="G299" s="121" t="s">
        <v>298</v>
      </c>
      <c r="H299" s="193"/>
      <c r="I299" s="193"/>
      <c r="J299" s="120" t="s">
        <v>299</v>
      </c>
      <c r="L299" s="131" t="e">
        <f>VLOOKUP(H299,Preenchimento!$A:$BV,10,0)</f>
        <v>#N/A</v>
      </c>
      <c r="M299" s="121" t="s">
        <v>298</v>
      </c>
      <c r="N299" s="193"/>
      <c r="O299" s="193"/>
      <c r="P299" s="120" t="s">
        <v>299</v>
      </c>
      <c r="R299" s="131" t="e">
        <f>VLOOKUP(N299,Preenchimento!$A:$BV,10,0)</f>
        <v>#N/A</v>
      </c>
      <c r="S299" s="121" t="s">
        <v>298</v>
      </c>
      <c r="T299" s="193"/>
      <c r="U299" s="193"/>
      <c r="V299" s="120" t="s">
        <v>299</v>
      </c>
      <c r="X299" s="131" t="e">
        <f>VLOOKUP(T299,Preenchimento!$A:$BV,10,0)</f>
        <v>#N/A</v>
      </c>
    </row>
    <row r="300" spans="1:24" ht="9.75" customHeight="1" x14ac:dyDescent="0.15">
      <c r="A300" s="121" t="s">
        <v>300</v>
      </c>
      <c r="C300" s="193" t="e">
        <f>VLOOKUP(B299,Preenchimento!$A:$BV,12,0)</f>
        <v>#N/A</v>
      </c>
      <c r="D300" s="193" t="e">
        <f>VLOOKUP(C299,Preenchimento!$A:$BV,12,0)</f>
        <v>#N/A</v>
      </c>
      <c r="E300" s="193" t="e">
        <f>VLOOKUP(D299,Preenchimento!$A:$BV,12,0)</f>
        <v>#N/A</v>
      </c>
      <c r="F300" s="194" t="e">
        <f>VLOOKUP(E299,Preenchimento!$A:$BV,12,0)</f>
        <v>#N/A</v>
      </c>
      <c r="G300" s="121" t="s">
        <v>300</v>
      </c>
      <c r="I300" s="193" t="e">
        <f>VLOOKUP(H299,Preenchimento!$A:$BV,12,0)</f>
        <v>#N/A</v>
      </c>
      <c r="J300" s="193" t="e">
        <f>VLOOKUP(I299,Preenchimento!$A:$BV,12,0)</f>
        <v>#N/A</v>
      </c>
      <c r="K300" s="193" t="e">
        <f>VLOOKUP(J299,Preenchimento!$A:$BV,12,0)</f>
        <v>#N/A</v>
      </c>
      <c r="L300" s="194" t="e">
        <f>VLOOKUP(K299,Preenchimento!$A:$BV,12,0)</f>
        <v>#N/A</v>
      </c>
      <c r="M300" s="121" t="s">
        <v>300</v>
      </c>
      <c r="O300" s="193" t="e">
        <f>VLOOKUP(N299,Preenchimento!$A:$BV,12,0)</f>
        <v>#N/A</v>
      </c>
      <c r="P300" s="193" t="e">
        <f>VLOOKUP(O299,Preenchimento!$A:$BV,12,0)</f>
        <v>#N/A</v>
      </c>
      <c r="Q300" s="193" t="e">
        <f>VLOOKUP(P299,Preenchimento!$A:$BV,12,0)</f>
        <v>#N/A</v>
      </c>
      <c r="R300" s="194" t="e">
        <f>VLOOKUP(Q299,Preenchimento!$A:$BV,12,0)</f>
        <v>#N/A</v>
      </c>
      <c r="S300" s="121" t="s">
        <v>300</v>
      </c>
      <c r="U300" s="193" t="e">
        <f>VLOOKUP(T299,Preenchimento!$A:$BV,12,0)</f>
        <v>#N/A</v>
      </c>
      <c r="V300" s="193" t="e">
        <f>VLOOKUP(U299,Preenchimento!$A:$BV,12,0)</f>
        <v>#N/A</v>
      </c>
      <c r="W300" s="193" t="e">
        <f>VLOOKUP(V299,Preenchimento!$A:$BV,12,0)</f>
        <v>#N/A</v>
      </c>
      <c r="X300" s="194" t="e">
        <f>VLOOKUP(W299,Preenchimento!$A:$BV,12,0)</f>
        <v>#N/A</v>
      </c>
    </row>
    <row r="301" spans="1:24" ht="9.75" customHeight="1" x14ac:dyDescent="0.15">
      <c r="A301" s="123" t="s">
        <v>301</v>
      </c>
      <c r="B301" s="195" t="e">
        <f>IF(VLOOKUP(B299,Preenchimento!$A:$BV,11,0)=0,"",VLOOKUP(B299,Preenchimento!$A:$BV,11,0))</f>
        <v>#N/A</v>
      </c>
      <c r="C301" s="195"/>
      <c r="D301" s="195"/>
      <c r="E301" s="195"/>
      <c r="F301" s="196"/>
      <c r="G301" s="123" t="s">
        <v>301</v>
      </c>
      <c r="H301" s="195" t="e">
        <f>IF(VLOOKUP(H299,Preenchimento!$A:$BV,11,0)=0,"",VLOOKUP(H299,Preenchimento!$A:$BV,11,0))</f>
        <v>#N/A</v>
      </c>
      <c r="I301" s="195"/>
      <c r="J301" s="195"/>
      <c r="K301" s="195"/>
      <c r="L301" s="196"/>
      <c r="M301" s="123" t="s">
        <v>301</v>
      </c>
      <c r="N301" s="195" t="e">
        <f>IF(VLOOKUP(N299,Preenchimento!$A:$BV,11,0)=0,"",VLOOKUP(N299,Preenchimento!$A:$BV,11,0))</f>
        <v>#N/A</v>
      </c>
      <c r="O301" s="195"/>
      <c r="P301" s="195"/>
      <c r="Q301" s="195"/>
      <c r="R301" s="196"/>
      <c r="S301" s="123" t="s">
        <v>301</v>
      </c>
      <c r="T301" s="195" t="e">
        <f>IF(VLOOKUP(T299,Preenchimento!$A:$BV,11,0)=0,"",VLOOKUP(T299,Preenchimento!$A:$BV,11,0))</f>
        <v>#N/A</v>
      </c>
      <c r="U301" s="195"/>
      <c r="V301" s="195"/>
      <c r="W301" s="195"/>
      <c r="X301" s="196"/>
    </row>
    <row r="302" spans="1:24" s="130" customFormat="1" ht="33.950000000000003" customHeight="1" x14ac:dyDescent="0.25">
      <c r="A302" s="199" t="str">
        <f>Sitio!$A$3</f>
        <v>Projeto 01</v>
      </c>
      <c r="B302" s="200"/>
      <c r="C302" s="200"/>
      <c r="D302" s="200"/>
      <c r="E302" s="200"/>
      <c r="F302" s="201"/>
      <c r="G302" s="199" t="str">
        <f>Sitio!$A$3</f>
        <v>Projeto 01</v>
      </c>
      <c r="H302" s="200"/>
      <c r="I302" s="200"/>
      <c r="J302" s="200"/>
      <c r="K302" s="200"/>
      <c r="L302" s="201"/>
      <c r="M302" s="199" t="str">
        <f>Sitio!$A$3</f>
        <v>Projeto 01</v>
      </c>
      <c r="N302" s="200"/>
      <c r="O302" s="200"/>
      <c r="P302" s="200"/>
      <c r="Q302" s="200"/>
      <c r="R302" s="201"/>
      <c r="S302" s="199" t="str">
        <f>Sitio!$A$3</f>
        <v>Projeto 01</v>
      </c>
      <c r="T302" s="200"/>
      <c r="U302" s="200"/>
      <c r="V302" s="200"/>
      <c r="W302" s="200"/>
      <c r="X302" s="201"/>
    </row>
    <row r="303" spans="1:24" ht="9.75" customHeight="1" x14ac:dyDescent="0.15">
      <c r="A303" s="121" t="s">
        <v>294</v>
      </c>
      <c r="B303" s="193">
        <f>Sitio!$E$3</f>
        <v>0</v>
      </c>
      <c r="C303" s="193"/>
      <c r="D303" s="193"/>
      <c r="E303" s="193"/>
      <c r="F303" s="194"/>
      <c r="G303" s="121" t="s">
        <v>294</v>
      </c>
      <c r="H303" s="193">
        <f>Sitio!$E$3</f>
        <v>0</v>
      </c>
      <c r="I303" s="193"/>
      <c r="J303" s="193"/>
      <c r="K303" s="193"/>
      <c r="L303" s="194"/>
      <c r="M303" s="121" t="s">
        <v>294</v>
      </c>
      <c r="N303" s="193">
        <f>Sitio!$E$3</f>
        <v>0</v>
      </c>
      <c r="O303" s="193"/>
      <c r="P303" s="193"/>
      <c r="Q303" s="193"/>
      <c r="R303" s="194"/>
      <c r="S303" s="121" t="s">
        <v>294</v>
      </c>
      <c r="T303" s="193">
        <f>Sitio!$E$3</f>
        <v>0</v>
      </c>
      <c r="U303" s="193"/>
      <c r="V303" s="193"/>
      <c r="W303" s="193"/>
      <c r="X303" s="194"/>
    </row>
    <row r="304" spans="1:24" ht="9.75" customHeight="1" x14ac:dyDescent="0.15">
      <c r="A304" s="121" t="s">
        <v>295</v>
      </c>
      <c r="C304" s="193" t="e">
        <f>VLOOKUP(B306,Preenchimento!$A:$BV,2,0)</f>
        <v>#N/A</v>
      </c>
      <c r="D304" s="193" t="e">
        <f>VLOOKUP(C306,Preenchimento!$A:$BV,2,0)</f>
        <v>#N/A</v>
      </c>
      <c r="E304" s="193" t="e">
        <f>VLOOKUP(D306,Preenchimento!$A:$BV,2,0)</f>
        <v>#N/A</v>
      </c>
      <c r="F304" s="194" t="e">
        <f>VLOOKUP(E306,Preenchimento!$A:$BV,2,0)</f>
        <v>#N/A</v>
      </c>
      <c r="G304" s="121" t="s">
        <v>295</v>
      </c>
      <c r="I304" s="193" t="e">
        <f>VLOOKUP(H306,Preenchimento!$A:$BV,2,0)</f>
        <v>#N/A</v>
      </c>
      <c r="J304" s="193" t="e">
        <f>VLOOKUP(I306,Preenchimento!$A:$BV,2,0)</f>
        <v>#N/A</v>
      </c>
      <c r="K304" s="193" t="e">
        <f>VLOOKUP(J306,Preenchimento!$A:$BV,2,0)</f>
        <v>#N/A</v>
      </c>
      <c r="L304" s="194" t="e">
        <f>VLOOKUP(K306,Preenchimento!$A:$BV,2,0)</f>
        <v>#N/A</v>
      </c>
      <c r="M304" s="121" t="s">
        <v>295</v>
      </c>
      <c r="O304" s="193" t="e">
        <f>VLOOKUP(N306,Preenchimento!$A:$BV,2,0)</f>
        <v>#N/A</v>
      </c>
      <c r="P304" s="193" t="e">
        <f>VLOOKUP(O306,Preenchimento!$A:$BV,2,0)</f>
        <v>#N/A</v>
      </c>
      <c r="Q304" s="193" t="e">
        <f>VLOOKUP(P306,Preenchimento!$A:$BV,2,0)</f>
        <v>#N/A</v>
      </c>
      <c r="R304" s="194" t="e">
        <f>VLOOKUP(Q306,Preenchimento!$A:$BV,2,0)</f>
        <v>#N/A</v>
      </c>
      <c r="S304" s="121" t="s">
        <v>295</v>
      </c>
      <c r="U304" s="193" t="e">
        <f>VLOOKUP(T306,Preenchimento!$A:$BV,2,0)</f>
        <v>#N/A</v>
      </c>
      <c r="V304" s="193" t="e">
        <f>VLOOKUP(U306,Preenchimento!$A:$BV,2,0)</f>
        <v>#N/A</v>
      </c>
      <c r="W304" s="193" t="e">
        <f>VLOOKUP(V306,Preenchimento!$A:$BV,2,0)</f>
        <v>#N/A</v>
      </c>
      <c r="X304" s="194" t="e">
        <f>VLOOKUP(W306,Preenchimento!$A:$BV,2,0)</f>
        <v>#N/A</v>
      </c>
    </row>
    <row r="305" spans="1:24" ht="9.75" customHeight="1" x14ac:dyDescent="0.15">
      <c r="A305" s="121" t="s">
        <v>296</v>
      </c>
      <c r="B305" s="193" t="e">
        <f>VLOOKUP(B306,Preenchimento!$A:$BV,3,0)</f>
        <v>#N/A</v>
      </c>
      <c r="C305" s="193" t="e">
        <f>VLOOKUP(C306,Preenchimento!$A:$BV,3,0)</f>
        <v>#N/A</v>
      </c>
      <c r="D305" s="120" t="s">
        <v>297</v>
      </c>
      <c r="E305" s="197" t="e">
        <f>VLOOKUP(B306,Preenchimento!$A:$BV,5,0)</f>
        <v>#N/A</v>
      </c>
      <c r="F305" s="198" t="e">
        <f>VLOOKUP(C306,Preenchimento!$A:$BV,5,0)</f>
        <v>#N/A</v>
      </c>
      <c r="G305" s="121" t="s">
        <v>296</v>
      </c>
      <c r="H305" s="193" t="e">
        <f>VLOOKUP(H306,Preenchimento!$A:$BV,3,0)</f>
        <v>#N/A</v>
      </c>
      <c r="I305" s="193" t="e">
        <f>VLOOKUP(I306,Preenchimento!$A:$BV,3,0)</f>
        <v>#N/A</v>
      </c>
      <c r="J305" s="120" t="s">
        <v>297</v>
      </c>
      <c r="K305" s="197" t="e">
        <f>VLOOKUP(H306,Preenchimento!$A:$BV,5,0)</f>
        <v>#N/A</v>
      </c>
      <c r="L305" s="198" t="e">
        <f>VLOOKUP(I306,Preenchimento!$A:$BV,5,0)</f>
        <v>#N/A</v>
      </c>
      <c r="M305" s="121" t="s">
        <v>296</v>
      </c>
      <c r="N305" s="193" t="e">
        <f>VLOOKUP(N306,Preenchimento!$A:$BV,3,0)</f>
        <v>#N/A</v>
      </c>
      <c r="O305" s="193" t="e">
        <f>VLOOKUP(O306,Preenchimento!$A:$BV,3,0)</f>
        <v>#N/A</v>
      </c>
      <c r="P305" s="120" t="s">
        <v>297</v>
      </c>
      <c r="Q305" s="197" t="e">
        <f>VLOOKUP(N306,Preenchimento!$A:$BV,5,0)</f>
        <v>#N/A</v>
      </c>
      <c r="R305" s="198" t="e">
        <f>VLOOKUP(O306,Preenchimento!$A:$BV,5,0)</f>
        <v>#N/A</v>
      </c>
      <c r="S305" s="121" t="s">
        <v>296</v>
      </c>
      <c r="T305" s="193" t="e">
        <f>VLOOKUP(T306,Preenchimento!$A:$BV,3,0)</f>
        <v>#N/A</v>
      </c>
      <c r="U305" s="193" t="e">
        <f>VLOOKUP(U306,Preenchimento!$A:$BV,3,0)</f>
        <v>#N/A</v>
      </c>
      <c r="V305" s="120" t="s">
        <v>297</v>
      </c>
      <c r="W305" s="197" t="e">
        <f>VLOOKUP(T306,Preenchimento!$A:$BV,5,0)</f>
        <v>#N/A</v>
      </c>
      <c r="X305" s="198" t="e">
        <f>VLOOKUP(U306,Preenchimento!$A:$BV,5,0)</f>
        <v>#N/A</v>
      </c>
    </row>
    <row r="306" spans="1:24" ht="9.75" customHeight="1" x14ac:dyDescent="0.15">
      <c r="A306" s="121" t="s">
        <v>298</v>
      </c>
      <c r="B306" s="193"/>
      <c r="C306" s="193"/>
      <c r="D306" s="120" t="s">
        <v>299</v>
      </c>
      <c r="F306" s="131" t="e">
        <f>VLOOKUP(B306,Preenchimento!$A:$BV,10,0)</f>
        <v>#N/A</v>
      </c>
      <c r="G306" s="121" t="s">
        <v>298</v>
      </c>
      <c r="H306" s="193"/>
      <c r="I306" s="193"/>
      <c r="J306" s="120" t="s">
        <v>299</v>
      </c>
      <c r="L306" s="131" t="e">
        <f>VLOOKUP(H306,Preenchimento!$A:$BV,10,0)</f>
        <v>#N/A</v>
      </c>
      <c r="M306" s="121" t="s">
        <v>298</v>
      </c>
      <c r="N306" s="193"/>
      <c r="O306" s="193"/>
      <c r="P306" s="120" t="s">
        <v>299</v>
      </c>
      <c r="R306" s="131" t="e">
        <f>VLOOKUP(N306,Preenchimento!$A:$BV,10,0)</f>
        <v>#N/A</v>
      </c>
      <c r="S306" s="121" t="s">
        <v>298</v>
      </c>
      <c r="T306" s="193"/>
      <c r="U306" s="193"/>
      <c r="V306" s="120" t="s">
        <v>299</v>
      </c>
      <c r="X306" s="131" t="e">
        <f>VLOOKUP(T306,Preenchimento!$A:$BV,10,0)</f>
        <v>#N/A</v>
      </c>
    </row>
    <row r="307" spans="1:24" ht="9.75" customHeight="1" x14ac:dyDescent="0.15">
      <c r="A307" s="121" t="s">
        <v>300</v>
      </c>
      <c r="C307" s="193" t="e">
        <f>VLOOKUP(B306,Preenchimento!$A:$BV,12,0)</f>
        <v>#N/A</v>
      </c>
      <c r="D307" s="193" t="e">
        <f>VLOOKUP(C306,Preenchimento!$A:$BV,12,0)</f>
        <v>#N/A</v>
      </c>
      <c r="E307" s="193" t="e">
        <f>VLOOKUP(D306,Preenchimento!$A:$BV,12,0)</f>
        <v>#N/A</v>
      </c>
      <c r="F307" s="194" t="e">
        <f>VLOOKUP(E306,Preenchimento!$A:$BV,12,0)</f>
        <v>#N/A</v>
      </c>
      <c r="G307" s="121" t="s">
        <v>300</v>
      </c>
      <c r="I307" s="193" t="e">
        <f>VLOOKUP(H306,Preenchimento!$A:$BV,12,0)</f>
        <v>#N/A</v>
      </c>
      <c r="J307" s="193" t="e">
        <f>VLOOKUP(I306,Preenchimento!$A:$BV,12,0)</f>
        <v>#N/A</v>
      </c>
      <c r="K307" s="193" t="e">
        <f>VLOOKUP(J306,Preenchimento!$A:$BV,12,0)</f>
        <v>#N/A</v>
      </c>
      <c r="L307" s="194" t="e">
        <f>VLOOKUP(K306,Preenchimento!$A:$BV,12,0)</f>
        <v>#N/A</v>
      </c>
      <c r="M307" s="121" t="s">
        <v>300</v>
      </c>
      <c r="O307" s="193" t="e">
        <f>VLOOKUP(N306,Preenchimento!$A:$BV,12,0)</f>
        <v>#N/A</v>
      </c>
      <c r="P307" s="193" t="e">
        <f>VLOOKUP(O306,Preenchimento!$A:$BV,12,0)</f>
        <v>#N/A</v>
      </c>
      <c r="Q307" s="193" t="e">
        <f>VLOOKUP(P306,Preenchimento!$A:$BV,12,0)</f>
        <v>#N/A</v>
      </c>
      <c r="R307" s="194" t="e">
        <f>VLOOKUP(Q306,Preenchimento!$A:$BV,12,0)</f>
        <v>#N/A</v>
      </c>
      <c r="S307" s="121" t="s">
        <v>300</v>
      </c>
      <c r="U307" s="193" t="e">
        <f>VLOOKUP(T306,Preenchimento!$A:$BV,12,0)</f>
        <v>#N/A</v>
      </c>
      <c r="V307" s="193" t="e">
        <f>VLOOKUP(U306,Preenchimento!$A:$BV,12,0)</f>
        <v>#N/A</v>
      </c>
      <c r="W307" s="193" t="e">
        <f>VLOOKUP(V306,Preenchimento!$A:$BV,12,0)</f>
        <v>#N/A</v>
      </c>
      <c r="X307" s="194" t="e">
        <f>VLOOKUP(W306,Preenchimento!$A:$BV,12,0)</f>
        <v>#N/A</v>
      </c>
    </row>
    <row r="308" spans="1:24" ht="9.75" customHeight="1" x14ac:dyDescent="0.15">
      <c r="A308" s="123" t="s">
        <v>301</v>
      </c>
      <c r="B308" s="195" t="e">
        <f>IF(VLOOKUP(B306,Preenchimento!$A:$BV,11,0)=0,"",VLOOKUP(B306,Preenchimento!$A:$BV,11,0))</f>
        <v>#N/A</v>
      </c>
      <c r="C308" s="195"/>
      <c r="D308" s="195"/>
      <c r="E308" s="195"/>
      <c r="F308" s="196"/>
      <c r="G308" s="123" t="s">
        <v>301</v>
      </c>
      <c r="H308" s="195" t="e">
        <f>IF(VLOOKUP(H306,Preenchimento!$A:$BV,11,0)=0,"",VLOOKUP(H306,Preenchimento!$A:$BV,11,0))</f>
        <v>#N/A</v>
      </c>
      <c r="I308" s="195"/>
      <c r="J308" s="195"/>
      <c r="K308" s="195"/>
      <c r="L308" s="196"/>
      <c r="M308" s="123" t="s">
        <v>301</v>
      </c>
      <c r="N308" s="195" t="e">
        <f>IF(VLOOKUP(N306,Preenchimento!$A:$BV,11,0)=0,"",VLOOKUP(N306,Preenchimento!$A:$BV,11,0))</f>
        <v>#N/A</v>
      </c>
      <c r="O308" s="195"/>
      <c r="P308" s="195"/>
      <c r="Q308" s="195"/>
      <c r="R308" s="196"/>
      <c r="S308" s="123" t="s">
        <v>301</v>
      </c>
      <c r="T308" s="195" t="e">
        <f>IF(VLOOKUP(T306,Preenchimento!$A:$BV,11,0)=0,"",VLOOKUP(T306,Preenchimento!$A:$BV,11,0))</f>
        <v>#N/A</v>
      </c>
      <c r="U308" s="195"/>
      <c r="V308" s="195"/>
      <c r="W308" s="195"/>
      <c r="X308" s="196"/>
    </row>
    <row r="309" spans="1:24" s="130" customFormat="1" ht="33.950000000000003" customHeight="1" x14ac:dyDescent="0.25">
      <c r="A309" s="199" t="str">
        <f>Sitio!$A$3</f>
        <v>Projeto 01</v>
      </c>
      <c r="B309" s="200"/>
      <c r="C309" s="200"/>
      <c r="D309" s="200"/>
      <c r="E309" s="200"/>
      <c r="F309" s="201"/>
      <c r="G309" s="199" t="str">
        <f>Sitio!$A$3</f>
        <v>Projeto 01</v>
      </c>
      <c r="H309" s="200"/>
      <c r="I309" s="200"/>
      <c r="J309" s="200"/>
      <c r="K309" s="200"/>
      <c r="L309" s="201"/>
      <c r="M309" s="199" t="str">
        <f>Sitio!$A$3</f>
        <v>Projeto 01</v>
      </c>
      <c r="N309" s="200"/>
      <c r="O309" s="200"/>
      <c r="P309" s="200"/>
      <c r="Q309" s="200"/>
      <c r="R309" s="201"/>
      <c r="S309" s="199" t="str">
        <f>Sitio!$A$3</f>
        <v>Projeto 01</v>
      </c>
      <c r="T309" s="200"/>
      <c r="U309" s="200"/>
      <c r="V309" s="200"/>
      <c r="W309" s="200"/>
      <c r="X309" s="201"/>
    </row>
    <row r="310" spans="1:24" ht="9.75" customHeight="1" x14ac:dyDescent="0.15">
      <c r="A310" s="121" t="s">
        <v>294</v>
      </c>
      <c r="B310" s="193">
        <f>Sitio!$E$3</f>
        <v>0</v>
      </c>
      <c r="C310" s="193"/>
      <c r="D310" s="193"/>
      <c r="E310" s="193"/>
      <c r="F310" s="194"/>
      <c r="G310" s="121" t="s">
        <v>294</v>
      </c>
      <c r="H310" s="193">
        <f>Sitio!$E$3</f>
        <v>0</v>
      </c>
      <c r="I310" s="193"/>
      <c r="J310" s="193"/>
      <c r="K310" s="193"/>
      <c r="L310" s="194"/>
      <c r="M310" s="121" t="s">
        <v>294</v>
      </c>
      <c r="N310" s="193">
        <f>Sitio!$E$3</f>
        <v>0</v>
      </c>
      <c r="O310" s="193"/>
      <c r="P310" s="193"/>
      <c r="Q310" s="193"/>
      <c r="R310" s="194"/>
      <c r="S310" s="121" t="s">
        <v>294</v>
      </c>
      <c r="T310" s="193">
        <f>Sitio!$E$3</f>
        <v>0</v>
      </c>
      <c r="U310" s="193"/>
      <c r="V310" s="193"/>
      <c r="W310" s="193"/>
      <c r="X310" s="194"/>
    </row>
    <row r="311" spans="1:24" ht="9.75" customHeight="1" x14ac:dyDescent="0.15">
      <c r="A311" s="121" t="s">
        <v>295</v>
      </c>
      <c r="C311" s="193" t="e">
        <f>VLOOKUP(B313,Preenchimento!$A:$BV,2,0)</f>
        <v>#N/A</v>
      </c>
      <c r="D311" s="193" t="e">
        <f>VLOOKUP(C313,Preenchimento!$A:$BV,2,0)</f>
        <v>#N/A</v>
      </c>
      <c r="E311" s="193" t="e">
        <f>VLOOKUP(D313,Preenchimento!$A:$BV,2,0)</f>
        <v>#N/A</v>
      </c>
      <c r="F311" s="194" t="e">
        <f>VLOOKUP(E313,Preenchimento!$A:$BV,2,0)</f>
        <v>#N/A</v>
      </c>
      <c r="G311" s="121" t="s">
        <v>295</v>
      </c>
      <c r="I311" s="193" t="e">
        <f>VLOOKUP(H313,Preenchimento!$A:$BV,2,0)</f>
        <v>#N/A</v>
      </c>
      <c r="J311" s="193" t="e">
        <f>VLOOKUP(I313,Preenchimento!$A:$BV,2,0)</f>
        <v>#N/A</v>
      </c>
      <c r="K311" s="193" t="e">
        <f>VLOOKUP(J313,Preenchimento!$A:$BV,2,0)</f>
        <v>#N/A</v>
      </c>
      <c r="L311" s="194" t="e">
        <f>VLOOKUP(K313,Preenchimento!$A:$BV,2,0)</f>
        <v>#N/A</v>
      </c>
      <c r="M311" s="121" t="s">
        <v>295</v>
      </c>
      <c r="O311" s="193" t="e">
        <f>VLOOKUP(N313,Preenchimento!$A:$BV,2,0)</f>
        <v>#N/A</v>
      </c>
      <c r="P311" s="193" t="e">
        <f>VLOOKUP(O313,Preenchimento!$A:$BV,2,0)</f>
        <v>#N/A</v>
      </c>
      <c r="Q311" s="193" t="e">
        <f>VLOOKUP(P313,Preenchimento!$A:$BV,2,0)</f>
        <v>#N/A</v>
      </c>
      <c r="R311" s="194" t="e">
        <f>VLOOKUP(Q313,Preenchimento!$A:$BV,2,0)</f>
        <v>#N/A</v>
      </c>
      <c r="S311" s="121" t="s">
        <v>295</v>
      </c>
      <c r="U311" s="193" t="e">
        <f>VLOOKUP(T313,Preenchimento!$A:$BV,2,0)</f>
        <v>#N/A</v>
      </c>
      <c r="V311" s="193" t="e">
        <f>VLOOKUP(U313,Preenchimento!$A:$BV,2,0)</f>
        <v>#N/A</v>
      </c>
      <c r="W311" s="193" t="e">
        <f>VLOOKUP(V313,Preenchimento!$A:$BV,2,0)</f>
        <v>#N/A</v>
      </c>
      <c r="X311" s="194" t="e">
        <f>VLOOKUP(W313,Preenchimento!$A:$BV,2,0)</f>
        <v>#N/A</v>
      </c>
    </row>
    <row r="312" spans="1:24" ht="9.75" customHeight="1" x14ac:dyDescent="0.15">
      <c r="A312" s="121" t="s">
        <v>296</v>
      </c>
      <c r="B312" s="193" t="e">
        <f>VLOOKUP(B313,Preenchimento!$A:$BV,3,0)</f>
        <v>#N/A</v>
      </c>
      <c r="C312" s="193" t="e">
        <f>VLOOKUP(C313,Preenchimento!$A:$BV,3,0)</f>
        <v>#N/A</v>
      </c>
      <c r="D312" s="120" t="s">
        <v>297</v>
      </c>
      <c r="E312" s="197" t="e">
        <f>VLOOKUP(B313,Preenchimento!$A:$BV,5,0)</f>
        <v>#N/A</v>
      </c>
      <c r="F312" s="198" t="e">
        <f>VLOOKUP(C313,Preenchimento!$A:$BV,5,0)</f>
        <v>#N/A</v>
      </c>
      <c r="G312" s="121" t="s">
        <v>296</v>
      </c>
      <c r="H312" s="193" t="e">
        <f>VLOOKUP(H313,Preenchimento!$A:$BV,3,0)</f>
        <v>#N/A</v>
      </c>
      <c r="I312" s="193" t="e">
        <f>VLOOKUP(I313,Preenchimento!$A:$BV,3,0)</f>
        <v>#N/A</v>
      </c>
      <c r="J312" s="120" t="s">
        <v>297</v>
      </c>
      <c r="K312" s="197" t="e">
        <f>VLOOKUP(H313,Preenchimento!$A:$BV,5,0)</f>
        <v>#N/A</v>
      </c>
      <c r="L312" s="198" t="e">
        <f>VLOOKUP(I313,Preenchimento!$A:$BV,5,0)</f>
        <v>#N/A</v>
      </c>
      <c r="M312" s="121" t="s">
        <v>296</v>
      </c>
      <c r="N312" s="193" t="e">
        <f>VLOOKUP(N313,Preenchimento!$A:$BV,3,0)</f>
        <v>#N/A</v>
      </c>
      <c r="O312" s="193" t="e">
        <f>VLOOKUP(O313,Preenchimento!$A:$BV,3,0)</f>
        <v>#N/A</v>
      </c>
      <c r="P312" s="120" t="s">
        <v>297</v>
      </c>
      <c r="Q312" s="197" t="e">
        <f>VLOOKUP(N313,Preenchimento!$A:$BV,5,0)</f>
        <v>#N/A</v>
      </c>
      <c r="R312" s="198" t="e">
        <f>VLOOKUP(O313,Preenchimento!$A:$BV,5,0)</f>
        <v>#N/A</v>
      </c>
      <c r="S312" s="121" t="s">
        <v>296</v>
      </c>
      <c r="T312" s="193" t="e">
        <f>VLOOKUP(T313,Preenchimento!$A:$BV,3,0)</f>
        <v>#N/A</v>
      </c>
      <c r="U312" s="193" t="e">
        <f>VLOOKUP(U313,Preenchimento!$A:$BV,3,0)</f>
        <v>#N/A</v>
      </c>
      <c r="V312" s="120" t="s">
        <v>297</v>
      </c>
      <c r="W312" s="197" t="e">
        <f>VLOOKUP(T313,Preenchimento!$A:$BV,5,0)</f>
        <v>#N/A</v>
      </c>
      <c r="X312" s="198" t="e">
        <f>VLOOKUP(U313,Preenchimento!$A:$BV,5,0)</f>
        <v>#N/A</v>
      </c>
    </row>
    <row r="313" spans="1:24" ht="9.75" customHeight="1" x14ac:dyDescent="0.15">
      <c r="A313" s="121" t="s">
        <v>298</v>
      </c>
      <c r="B313" s="193"/>
      <c r="C313" s="193"/>
      <c r="D313" s="120" t="s">
        <v>299</v>
      </c>
      <c r="F313" s="131" t="e">
        <f>VLOOKUP(B313,Preenchimento!$A:$BV,10,0)</f>
        <v>#N/A</v>
      </c>
      <c r="G313" s="121" t="s">
        <v>298</v>
      </c>
      <c r="H313" s="193"/>
      <c r="I313" s="193"/>
      <c r="J313" s="120" t="s">
        <v>299</v>
      </c>
      <c r="L313" s="131" t="e">
        <f>VLOOKUP(H313,Preenchimento!$A:$BV,10,0)</f>
        <v>#N/A</v>
      </c>
      <c r="M313" s="121" t="s">
        <v>298</v>
      </c>
      <c r="N313" s="193"/>
      <c r="O313" s="193"/>
      <c r="P313" s="120" t="s">
        <v>299</v>
      </c>
      <c r="R313" s="131" t="e">
        <f>VLOOKUP(N313,Preenchimento!$A:$BV,10,0)</f>
        <v>#N/A</v>
      </c>
      <c r="S313" s="121" t="s">
        <v>298</v>
      </c>
      <c r="T313" s="193"/>
      <c r="U313" s="193"/>
      <c r="V313" s="120" t="s">
        <v>299</v>
      </c>
      <c r="X313" s="131" t="e">
        <f>VLOOKUP(T313,Preenchimento!$A:$BV,10,0)</f>
        <v>#N/A</v>
      </c>
    </row>
    <row r="314" spans="1:24" ht="9.75" customHeight="1" x14ac:dyDescent="0.15">
      <c r="A314" s="121" t="s">
        <v>300</v>
      </c>
      <c r="C314" s="193" t="e">
        <f>VLOOKUP(B313,Preenchimento!$A:$BV,12,0)</f>
        <v>#N/A</v>
      </c>
      <c r="D314" s="193" t="e">
        <f>VLOOKUP(C313,Preenchimento!$A:$BV,12,0)</f>
        <v>#N/A</v>
      </c>
      <c r="E314" s="193" t="e">
        <f>VLOOKUP(D313,Preenchimento!$A:$BV,12,0)</f>
        <v>#N/A</v>
      </c>
      <c r="F314" s="194" t="e">
        <f>VLOOKUP(E313,Preenchimento!$A:$BV,12,0)</f>
        <v>#N/A</v>
      </c>
      <c r="G314" s="121" t="s">
        <v>300</v>
      </c>
      <c r="I314" s="193" t="e">
        <f>VLOOKUP(H313,Preenchimento!$A:$BV,12,0)</f>
        <v>#N/A</v>
      </c>
      <c r="J314" s="193" t="e">
        <f>VLOOKUP(I313,Preenchimento!$A:$BV,12,0)</f>
        <v>#N/A</v>
      </c>
      <c r="K314" s="193" t="e">
        <f>VLOOKUP(J313,Preenchimento!$A:$BV,12,0)</f>
        <v>#N/A</v>
      </c>
      <c r="L314" s="194" t="e">
        <f>VLOOKUP(K313,Preenchimento!$A:$BV,12,0)</f>
        <v>#N/A</v>
      </c>
      <c r="M314" s="121" t="s">
        <v>300</v>
      </c>
      <c r="O314" s="193" t="e">
        <f>VLOOKUP(N313,Preenchimento!$A:$BV,12,0)</f>
        <v>#N/A</v>
      </c>
      <c r="P314" s="193" t="e">
        <f>VLOOKUP(O313,Preenchimento!$A:$BV,12,0)</f>
        <v>#N/A</v>
      </c>
      <c r="Q314" s="193" t="e">
        <f>VLOOKUP(P313,Preenchimento!$A:$BV,12,0)</f>
        <v>#N/A</v>
      </c>
      <c r="R314" s="194" t="e">
        <f>VLOOKUP(Q313,Preenchimento!$A:$BV,12,0)</f>
        <v>#N/A</v>
      </c>
      <c r="S314" s="121" t="s">
        <v>300</v>
      </c>
      <c r="U314" s="193" t="e">
        <f>VLOOKUP(T313,Preenchimento!$A:$BV,12,0)</f>
        <v>#N/A</v>
      </c>
      <c r="V314" s="193" t="e">
        <f>VLOOKUP(U313,Preenchimento!$A:$BV,12,0)</f>
        <v>#N/A</v>
      </c>
      <c r="W314" s="193" t="e">
        <f>VLOOKUP(V313,Preenchimento!$A:$BV,12,0)</f>
        <v>#N/A</v>
      </c>
      <c r="X314" s="194" t="e">
        <f>VLOOKUP(W313,Preenchimento!$A:$BV,12,0)</f>
        <v>#N/A</v>
      </c>
    </row>
    <row r="315" spans="1:24" ht="9.75" customHeight="1" x14ac:dyDescent="0.15">
      <c r="A315" s="123" t="s">
        <v>301</v>
      </c>
      <c r="B315" s="195" t="e">
        <f>IF(VLOOKUP(B313,Preenchimento!$A:$BV,11,0)=0,"",VLOOKUP(B313,Preenchimento!$A:$BV,11,0))</f>
        <v>#N/A</v>
      </c>
      <c r="C315" s="195"/>
      <c r="D315" s="195"/>
      <c r="E315" s="195"/>
      <c r="F315" s="196"/>
      <c r="G315" s="123" t="s">
        <v>301</v>
      </c>
      <c r="H315" s="195" t="e">
        <f>IF(VLOOKUP(H313,Preenchimento!$A:$BV,11,0)=0,"",VLOOKUP(H313,Preenchimento!$A:$BV,11,0))</f>
        <v>#N/A</v>
      </c>
      <c r="I315" s="195"/>
      <c r="J315" s="195"/>
      <c r="K315" s="195"/>
      <c r="L315" s="196"/>
      <c r="M315" s="123" t="s">
        <v>301</v>
      </c>
      <c r="N315" s="195" t="e">
        <f>IF(VLOOKUP(N313,Preenchimento!$A:$BV,11,0)=0,"",VLOOKUP(N313,Preenchimento!$A:$BV,11,0))</f>
        <v>#N/A</v>
      </c>
      <c r="O315" s="195"/>
      <c r="P315" s="195"/>
      <c r="Q315" s="195"/>
      <c r="R315" s="196"/>
      <c r="S315" s="123" t="s">
        <v>301</v>
      </c>
      <c r="T315" s="195" t="e">
        <f>IF(VLOOKUP(T313,Preenchimento!$A:$BV,11,0)=0,"",VLOOKUP(T313,Preenchimento!$A:$BV,11,0))</f>
        <v>#N/A</v>
      </c>
      <c r="U315" s="195"/>
      <c r="V315" s="195"/>
      <c r="W315" s="195"/>
      <c r="X315" s="196"/>
    </row>
    <row r="316" spans="1:24" s="130" customFormat="1" ht="33.950000000000003" customHeight="1" x14ac:dyDescent="0.25">
      <c r="A316" s="199" t="str">
        <f>Sitio!$A$3</f>
        <v>Projeto 01</v>
      </c>
      <c r="B316" s="200"/>
      <c r="C316" s="200"/>
      <c r="D316" s="200"/>
      <c r="E316" s="200"/>
      <c r="F316" s="201"/>
      <c r="G316" s="199" t="str">
        <f>Sitio!$A$3</f>
        <v>Projeto 01</v>
      </c>
      <c r="H316" s="200"/>
      <c r="I316" s="200"/>
      <c r="J316" s="200"/>
      <c r="K316" s="200"/>
      <c r="L316" s="201"/>
      <c r="M316" s="199" t="str">
        <f>Sitio!$A$3</f>
        <v>Projeto 01</v>
      </c>
      <c r="N316" s="200"/>
      <c r="O316" s="200"/>
      <c r="P316" s="200"/>
      <c r="Q316" s="200"/>
      <c r="R316" s="201"/>
      <c r="S316" s="199" t="str">
        <f>Sitio!$A$3</f>
        <v>Projeto 01</v>
      </c>
      <c r="T316" s="200"/>
      <c r="U316" s="200"/>
      <c r="V316" s="200"/>
      <c r="W316" s="200"/>
      <c r="X316" s="201"/>
    </row>
    <row r="317" spans="1:24" ht="9.75" customHeight="1" x14ac:dyDescent="0.15">
      <c r="A317" s="121" t="s">
        <v>294</v>
      </c>
      <c r="B317" s="193">
        <f>Sitio!$E$3</f>
        <v>0</v>
      </c>
      <c r="C317" s="193"/>
      <c r="D317" s="193"/>
      <c r="E317" s="193"/>
      <c r="F317" s="194"/>
      <c r="G317" s="121" t="s">
        <v>294</v>
      </c>
      <c r="H317" s="193">
        <f>Sitio!$E$3</f>
        <v>0</v>
      </c>
      <c r="I317" s="193"/>
      <c r="J317" s="193"/>
      <c r="K317" s="193"/>
      <c r="L317" s="194"/>
      <c r="M317" s="121" t="s">
        <v>294</v>
      </c>
      <c r="N317" s="193">
        <f>Sitio!$E$3</f>
        <v>0</v>
      </c>
      <c r="O317" s="193"/>
      <c r="P317" s="193"/>
      <c r="Q317" s="193"/>
      <c r="R317" s="194"/>
      <c r="S317" s="121" t="s">
        <v>294</v>
      </c>
      <c r="T317" s="193">
        <f>Sitio!$E$3</f>
        <v>0</v>
      </c>
      <c r="U317" s="193"/>
      <c r="V317" s="193"/>
      <c r="W317" s="193"/>
      <c r="X317" s="194"/>
    </row>
    <row r="318" spans="1:24" ht="9.75" customHeight="1" x14ac:dyDescent="0.15">
      <c r="A318" s="121" t="s">
        <v>295</v>
      </c>
      <c r="C318" s="193" t="e">
        <f>VLOOKUP(B320,Preenchimento!$A:$BV,2,0)</f>
        <v>#N/A</v>
      </c>
      <c r="D318" s="193" t="e">
        <f>VLOOKUP(C320,Preenchimento!$A:$BV,2,0)</f>
        <v>#N/A</v>
      </c>
      <c r="E318" s="193" t="e">
        <f>VLOOKUP(D320,Preenchimento!$A:$BV,2,0)</f>
        <v>#N/A</v>
      </c>
      <c r="F318" s="194" t="e">
        <f>VLOOKUP(E320,Preenchimento!$A:$BV,2,0)</f>
        <v>#N/A</v>
      </c>
      <c r="G318" s="121" t="s">
        <v>295</v>
      </c>
      <c r="I318" s="193" t="e">
        <f>VLOOKUP(H320,Preenchimento!$A:$BV,2,0)</f>
        <v>#N/A</v>
      </c>
      <c r="J318" s="193" t="e">
        <f>VLOOKUP(I320,Preenchimento!$A:$BV,2,0)</f>
        <v>#N/A</v>
      </c>
      <c r="K318" s="193" t="e">
        <f>VLOOKUP(J320,Preenchimento!$A:$BV,2,0)</f>
        <v>#N/A</v>
      </c>
      <c r="L318" s="194" t="e">
        <f>VLOOKUP(K320,Preenchimento!$A:$BV,2,0)</f>
        <v>#N/A</v>
      </c>
      <c r="M318" s="121" t="s">
        <v>295</v>
      </c>
      <c r="O318" s="193" t="e">
        <f>VLOOKUP(N320,Preenchimento!$A:$BV,2,0)</f>
        <v>#N/A</v>
      </c>
      <c r="P318" s="193" t="e">
        <f>VLOOKUP(O320,Preenchimento!$A:$BV,2,0)</f>
        <v>#N/A</v>
      </c>
      <c r="Q318" s="193" t="e">
        <f>VLOOKUP(P320,Preenchimento!$A:$BV,2,0)</f>
        <v>#N/A</v>
      </c>
      <c r="R318" s="194" t="e">
        <f>VLOOKUP(Q320,Preenchimento!$A:$BV,2,0)</f>
        <v>#N/A</v>
      </c>
      <c r="S318" s="121" t="s">
        <v>295</v>
      </c>
      <c r="U318" s="193" t="e">
        <f>VLOOKUP(T320,Preenchimento!$A:$BV,2,0)</f>
        <v>#N/A</v>
      </c>
      <c r="V318" s="193" t="e">
        <f>VLOOKUP(U320,Preenchimento!$A:$BV,2,0)</f>
        <v>#N/A</v>
      </c>
      <c r="W318" s="193" t="e">
        <f>VLOOKUP(V320,Preenchimento!$A:$BV,2,0)</f>
        <v>#N/A</v>
      </c>
      <c r="X318" s="194" t="e">
        <f>VLOOKUP(W320,Preenchimento!$A:$BV,2,0)</f>
        <v>#N/A</v>
      </c>
    </row>
    <row r="319" spans="1:24" ht="9.75" customHeight="1" x14ac:dyDescent="0.15">
      <c r="A319" s="121" t="s">
        <v>296</v>
      </c>
      <c r="B319" s="193" t="e">
        <f>VLOOKUP(B320,Preenchimento!$A:$BV,3,0)</f>
        <v>#N/A</v>
      </c>
      <c r="C319" s="193" t="e">
        <f>VLOOKUP(C320,Preenchimento!$A:$BV,3,0)</f>
        <v>#N/A</v>
      </c>
      <c r="D319" s="120" t="s">
        <v>297</v>
      </c>
      <c r="E319" s="197" t="e">
        <f>VLOOKUP(B320,Preenchimento!$A:$BV,5,0)</f>
        <v>#N/A</v>
      </c>
      <c r="F319" s="198" t="e">
        <f>VLOOKUP(C320,Preenchimento!$A:$BV,5,0)</f>
        <v>#N/A</v>
      </c>
      <c r="G319" s="121" t="s">
        <v>296</v>
      </c>
      <c r="H319" s="193" t="e">
        <f>VLOOKUP(H320,Preenchimento!$A:$BV,3,0)</f>
        <v>#N/A</v>
      </c>
      <c r="I319" s="193" t="e">
        <f>VLOOKUP(I320,Preenchimento!$A:$BV,3,0)</f>
        <v>#N/A</v>
      </c>
      <c r="J319" s="120" t="s">
        <v>297</v>
      </c>
      <c r="K319" s="197" t="e">
        <f>VLOOKUP(H320,Preenchimento!$A:$BV,5,0)</f>
        <v>#N/A</v>
      </c>
      <c r="L319" s="198" t="e">
        <f>VLOOKUP(I320,Preenchimento!$A:$BV,5,0)</f>
        <v>#N/A</v>
      </c>
      <c r="M319" s="121" t="s">
        <v>296</v>
      </c>
      <c r="N319" s="193" t="e">
        <f>VLOOKUP(N320,Preenchimento!$A:$BV,3,0)</f>
        <v>#N/A</v>
      </c>
      <c r="O319" s="193" t="e">
        <f>VLOOKUP(O320,Preenchimento!$A:$BV,3,0)</f>
        <v>#N/A</v>
      </c>
      <c r="P319" s="120" t="s">
        <v>297</v>
      </c>
      <c r="Q319" s="197" t="e">
        <f>VLOOKUP(N320,Preenchimento!$A:$BV,5,0)</f>
        <v>#N/A</v>
      </c>
      <c r="R319" s="198" t="e">
        <f>VLOOKUP(O320,Preenchimento!$A:$BV,5,0)</f>
        <v>#N/A</v>
      </c>
      <c r="S319" s="121" t="s">
        <v>296</v>
      </c>
      <c r="T319" s="193" t="e">
        <f>VLOOKUP(T320,Preenchimento!$A:$BV,3,0)</f>
        <v>#N/A</v>
      </c>
      <c r="U319" s="193" t="e">
        <f>VLOOKUP(U320,Preenchimento!$A:$BV,3,0)</f>
        <v>#N/A</v>
      </c>
      <c r="V319" s="120" t="s">
        <v>297</v>
      </c>
      <c r="W319" s="197" t="e">
        <f>VLOOKUP(T320,Preenchimento!$A:$BV,5,0)</f>
        <v>#N/A</v>
      </c>
      <c r="X319" s="198" t="e">
        <f>VLOOKUP(U320,Preenchimento!$A:$BV,5,0)</f>
        <v>#N/A</v>
      </c>
    </row>
    <row r="320" spans="1:24" ht="9.75" customHeight="1" x14ac:dyDescent="0.15">
      <c r="A320" s="121" t="s">
        <v>298</v>
      </c>
      <c r="B320" s="193"/>
      <c r="C320" s="193"/>
      <c r="D320" s="120" t="s">
        <v>299</v>
      </c>
      <c r="F320" s="131" t="e">
        <f>VLOOKUP(B320,Preenchimento!$A:$BV,10,0)</f>
        <v>#N/A</v>
      </c>
      <c r="G320" s="121" t="s">
        <v>298</v>
      </c>
      <c r="H320" s="193"/>
      <c r="I320" s="193"/>
      <c r="J320" s="120" t="s">
        <v>299</v>
      </c>
      <c r="L320" s="131" t="e">
        <f>VLOOKUP(H320,Preenchimento!$A:$BV,10,0)</f>
        <v>#N/A</v>
      </c>
      <c r="M320" s="121" t="s">
        <v>298</v>
      </c>
      <c r="N320" s="193"/>
      <c r="O320" s="193"/>
      <c r="P320" s="120" t="s">
        <v>299</v>
      </c>
      <c r="R320" s="131" t="e">
        <f>VLOOKUP(N320,Preenchimento!$A:$BV,10,0)</f>
        <v>#N/A</v>
      </c>
      <c r="S320" s="121" t="s">
        <v>298</v>
      </c>
      <c r="T320" s="193"/>
      <c r="U320" s="193"/>
      <c r="V320" s="120" t="s">
        <v>299</v>
      </c>
      <c r="X320" s="131" t="e">
        <f>VLOOKUP(T320,Preenchimento!$A:$BV,10,0)</f>
        <v>#N/A</v>
      </c>
    </row>
    <row r="321" spans="1:24" ht="9.75" customHeight="1" x14ac:dyDescent="0.15">
      <c r="A321" s="121" t="s">
        <v>300</v>
      </c>
      <c r="C321" s="193" t="e">
        <f>VLOOKUP(B320,Preenchimento!$A:$BV,12,0)</f>
        <v>#N/A</v>
      </c>
      <c r="D321" s="193" t="e">
        <f>VLOOKUP(C320,Preenchimento!$A:$BV,12,0)</f>
        <v>#N/A</v>
      </c>
      <c r="E321" s="193" t="e">
        <f>VLOOKUP(D320,Preenchimento!$A:$BV,12,0)</f>
        <v>#N/A</v>
      </c>
      <c r="F321" s="194" t="e">
        <f>VLOOKUP(E320,Preenchimento!$A:$BV,12,0)</f>
        <v>#N/A</v>
      </c>
      <c r="G321" s="121" t="s">
        <v>300</v>
      </c>
      <c r="I321" s="193" t="e">
        <f>VLOOKUP(H320,Preenchimento!$A:$BV,12,0)</f>
        <v>#N/A</v>
      </c>
      <c r="J321" s="193" t="e">
        <f>VLOOKUP(I320,Preenchimento!$A:$BV,12,0)</f>
        <v>#N/A</v>
      </c>
      <c r="K321" s="193" t="e">
        <f>VLOOKUP(J320,Preenchimento!$A:$BV,12,0)</f>
        <v>#N/A</v>
      </c>
      <c r="L321" s="194" t="e">
        <f>VLOOKUP(K320,Preenchimento!$A:$BV,12,0)</f>
        <v>#N/A</v>
      </c>
      <c r="M321" s="121" t="s">
        <v>300</v>
      </c>
      <c r="O321" s="193" t="e">
        <f>VLOOKUP(N320,Preenchimento!$A:$BV,12,0)</f>
        <v>#N/A</v>
      </c>
      <c r="P321" s="193" t="e">
        <f>VLOOKUP(O320,Preenchimento!$A:$BV,12,0)</f>
        <v>#N/A</v>
      </c>
      <c r="Q321" s="193" t="e">
        <f>VLOOKUP(P320,Preenchimento!$A:$BV,12,0)</f>
        <v>#N/A</v>
      </c>
      <c r="R321" s="194" t="e">
        <f>VLOOKUP(Q320,Preenchimento!$A:$BV,12,0)</f>
        <v>#N/A</v>
      </c>
      <c r="S321" s="121" t="s">
        <v>300</v>
      </c>
      <c r="U321" s="193" t="e">
        <f>VLOOKUP(T320,Preenchimento!$A:$BV,12,0)</f>
        <v>#N/A</v>
      </c>
      <c r="V321" s="193" t="e">
        <f>VLOOKUP(U320,Preenchimento!$A:$BV,12,0)</f>
        <v>#N/A</v>
      </c>
      <c r="W321" s="193" t="e">
        <f>VLOOKUP(V320,Preenchimento!$A:$BV,12,0)</f>
        <v>#N/A</v>
      </c>
      <c r="X321" s="194" t="e">
        <f>VLOOKUP(W320,Preenchimento!$A:$BV,12,0)</f>
        <v>#N/A</v>
      </c>
    </row>
    <row r="322" spans="1:24" ht="9.75" customHeight="1" x14ac:dyDescent="0.15">
      <c r="A322" s="123" t="s">
        <v>301</v>
      </c>
      <c r="B322" s="195" t="e">
        <f>IF(VLOOKUP(B320,Preenchimento!$A:$BV,11,0)=0,"",VLOOKUP(B320,Preenchimento!$A:$BV,11,0))</f>
        <v>#N/A</v>
      </c>
      <c r="C322" s="195"/>
      <c r="D322" s="195"/>
      <c r="E322" s="195"/>
      <c r="F322" s="196"/>
      <c r="G322" s="123" t="s">
        <v>301</v>
      </c>
      <c r="H322" s="195" t="e">
        <f>IF(VLOOKUP(H320,Preenchimento!$A:$BV,11,0)=0,"",VLOOKUP(H320,Preenchimento!$A:$BV,11,0))</f>
        <v>#N/A</v>
      </c>
      <c r="I322" s="195"/>
      <c r="J322" s="195"/>
      <c r="K322" s="195"/>
      <c r="L322" s="196"/>
      <c r="M322" s="123" t="s">
        <v>301</v>
      </c>
      <c r="N322" s="195" t="e">
        <f>IF(VLOOKUP(N320,Preenchimento!$A:$BV,11,0)=0,"",VLOOKUP(N320,Preenchimento!$A:$BV,11,0))</f>
        <v>#N/A</v>
      </c>
      <c r="O322" s="195"/>
      <c r="P322" s="195"/>
      <c r="Q322" s="195"/>
      <c r="R322" s="196"/>
      <c r="S322" s="123" t="s">
        <v>301</v>
      </c>
      <c r="T322" s="195" t="e">
        <f>IF(VLOOKUP(T320,Preenchimento!$A:$BV,11,0)=0,"",VLOOKUP(T320,Preenchimento!$A:$BV,11,0))</f>
        <v>#N/A</v>
      </c>
      <c r="U322" s="195"/>
      <c r="V322" s="195"/>
      <c r="W322" s="195"/>
      <c r="X322" s="196"/>
    </row>
    <row r="323" spans="1:24" s="130" customFormat="1" ht="33.950000000000003" customHeight="1" x14ac:dyDescent="0.25">
      <c r="A323" s="199" t="str">
        <f>Sitio!$A$3</f>
        <v>Projeto 01</v>
      </c>
      <c r="B323" s="200"/>
      <c r="C323" s="200"/>
      <c r="D323" s="200"/>
      <c r="E323" s="200"/>
      <c r="F323" s="201"/>
      <c r="G323" s="199" t="str">
        <f>Sitio!$A$3</f>
        <v>Projeto 01</v>
      </c>
      <c r="H323" s="200"/>
      <c r="I323" s="200"/>
      <c r="J323" s="200"/>
      <c r="K323" s="200"/>
      <c r="L323" s="201"/>
      <c r="M323" s="199" t="str">
        <f>Sitio!$A$3</f>
        <v>Projeto 01</v>
      </c>
      <c r="N323" s="200"/>
      <c r="O323" s="200"/>
      <c r="P323" s="200"/>
      <c r="Q323" s="200"/>
      <c r="R323" s="201"/>
      <c r="S323" s="199" t="str">
        <f>Sitio!$A$3</f>
        <v>Projeto 01</v>
      </c>
      <c r="T323" s="200"/>
      <c r="U323" s="200"/>
      <c r="V323" s="200"/>
      <c r="W323" s="200"/>
      <c r="X323" s="201"/>
    </row>
    <row r="324" spans="1:24" ht="9.75" customHeight="1" x14ac:dyDescent="0.15">
      <c r="A324" s="121" t="s">
        <v>294</v>
      </c>
      <c r="B324" s="193">
        <f>Sitio!$E$3</f>
        <v>0</v>
      </c>
      <c r="C324" s="193"/>
      <c r="D324" s="193"/>
      <c r="E324" s="193"/>
      <c r="F324" s="194"/>
      <c r="G324" s="121" t="s">
        <v>294</v>
      </c>
      <c r="H324" s="193">
        <f>Sitio!$E$3</f>
        <v>0</v>
      </c>
      <c r="I324" s="193"/>
      <c r="J324" s="193"/>
      <c r="K324" s="193"/>
      <c r="L324" s="194"/>
      <c r="M324" s="121" t="s">
        <v>294</v>
      </c>
      <c r="N324" s="193">
        <f>Sitio!$E$3</f>
        <v>0</v>
      </c>
      <c r="O324" s="193"/>
      <c r="P324" s="193"/>
      <c r="Q324" s="193"/>
      <c r="R324" s="194"/>
      <c r="S324" s="121" t="s">
        <v>294</v>
      </c>
      <c r="T324" s="193">
        <f>Sitio!$E$3</f>
        <v>0</v>
      </c>
      <c r="U324" s="193"/>
      <c r="V324" s="193"/>
      <c r="W324" s="193"/>
      <c r="X324" s="194"/>
    </row>
    <row r="325" spans="1:24" ht="9.75" customHeight="1" x14ac:dyDescent="0.15">
      <c r="A325" s="121" t="s">
        <v>295</v>
      </c>
      <c r="C325" s="193" t="e">
        <f>VLOOKUP(B327,Preenchimento!$A:$BV,2,0)</f>
        <v>#N/A</v>
      </c>
      <c r="D325" s="193" t="e">
        <f>VLOOKUP(C327,Preenchimento!$A:$BV,2,0)</f>
        <v>#N/A</v>
      </c>
      <c r="E325" s="193" t="e">
        <f>VLOOKUP(D327,Preenchimento!$A:$BV,2,0)</f>
        <v>#N/A</v>
      </c>
      <c r="F325" s="194" t="e">
        <f>VLOOKUP(E327,Preenchimento!$A:$BV,2,0)</f>
        <v>#N/A</v>
      </c>
      <c r="G325" s="121" t="s">
        <v>295</v>
      </c>
      <c r="I325" s="193" t="e">
        <f>VLOOKUP(H327,Preenchimento!$A:$BV,2,0)</f>
        <v>#N/A</v>
      </c>
      <c r="J325" s="193" t="e">
        <f>VLOOKUP(I327,Preenchimento!$A:$BV,2,0)</f>
        <v>#N/A</v>
      </c>
      <c r="K325" s="193" t="e">
        <f>VLOOKUP(J327,Preenchimento!$A:$BV,2,0)</f>
        <v>#N/A</v>
      </c>
      <c r="L325" s="194" t="e">
        <f>VLOOKUP(K327,Preenchimento!$A:$BV,2,0)</f>
        <v>#N/A</v>
      </c>
      <c r="M325" s="121" t="s">
        <v>295</v>
      </c>
      <c r="O325" s="193" t="e">
        <f>VLOOKUP(N327,Preenchimento!$A:$BV,2,0)</f>
        <v>#N/A</v>
      </c>
      <c r="P325" s="193" t="e">
        <f>VLOOKUP(O327,Preenchimento!$A:$BV,2,0)</f>
        <v>#N/A</v>
      </c>
      <c r="Q325" s="193" t="e">
        <f>VLOOKUP(P327,Preenchimento!$A:$BV,2,0)</f>
        <v>#N/A</v>
      </c>
      <c r="R325" s="194" t="e">
        <f>VLOOKUP(Q327,Preenchimento!$A:$BV,2,0)</f>
        <v>#N/A</v>
      </c>
      <c r="S325" s="121" t="s">
        <v>295</v>
      </c>
      <c r="U325" s="193" t="e">
        <f>VLOOKUP(T327,Preenchimento!$A:$BV,2,0)</f>
        <v>#N/A</v>
      </c>
      <c r="V325" s="193" t="e">
        <f>VLOOKUP(U327,Preenchimento!$A:$BV,2,0)</f>
        <v>#N/A</v>
      </c>
      <c r="W325" s="193" t="e">
        <f>VLOOKUP(V327,Preenchimento!$A:$BV,2,0)</f>
        <v>#N/A</v>
      </c>
      <c r="X325" s="194" t="e">
        <f>VLOOKUP(W327,Preenchimento!$A:$BV,2,0)</f>
        <v>#N/A</v>
      </c>
    </row>
    <row r="326" spans="1:24" ht="9.75" customHeight="1" x14ac:dyDescent="0.15">
      <c r="A326" s="121" t="s">
        <v>296</v>
      </c>
      <c r="B326" s="193" t="e">
        <f>VLOOKUP(B327,Preenchimento!$A:$BV,3,0)</f>
        <v>#N/A</v>
      </c>
      <c r="C326" s="193" t="e">
        <f>VLOOKUP(C327,Preenchimento!$A:$BV,3,0)</f>
        <v>#N/A</v>
      </c>
      <c r="D326" s="120" t="s">
        <v>297</v>
      </c>
      <c r="E326" s="197" t="e">
        <f>VLOOKUP(B327,Preenchimento!$A:$BV,5,0)</f>
        <v>#N/A</v>
      </c>
      <c r="F326" s="198" t="e">
        <f>VLOOKUP(C327,Preenchimento!$A:$BV,5,0)</f>
        <v>#N/A</v>
      </c>
      <c r="G326" s="121" t="s">
        <v>296</v>
      </c>
      <c r="H326" s="193" t="e">
        <f>VLOOKUP(H327,Preenchimento!$A:$BV,3,0)</f>
        <v>#N/A</v>
      </c>
      <c r="I326" s="193" t="e">
        <f>VLOOKUP(I327,Preenchimento!$A:$BV,3,0)</f>
        <v>#N/A</v>
      </c>
      <c r="J326" s="120" t="s">
        <v>297</v>
      </c>
      <c r="K326" s="197" t="e">
        <f>VLOOKUP(H327,Preenchimento!$A:$BV,5,0)</f>
        <v>#N/A</v>
      </c>
      <c r="L326" s="198" t="e">
        <f>VLOOKUP(I327,Preenchimento!$A:$BV,5,0)</f>
        <v>#N/A</v>
      </c>
      <c r="M326" s="121" t="s">
        <v>296</v>
      </c>
      <c r="N326" s="193" t="e">
        <f>VLOOKUP(N327,Preenchimento!$A:$BV,3,0)</f>
        <v>#N/A</v>
      </c>
      <c r="O326" s="193" t="e">
        <f>VLOOKUP(O327,Preenchimento!$A:$BV,3,0)</f>
        <v>#N/A</v>
      </c>
      <c r="P326" s="120" t="s">
        <v>297</v>
      </c>
      <c r="Q326" s="197" t="e">
        <f>VLOOKUP(N327,Preenchimento!$A:$BV,5,0)</f>
        <v>#N/A</v>
      </c>
      <c r="R326" s="198" t="e">
        <f>VLOOKUP(O327,Preenchimento!$A:$BV,5,0)</f>
        <v>#N/A</v>
      </c>
      <c r="S326" s="121" t="s">
        <v>296</v>
      </c>
      <c r="T326" s="193" t="e">
        <f>VLOOKUP(T327,Preenchimento!$A:$BV,3,0)</f>
        <v>#N/A</v>
      </c>
      <c r="U326" s="193" t="e">
        <f>VLOOKUP(U327,Preenchimento!$A:$BV,3,0)</f>
        <v>#N/A</v>
      </c>
      <c r="V326" s="120" t="s">
        <v>297</v>
      </c>
      <c r="W326" s="197" t="e">
        <f>VLOOKUP(T327,Preenchimento!$A:$BV,5,0)</f>
        <v>#N/A</v>
      </c>
      <c r="X326" s="198" t="e">
        <f>VLOOKUP(U327,Preenchimento!$A:$BV,5,0)</f>
        <v>#N/A</v>
      </c>
    </row>
    <row r="327" spans="1:24" ht="9.75" customHeight="1" x14ac:dyDescent="0.15">
      <c r="A327" s="121" t="s">
        <v>298</v>
      </c>
      <c r="B327" s="193"/>
      <c r="C327" s="193"/>
      <c r="D327" s="120" t="s">
        <v>299</v>
      </c>
      <c r="F327" s="131" t="e">
        <f>VLOOKUP(B327,Preenchimento!$A:$BV,10,0)</f>
        <v>#N/A</v>
      </c>
      <c r="G327" s="121" t="s">
        <v>298</v>
      </c>
      <c r="H327" s="193"/>
      <c r="I327" s="193"/>
      <c r="J327" s="120" t="s">
        <v>299</v>
      </c>
      <c r="L327" s="131" t="e">
        <f>VLOOKUP(H327,Preenchimento!$A:$BV,10,0)</f>
        <v>#N/A</v>
      </c>
      <c r="M327" s="121" t="s">
        <v>298</v>
      </c>
      <c r="N327" s="193"/>
      <c r="O327" s="193"/>
      <c r="P327" s="120" t="s">
        <v>299</v>
      </c>
      <c r="R327" s="131" t="e">
        <f>VLOOKUP(N327,Preenchimento!$A:$BV,10,0)</f>
        <v>#N/A</v>
      </c>
      <c r="S327" s="121" t="s">
        <v>298</v>
      </c>
      <c r="T327" s="193"/>
      <c r="U327" s="193"/>
      <c r="V327" s="120" t="s">
        <v>299</v>
      </c>
      <c r="X327" s="131" t="e">
        <f>VLOOKUP(T327,Preenchimento!$A:$BV,10,0)</f>
        <v>#N/A</v>
      </c>
    </row>
    <row r="328" spans="1:24" ht="9.75" customHeight="1" x14ac:dyDescent="0.15">
      <c r="A328" s="121" t="s">
        <v>300</v>
      </c>
      <c r="C328" s="193" t="e">
        <f>VLOOKUP(B327,Preenchimento!$A:$BV,12,0)</f>
        <v>#N/A</v>
      </c>
      <c r="D328" s="193" t="e">
        <f>VLOOKUP(C327,Preenchimento!$A:$BV,12,0)</f>
        <v>#N/A</v>
      </c>
      <c r="E328" s="193" t="e">
        <f>VLOOKUP(D327,Preenchimento!$A:$BV,12,0)</f>
        <v>#N/A</v>
      </c>
      <c r="F328" s="194" t="e">
        <f>VLOOKUP(E327,Preenchimento!$A:$BV,12,0)</f>
        <v>#N/A</v>
      </c>
      <c r="G328" s="121" t="s">
        <v>300</v>
      </c>
      <c r="I328" s="193" t="e">
        <f>VLOOKUP(H327,Preenchimento!$A:$BV,12,0)</f>
        <v>#N/A</v>
      </c>
      <c r="J328" s="193" t="e">
        <f>VLOOKUP(I327,Preenchimento!$A:$BV,12,0)</f>
        <v>#N/A</v>
      </c>
      <c r="K328" s="193" t="e">
        <f>VLOOKUP(J327,Preenchimento!$A:$BV,12,0)</f>
        <v>#N/A</v>
      </c>
      <c r="L328" s="194" t="e">
        <f>VLOOKUP(K327,Preenchimento!$A:$BV,12,0)</f>
        <v>#N/A</v>
      </c>
      <c r="M328" s="121" t="s">
        <v>300</v>
      </c>
      <c r="O328" s="193" t="e">
        <f>VLOOKUP(N327,Preenchimento!$A:$BV,12,0)</f>
        <v>#N/A</v>
      </c>
      <c r="P328" s="193" t="e">
        <f>VLOOKUP(O327,Preenchimento!$A:$BV,12,0)</f>
        <v>#N/A</v>
      </c>
      <c r="Q328" s="193" t="e">
        <f>VLOOKUP(P327,Preenchimento!$A:$BV,12,0)</f>
        <v>#N/A</v>
      </c>
      <c r="R328" s="194" t="e">
        <f>VLOOKUP(Q327,Preenchimento!$A:$BV,12,0)</f>
        <v>#N/A</v>
      </c>
      <c r="S328" s="121" t="s">
        <v>300</v>
      </c>
      <c r="U328" s="193" t="e">
        <f>VLOOKUP(T327,Preenchimento!$A:$BV,12,0)</f>
        <v>#N/A</v>
      </c>
      <c r="V328" s="193" t="e">
        <f>VLOOKUP(U327,Preenchimento!$A:$BV,12,0)</f>
        <v>#N/A</v>
      </c>
      <c r="W328" s="193" t="e">
        <f>VLOOKUP(V327,Preenchimento!$A:$BV,12,0)</f>
        <v>#N/A</v>
      </c>
      <c r="X328" s="194" t="e">
        <f>VLOOKUP(W327,Preenchimento!$A:$BV,12,0)</f>
        <v>#N/A</v>
      </c>
    </row>
    <row r="329" spans="1:24" ht="9.75" customHeight="1" x14ac:dyDescent="0.15">
      <c r="A329" s="123" t="s">
        <v>301</v>
      </c>
      <c r="B329" s="195" t="e">
        <f>IF(VLOOKUP(B327,Preenchimento!$A:$BV,11,0)=0,"",VLOOKUP(B327,Preenchimento!$A:$BV,11,0))</f>
        <v>#N/A</v>
      </c>
      <c r="C329" s="195"/>
      <c r="D329" s="195"/>
      <c r="E329" s="195"/>
      <c r="F329" s="196"/>
      <c r="G329" s="123" t="s">
        <v>301</v>
      </c>
      <c r="H329" s="195" t="e">
        <f>IF(VLOOKUP(H327,Preenchimento!$A:$BV,11,0)=0,"",VLOOKUP(H327,Preenchimento!$A:$BV,11,0))</f>
        <v>#N/A</v>
      </c>
      <c r="I329" s="195"/>
      <c r="J329" s="195"/>
      <c r="K329" s="195"/>
      <c r="L329" s="196"/>
      <c r="M329" s="123" t="s">
        <v>301</v>
      </c>
      <c r="N329" s="195" t="e">
        <f>IF(VLOOKUP(N327,Preenchimento!$A:$BV,11,0)=0,"",VLOOKUP(N327,Preenchimento!$A:$BV,11,0))</f>
        <v>#N/A</v>
      </c>
      <c r="O329" s="195"/>
      <c r="P329" s="195"/>
      <c r="Q329" s="195"/>
      <c r="R329" s="196"/>
      <c r="S329" s="123" t="s">
        <v>301</v>
      </c>
      <c r="T329" s="195" t="e">
        <f>IF(VLOOKUP(T327,Preenchimento!$A:$BV,11,0)=0,"",VLOOKUP(T327,Preenchimento!$A:$BV,11,0))</f>
        <v>#N/A</v>
      </c>
      <c r="U329" s="195"/>
      <c r="V329" s="195"/>
      <c r="W329" s="195"/>
      <c r="X329" s="196"/>
    </row>
    <row r="330" spans="1:24" s="130" customFormat="1" ht="33.950000000000003" customHeight="1" x14ac:dyDescent="0.25">
      <c r="A330" s="199" t="str">
        <f>Sitio!$A$3</f>
        <v>Projeto 01</v>
      </c>
      <c r="B330" s="200"/>
      <c r="C330" s="200"/>
      <c r="D330" s="200"/>
      <c r="E330" s="200"/>
      <c r="F330" s="201"/>
      <c r="G330" s="199" t="str">
        <f>Sitio!$A$3</f>
        <v>Projeto 01</v>
      </c>
      <c r="H330" s="200"/>
      <c r="I330" s="200"/>
      <c r="J330" s="200"/>
      <c r="K330" s="200"/>
      <c r="L330" s="201"/>
      <c r="M330" s="199" t="str">
        <f>Sitio!$A$3</f>
        <v>Projeto 01</v>
      </c>
      <c r="N330" s="200"/>
      <c r="O330" s="200"/>
      <c r="P330" s="200"/>
      <c r="Q330" s="200"/>
      <c r="R330" s="201"/>
      <c r="S330" s="199" t="str">
        <f>Sitio!$A$3</f>
        <v>Projeto 01</v>
      </c>
      <c r="T330" s="200"/>
      <c r="U330" s="200"/>
      <c r="V330" s="200"/>
      <c r="W330" s="200"/>
      <c r="X330" s="201"/>
    </row>
    <row r="331" spans="1:24" ht="9.75" customHeight="1" x14ac:dyDescent="0.15">
      <c r="A331" s="121" t="s">
        <v>294</v>
      </c>
      <c r="B331" s="193">
        <f>Sitio!$E$3</f>
        <v>0</v>
      </c>
      <c r="C331" s="193"/>
      <c r="D331" s="193"/>
      <c r="E331" s="193"/>
      <c r="F331" s="194"/>
      <c r="G331" s="121" t="s">
        <v>294</v>
      </c>
      <c r="H331" s="193">
        <f>Sitio!$E$3</f>
        <v>0</v>
      </c>
      <c r="I331" s="193"/>
      <c r="J331" s="193"/>
      <c r="K331" s="193"/>
      <c r="L331" s="194"/>
      <c r="M331" s="121" t="s">
        <v>294</v>
      </c>
      <c r="N331" s="193">
        <f>Sitio!$E$3</f>
        <v>0</v>
      </c>
      <c r="O331" s="193"/>
      <c r="P331" s="193"/>
      <c r="Q331" s="193"/>
      <c r="R331" s="194"/>
      <c r="S331" s="121" t="s">
        <v>294</v>
      </c>
      <c r="T331" s="193">
        <f>Sitio!$E$3</f>
        <v>0</v>
      </c>
      <c r="U331" s="193"/>
      <c r="V331" s="193"/>
      <c r="W331" s="193"/>
      <c r="X331" s="194"/>
    </row>
    <row r="332" spans="1:24" ht="9.75" customHeight="1" x14ac:dyDescent="0.15">
      <c r="A332" s="121" t="s">
        <v>295</v>
      </c>
      <c r="C332" s="193" t="e">
        <f>VLOOKUP(B334,Preenchimento!$A:$BV,2,0)</f>
        <v>#N/A</v>
      </c>
      <c r="D332" s="193" t="e">
        <f>VLOOKUP(C334,Preenchimento!$A:$BV,2,0)</f>
        <v>#N/A</v>
      </c>
      <c r="E332" s="193" t="e">
        <f>VLOOKUP(D334,Preenchimento!$A:$BV,2,0)</f>
        <v>#N/A</v>
      </c>
      <c r="F332" s="194" t="e">
        <f>VLOOKUP(E334,Preenchimento!$A:$BV,2,0)</f>
        <v>#N/A</v>
      </c>
      <c r="G332" s="121" t="s">
        <v>295</v>
      </c>
      <c r="I332" s="193" t="e">
        <f>VLOOKUP(H334,Preenchimento!$A:$BV,2,0)</f>
        <v>#N/A</v>
      </c>
      <c r="J332" s="193" t="e">
        <f>VLOOKUP(I334,Preenchimento!$A:$BV,2,0)</f>
        <v>#N/A</v>
      </c>
      <c r="K332" s="193" t="e">
        <f>VLOOKUP(J334,Preenchimento!$A:$BV,2,0)</f>
        <v>#N/A</v>
      </c>
      <c r="L332" s="194" t="e">
        <f>VLOOKUP(K334,Preenchimento!$A:$BV,2,0)</f>
        <v>#N/A</v>
      </c>
      <c r="M332" s="121" t="s">
        <v>295</v>
      </c>
      <c r="O332" s="193" t="e">
        <f>VLOOKUP(N334,Preenchimento!$A:$BV,2,0)</f>
        <v>#N/A</v>
      </c>
      <c r="P332" s="193" t="e">
        <f>VLOOKUP(O334,Preenchimento!$A:$BV,2,0)</f>
        <v>#N/A</v>
      </c>
      <c r="Q332" s="193" t="e">
        <f>VLOOKUP(P334,Preenchimento!$A:$BV,2,0)</f>
        <v>#N/A</v>
      </c>
      <c r="R332" s="194" t="e">
        <f>VLOOKUP(Q334,Preenchimento!$A:$BV,2,0)</f>
        <v>#N/A</v>
      </c>
      <c r="S332" s="121" t="s">
        <v>295</v>
      </c>
      <c r="U332" s="193" t="e">
        <f>VLOOKUP(T334,Preenchimento!$A:$BV,2,0)</f>
        <v>#N/A</v>
      </c>
      <c r="V332" s="193" t="e">
        <f>VLOOKUP(U334,Preenchimento!$A:$BV,2,0)</f>
        <v>#N/A</v>
      </c>
      <c r="W332" s="193" t="e">
        <f>VLOOKUP(V334,Preenchimento!$A:$BV,2,0)</f>
        <v>#N/A</v>
      </c>
      <c r="X332" s="194" t="e">
        <f>VLOOKUP(W334,Preenchimento!$A:$BV,2,0)</f>
        <v>#N/A</v>
      </c>
    </row>
    <row r="333" spans="1:24" ht="9.75" customHeight="1" x14ac:dyDescent="0.15">
      <c r="A333" s="121" t="s">
        <v>296</v>
      </c>
      <c r="B333" s="193" t="e">
        <f>VLOOKUP(B334,Preenchimento!$A:$BV,3,0)</f>
        <v>#N/A</v>
      </c>
      <c r="C333" s="193" t="e">
        <f>VLOOKUP(C334,Preenchimento!$A:$BV,3,0)</f>
        <v>#N/A</v>
      </c>
      <c r="D333" s="120" t="s">
        <v>297</v>
      </c>
      <c r="E333" s="197" t="e">
        <f>VLOOKUP(B334,Preenchimento!$A:$BV,5,0)</f>
        <v>#N/A</v>
      </c>
      <c r="F333" s="198" t="e">
        <f>VLOOKUP(C334,Preenchimento!$A:$BV,5,0)</f>
        <v>#N/A</v>
      </c>
      <c r="G333" s="121" t="s">
        <v>296</v>
      </c>
      <c r="H333" s="193" t="e">
        <f>VLOOKUP(H334,Preenchimento!$A:$BV,3,0)</f>
        <v>#N/A</v>
      </c>
      <c r="I333" s="193" t="e">
        <f>VLOOKUP(I334,Preenchimento!$A:$BV,3,0)</f>
        <v>#N/A</v>
      </c>
      <c r="J333" s="120" t="s">
        <v>297</v>
      </c>
      <c r="K333" s="197" t="e">
        <f>VLOOKUP(H334,Preenchimento!$A:$BV,5,0)</f>
        <v>#N/A</v>
      </c>
      <c r="L333" s="198" t="e">
        <f>VLOOKUP(I334,Preenchimento!$A:$BV,5,0)</f>
        <v>#N/A</v>
      </c>
      <c r="M333" s="121" t="s">
        <v>296</v>
      </c>
      <c r="N333" s="193" t="e">
        <f>VLOOKUP(N334,Preenchimento!$A:$BV,3,0)</f>
        <v>#N/A</v>
      </c>
      <c r="O333" s="193" t="e">
        <f>VLOOKUP(O334,Preenchimento!$A:$BV,3,0)</f>
        <v>#N/A</v>
      </c>
      <c r="P333" s="120" t="s">
        <v>297</v>
      </c>
      <c r="Q333" s="197" t="e">
        <f>VLOOKUP(N334,Preenchimento!$A:$BV,5,0)</f>
        <v>#N/A</v>
      </c>
      <c r="R333" s="198" t="e">
        <f>VLOOKUP(O334,Preenchimento!$A:$BV,5,0)</f>
        <v>#N/A</v>
      </c>
      <c r="S333" s="121" t="s">
        <v>296</v>
      </c>
      <c r="T333" s="193" t="e">
        <f>VLOOKUP(T334,Preenchimento!$A:$BV,3,0)</f>
        <v>#N/A</v>
      </c>
      <c r="U333" s="193" t="e">
        <f>VLOOKUP(U334,Preenchimento!$A:$BV,3,0)</f>
        <v>#N/A</v>
      </c>
      <c r="V333" s="120" t="s">
        <v>297</v>
      </c>
      <c r="W333" s="197" t="e">
        <f>VLOOKUP(T334,Preenchimento!$A:$BV,5,0)</f>
        <v>#N/A</v>
      </c>
      <c r="X333" s="198" t="e">
        <f>VLOOKUP(U334,Preenchimento!$A:$BV,5,0)</f>
        <v>#N/A</v>
      </c>
    </row>
    <row r="334" spans="1:24" ht="9.75" customHeight="1" x14ac:dyDescent="0.15">
      <c r="A334" s="121" t="s">
        <v>298</v>
      </c>
      <c r="B334" s="193"/>
      <c r="C334" s="193"/>
      <c r="D334" s="120" t="s">
        <v>299</v>
      </c>
      <c r="F334" s="131" t="e">
        <f>VLOOKUP(B334,Preenchimento!$A:$BV,10,0)</f>
        <v>#N/A</v>
      </c>
      <c r="G334" s="121" t="s">
        <v>298</v>
      </c>
      <c r="H334" s="193"/>
      <c r="I334" s="193"/>
      <c r="J334" s="120" t="s">
        <v>299</v>
      </c>
      <c r="L334" s="131" t="e">
        <f>VLOOKUP(H334,Preenchimento!$A:$BV,10,0)</f>
        <v>#N/A</v>
      </c>
      <c r="M334" s="121" t="s">
        <v>298</v>
      </c>
      <c r="N334" s="193"/>
      <c r="O334" s="193"/>
      <c r="P334" s="120" t="s">
        <v>299</v>
      </c>
      <c r="R334" s="131" t="e">
        <f>VLOOKUP(N334,Preenchimento!$A:$BV,10,0)</f>
        <v>#N/A</v>
      </c>
      <c r="S334" s="121" t="s">
        <v>298</v>
      </c>
      <c r="T334" s="193"/>
      <c r="U334" s="193"/>
      <c r="V334" s="120" t="s">
        <v>299</v>
      </c>
      <c r="X334" s="131" t="e">
        <f>VLOOKUP(T334,Preenchimento!$A:$BV,10,0)</f>
        <v>#N/A</v>
      </c>
    </row>
    <row r="335" spans="1:24" ht="9.75" customHeight="1" x14ac:dyDescent="0.15">
      <c r="A335" s="121" t="s">
        <v>300</v>
      </c>
      <c r="C335" s="193" t="e">
        <f>VLOOKUP(B334,Preenchimento!$A:$BV,12,0)</f>
        <v>#N/A</v>
      </c>
      <c r="D335" s="193" t="e">
        <f>VLOOKUP(C334,Preenchimento!$A:$BV,12,0)</f>
        <v>#N/A</v>
      </c>
      <c r="E335" s="193" t="e">
        <f>VLOOKUP(D334,Preenchimento!$A:$BV,12,0)</f>
        <v>#N/A</v>
      </c>
      <c r="F335" s="194" t="e">
        <f>VLOOKUP(E334,Preenchimento!$A:$BV,12,0)</f>
        <v>#N/A</v>
      </c>
      <c r="G335" s="121" t="s">
        <v>300</v>
      </c>
      <c r="I335" s="193" t="e">
        <f>VLOOKUP(H334,Preenchimento!$A:$BV,12,0)</f>
        <v>#N/A</v>
      </c>
      <c r="J335" s="193" t="e">
        <f>VLOOKUP(I334,Preenchimento!$A:$BV,12,0)</f>
        <v>#N/A</v>
      </c>
      <c r="K335" s="193" t="e">
        <f>VLOOKUP(J334,Preenchimento!$A:$BV,12,0)</f>
        <v>#N/A</v>
      </c>
      <c r="L335" s="194" t="e">
        <f>VLOOKUP(K334,Preenchimento!$A:$BV,12,0)</f>
        <v>#N/A</v>
      </c>
      <c r="M335" s="121" t="s">
        <v>300</v>
      </c>
      <c r="O335" s="193" t="e">
        <f>VLOOKUP(N334,Preenchimento!$A:$BV,12,0)</f>
        <v>#N/A</v>
      </c>
      <c r="P335" s="193" t="e">
        <f>VLOOKUP(O334,Preenchimento!$A:$BV,12,0)</f>
        <v>#N/A</v>
      </c>
      <c r="Q335" s="193" t="e">
        <f>VLOOKUP(P334,Preenchimento!$A:$BV,12,0)</f>
        <v>#N/A</v>
      </c>
      <c r="R335" s="194" t="e">
        <f>VLOOKUP(Q334,Preenchimento!$A:$BV,12,0)</f>
        <v>#N/A</v>
      </c>
      <c r="S335" s="121" t="s">
        <v>300</v>
      </c>
      <c r="U335" s="193" t="e">
        <f>VLOOKUP(T334,Preenchimento!$A:$BV,12,0)</f>
        <v>#N/A</v>
      </c>
      <c r="V335" s="193" t="e">
        <f>VLOOKUP(U334,Preenchimento!$A:$BV,12,0)</f>
        <v>#N/A</v>
      </c>
      <c r="W335" s="193" t="e">
        <f>VLOOKUP(V334,Preenchimento!$A:$BV,12,0)</f>
        <v>#N/A</v>
      </c>
      <c r="X335" s="194" t="e">
        <f>VLOOKUP(W334,Preenchimento!$A:$BV,12,0)</f>
        <v>#N/A</v>
      </c>
    </row>
    <row r="336" spans="1:24" ht="9.75" customHeight="1" x14ac:dyDescent="0.15">
      <c r="A336" s="123" t="s">
        <v>301</v>
      </c>
      <c r="B336" s="195" t="e">
        <f>IF(VLOOKUP(B334,Preenchimento!$A:$BV,11,0)=0,"",VLOOKUP(B334,Preenchimento!$A:$BV,11,0))</f>
        <v>#N/A</v>
      </c>
      <c r="C336" s="195"/>
      <c r="D336" s="195"/>
      <c r="E336" s="195"/>
      <c r="F336" s="196"/>
      <c r="G336" s="123" t="s">
        <v>301</v>
      </c>
      <c r="H336" s="195" t="e">
        <f>IF(VLOOKUP(H334,Preenchimento!$A:$BV,11,0)=0,"",VLOOKUP(H334,Preenchimento!$A:$BV,11,0))</f>
        <v>#N/A</v>
      </c>
      <c r="I336" s="195"/>
      <c r="J336" s="195"/>
      <c r="K336" s="195"/>
      <c r="L336" s="196"/>
      <c r="M336" s="123" t="s">
        <v>301</v>
      </c>
      <c r="N336" s="195" t="e">
        <f>IF(VLOOKUP(N334,Preenchimento!$A:$BV,11,0)=0,"",VLOOKUP(N334,Preenchimento!$A:$BV,11,0))</f>
        <v>#N/A</v>
      </c>
      <c r="O336" s="195"/>
      <c r="P336" s="195"/>
      <c r="Q336" s="195"/>
      <c r="R336" s="196"/>
      <c r="S336" s="123" t="s">
        <v>301</v>
      </c>
      <c r="T336" s="195" t="e">
        <f>IF(VLOOKUP(T334,Preenchimento!$A:$BV,11,0)=0,"",VLOOKUP(T334,Preenchimento!$A:$BV,11,0))</f>
        <v>#N/A</v>
      </c>
      <c r="U336" s="195"/>
      <c r="V336" s="195"/>
      <c r="W336" s="195"/>
      <c r="X336" s="196"/>
    </row>
    <row r="337" spans="1:24" s="130" customFormat="1" ht="33.950000000000003" customHeight="1" x14ac:dyDescent="0.25">
      <c r="A337" s="199" t="str">
        <f>Sitio!$A$3</f>
        <v>Projeto 01</v>
      </c>
      <c r="B337" s="200"/>
      <c r="C337" s="200"/>
      <c r="D337" s="200"/>
      <c r="E337" s="200"/>
      <c r="F337" s="201"/>
      <c r="G337" s="199" t="str">
        <f>Sitio!$A$3</f>
        <v>Projeto 01</v>
      </c>
      <c r="H337" s="200"/>
      <c r="I337" s="200"/>
      <c r="J337" s="200"/>
      <c r="K337" s="200"/>
      <c r="L337" s="201"/>
      <c r="M337" s="199" t="str">
        <f>Sitio!$A$3</f>
        <v>Projeto 01</v>
      </c>
      <c r="N337" s="200"/>
      <c r="O337" s="200"/>
      <c r="P337" s="200"/>
      <c r="Q337" s="200"/>
      <c r="R337" s="201"/>
      <c r="S337" s="199" t="str">
        <f>Sitio!$A$3</f>
        <v>Projeto 01</v>
      </c>
      <c r="T337" s="200"/>
      <c r="U337" s="200"/>
      <c r="V337" s="200"/>
      <c r="W337" s="200"/>
      <c r="X337" s="201"/>
    </row>
    <row r="338" spans="1:24" ht="9.75" customHeight="1" x14ac:dyDescent="0.15">
      <c r="A338" s="121" t="s">
        <v>294</v>
      </c>
      <c r="B338" s="193">
        <f>Sitio!$E$3</f>
        <v>0</v>
      </c>
      <c r="C338" s="193"/>
      <c r="D338" s="193"/>
      <c r="E338" s="193"/>
      <c r="F338" s="194"/>
      <c r="G338" s="121" t="s">
        <v>294</v>
      </c>
      <c r="H338" s="193">
        <f>Sitio!$E$3</f>
        <v>0</v>
      </c>
      <c r="I338" s="193"/>
      <c r="J338" s="193"/>
      <c r="K338" s="193"/>
      <c r="L338" s="194"/>
      <c r="M338" s="121" t="s">
        <v>294</v>
      </c>
      <c r="N338" s="193">
        <f>Sitio!$E$3</f>
        <v>0</v>
      </c>
      <c r="O338" s="193"/>
      <c r="P338" s="193"/>
      <c r="Q338" s="193"/>
      <c r="R338" s="194"/>
      <c r="S338" s="121" t="s">
        <v>294</v>
      </c>
      <c r="T338" s="193">
        <f>Sitio!$E$3</f>
        <v>0</v>
      </c>
      <c r="U338" s="193"/>
      <c r="V338" s="193"/>
      <c r="W338" s="193"/>
      <c r="X338" s="194"/>
    </row>
    <row r="339" spans="1:24" ht="9.75" customHeight="1" x14ac:dyDescent="0.15">
      <c r="A339" s="121" t="s">
        <v>295</v>
      </c>
      <c r="C339" s="193" t="e">
        <f>VLOOKUP(B341,Preenchimento!$A:$BV,2,0)</f>
        <v>#N/A</v>
      </c>
      <c r="D339" s="193" t="e">
        <f>VLOOKUP(C341,Preenchimento!$A:$BV,2,0)</f>
        <v>#N/A</v>
      </c>
      <c r="E339" s="193" t="e">
        <f>VLOOKUP(D341,Preenchimento!$A:$BV,2,0)</f>
        <v>#N/A</v>
      </c>
      <c r="F339" s="194" t="e">
        <f>VLOOKUP(E341,Preenchimento!$A:$BV,2,0)</f>
        <v>#N/A</v>
      </c>
      <c r="G339" s="121" t="s">
        <v>295</v>
      </c>
      <c r="I339" s="193" t="e">
        <f>VLOOKUP(H341,Preenchimento!$A:$BV,2,0)</f>
        <v>#N/A</v>
      </c>
      <c r="J339" s="193" t="e">
        <f>VLOOKUP(I341,Preenchimento!$A:$BV,2,0)</f>
        <v>#N/A</v>
      </c>
      <c r="K339" s="193" t="e">
        <f>VLOOKUP(J341,Preenchimento!$A:$BV,2,0)</f>
        <v>#N/A</v>
      </c>
      <c r="L339" s="194" t="e">
        <f>VLOOKUP(K341,Preenchimento!$A:$BV,2,0)</f>
        <v>#N/A</v>
      </c>
      <c r="M339" s="121" t="s">
        <v>295</v>
      </c>
      <c r="O339" s="193" t="e">
        <f>VLOOKUP(N341,Preenchimento!$A:$BV,2,0)</f>
        <v>#N/A</v>
      </c>
      <c r="P339" s="193" t="e">
        <f>VLOOKUP(O341,Preenchimento!$A:$BV,2,0)</f>
        <v>#N/A</v>
      </c>
      <c r="Q339" s="193" t="e">
        <f>VLOOKUP(P341,Preenchimento!$A:$BV,2,0)</f>
        <v>#N/A</v>
      </c>
      <c r="R339" s="194" t="e">
        <f>VLOOKUP(Q341,Preenchimento!$A:$BV,2,0)</f>
        <v>#N/A</v>
      </c>
      <c r="S339" s="121" t="s">
        <v>295</v>
      </c>
      <c r="U339" s="193" t="e">
        <f>VLOOKUP(T341,Preenchimento!$A:$BV,2,0)</f>
        <v>#N/A</v>
      </c>
      <c r="V339" s="193" t="e">
        <f>VLOOKUP(U341,Preenchimento!$A:$BV,2,0)</f>
        <v>#N/A</v>
      </c>
      <c r="W339" s="193" t="e">
        <f>VLOOKUP(V341,Preenchimento!$A:$BV,2,0)</f>
        <v>#N/A</v>
      </c>
      <c r="X339" s="194" t="e">
        <f>VLOOKUP(W341,Preenchimento!$A:$BV,2,0)</f>
        <v>#N/A</v>
      </c>
    </row>
    <row r="340" spans="1:24" ht="9.75" customHeight="1" x14ac:dyDescent="0.15">
      <c r="A340" s="121" t="s">
        <v>296</v>
      </c>
      <c r="B340" s="193" t="e">
        <f>VLOOKUP(B341,Preenchimento!$A:$BV,3,0)</f>
        <v>#N/A</v>
      </c>
      <c r="C340" s="193" t="e">
        <f>VLOOKUP(C341,Preenchimento!$A:$BV,3,0)</f>
        <v>#N/A</v>
      </c>
      <c r="D340" s="120" t="s">
        <v>297</v>
      </c>
      <c r="E340" s="197" t="e">
        <f>VLOOKUP(B341,Preenchimento!$A:$BV,5,0)</f>
        <v>#N/A</v>
      </c>
      <c r="F340" s="198" t="e">
        <f>VLOOKUP(C341,Preenchimento!$A:$BV,5,0)</f>
        <v>#N/A</v>
      </c>
      <c r="G340" s="121" t="s">
        <v>296</v>
      </c>
      <c r="H340" s="193" t="e">
        <f>VLOOKUP(H341,Preenchimento!$A:$BV,3,0)</f>
        <v>#N/A</v>
      </c>
      <c r="I340" s="193" t="e">
        <f>VLOOKUP(I341,Preenchimento!$A:$BV,3,0)</f>
        <v>#N/A</v>
      </c>
      <c r="J340" s="120" t="s">
        <v>297</v>
      </c>
      <c r="K340" s="197" t="e">
        <f>VLOOKUP(H341,Preenchimento!$A:$BV,5,0)</f>
        <v>#N/A</v>
      </c>
      <c r="L340" s="198" t="e">
        <f>VLOOKUP(I341,Preenchimento!$A:$BV,5,0)</f>
        <v>#N/A</v>
      </c>
      <c r="M340" s="121" t="s">
        <v>296</v>
      </c>
      <c r="N340" s="193" t="e">
        <f>VLOOKUP(N341,Preenchimento!$A:$BV,3,0)</f>
        <v>#N/A</v>
      </c>
      <c r="O340" s="193" t="e">
        <f>VLOOKUP(O341,Preenchimento!$A:$BV,3,0)</f>
        <v>#N/A</v>
      </c>
      <c r="P340" s="120" t="s">
        <v>297</v>
      </c>
      <c r="Q340" s="197" t="e">
        <f>VLOOKUP(N341,Preenchimento!$A:$BV,5,0)</f>
        <v>#N/A</v>
      </c>
      <c r="R340" s="198" t="e">
        <f>VLOOKUP(O341,Preenchimento!$A:$BV,5,0)</f>
        <v>#N/A</v>
      </c>
      <c r="S340" s="121" t="s">
        <v>296</v>
      </c>
      <c r="T340" s="193" t="e">
        <f>VLOOKUP(T341,Preenchimento!$A:$BV,3,0)</f>
        <v>#N/A</v>
      </c>
      <c r="U340" s="193" t="e">
        <f>VLOOKUP(U341,Preenchimento!$A:$BV,3,0)</f>
        <v>#N/A</v>
      </c>
      <c r="V340" s="120" t="s">
        <v>297</v>
      </c>
      <c r="W340" s="197" t="e">
        <f>VLOOKUP(T341,Preenchimento!$A:$BV,5,0)</f>
        <v>#N/A</v>
      </c>
      <c r="X340" s="198" t="e">
        <f>VLOOKUP(U341,Preenchimento!$A:$BV,5,0)</f>
        <v>#N/A</v>
      </c>
    </row>
    <row r="341" spans="1:24" ht="9.75" customHeight="1" x14ac:dyDescent="0.15">
      <c r="A341" s="121" t="s">
        <v>298</v>
      </c>
      <c r="B341" s="193"/>
      <c r="C341" s="193"/>
      <c r="D341" s="120" t="s">
        <v>299</v>
      </c>
      <c r="F341" s="131" t="e">
        <f>VLOOKUP(B341,Preenchimento!$A:$BV,10,0)</f>
        <v>#N/A</v>
      </c>
      <c r="G341" s="121" t="s">
        <v>298</v>
      </c>
      <c r="H341" s="193"/>
      <c r="I341" s="193"/>
      <c r="J341" s="120" t="s">
        <v>299</v>
      </c>
      <c r="L341" s="131" t="e">
        <f>VLOOKUP(H341,Preenchimento!$A:$BV,10,0)</f>
        <v>#N/A</v>
      </c>
      <c r="M341" s="121" t="s">
        <v>298</v>
      </c>
      <c r="N341" s="193"/>
      <c r="O341" s="193"/>
      <c r="P341" s="120" t="s">
        <v>299</v>
      </c>
      <c r="R341" s="131" t="e">
        <f>VLOOKUP(N341,Preenchimento!$A:$BV,10,0)</f>
        <v>#N/A</v>
      </c>
      <c r="S341" s="121" t="s">
        <v>298</v>
      </c>
      <c r="T341" s="193"/>
      <c r="U341" s="193"/>
      <c r="V341" s="120" t="s">
        <v>299</v>
      </c>
      <c r="X341" s="131" t="e">
        <f>VLOOKUP(T341,Preenchimento!$A:$BV,10,0)</f>
        <v>#N/A</v>
      </c>
    </row>
    <row r="342" spans="1:24" ht="9.75" customHeight="1" x14ac:dyDescent="0.15">
      <c r="A342" s="121" t="s">
        <v>300</v>
      </c>
      <c r="C342" s="193" t="e">
        <f>VLOOKUP(B341,Preenchimento!$A:$BV,12,0)</f>
        <v>#N/A</v>
      </c>
      <c r="D342" s="193" t="e">
        <f>VLOOKUP(C341,Preenchimento!$A:$BV,12,0)</f>
        <v>#N/A</v>
      </c>
      <c r="E342" s="193" t="e">
        <f>VLOOKUP(D341,Preenchimento!$A:$BV,12,0)</f>
        <v>#N/A</v>
      </c>
      <c r="F342" s="194" t="e">
        <f>VLOOKUP(E341,Preenchimento!$A:$BV,12,0)</f>
        <v>#N/A</v>
      </c>
      <c r="G342" s="121" t="s">
        <v>300</v>
      </c>
      <c r="I342" s="193" t="e">
        <f>VLOOKUP(H341,Preenchimento!$A:$BV,12,0)</f>
        <v>#N/A</v>
      </c>
      <c r="J342" s="193" t="e">
        <f>VLOOKUP(I341,Preenchimento!$A:$BV,12,0)</f>
        <v>#N/A</v>
      </c>
      <c r="K342" s="193" t="e">
        <f>VLOOKUP(J341,Preenchimento!$A:$BV,12,0)</f>
        <v>#N/A</v>
      </c>
      <c r="L342" s="194" t="e">
        <f>VLOOKUP(K341,Preenchimento!$A:$BV,12,0)</f>
        <v>#N/A</v>
      </c>
      <c r="M342" s="121" t="s">
        <v>300</v>
      </c>
      <c r="O342" s="193" t="e">
        <f>VLOOKUP(N341,Preenchimento!$A:$BV,12,0)</f>
        <v>#N/A</v>
      </c>
      <c r="P342" s="193" t="e">
        <f>VLOOKUP(O341,Preenchimento!$A:$BV,12,0)</f>
        <v>#N/A</v>
      </c>
      <c r="Q342" s="193" t="e">
        <f>VLOOKUP(P341,Preenchimento!$A:$BV,12,0)</f>
        <v>#N/A</v>
      </c>
      <c r="R342" s="194" t="e">
        <f>VLOOKUP(Q341,Preenchimento!$A:$BV,12,0)</f>
        <v>#N/A</v>
      </c>
      <c r="S342" s="121" t="s">
        <v>300</v>
      </c>
      <c r="U342" s="193" t="e">
        <f>VLOOKUP(T341,Preenchimento!$A:$BV,12,0)</f>
        <v>#N/A</v>
      </c>
      <c r="V342" s="193" t="e">
        <f>VLOOKUP(U341,Preenchimento!$A:$BV,12,0)</f>
        <v>#N/A</v>
      </c>
      <c r="W342" s="193" t="e">
        <f>VLOOKUP(V341,Preenchimento!$A:$BV,12,0)</f>
        <v>#N/A</v>
      </c>
      <c r="X342" s="194" t="e">
        <f>VLOOKUP(W341,Preenchimento!$A:$BV,12,0)</f>
        <v>#N/A</v>
      </c>
    </row>
    <row r="343" spans="1:24" ht="9.75" customHeight="1" x14ac:dyDescent="0.15">
      <c r="A343" s="123" t="s">
        <v>301</v>
      </c>
      <c r="B343" s="195" t="e">
        <f>IF(VLOOKUP(B341,Preenchimento!$A:$BV,11,0)=0,"",VLOOKUP(B341,Preenchimento!$A:$BV,11,0))</f>
        <v>#N/A</v>
      </c>
      <c r="C343" s="195"/>
      <c r="D343" s="195"/>
      <c r="E343" s="195"/>
      <c r="F343" s="196"/>
      <c r="G343" s="123" t="s">
        <v>301</v>
      </c>
      <c r="H343" s="195" t="e">
        <f>IF(VLOOKUP(H341,Preenchimento!$A:$BV,11,0)=0,"",VLOOKUP(H341,Preenchimento!$A:$BV,11,0))</f>
        <v>#N/A</v>
      </c>
      <c r="I343" s="195"/>
      <c r="J343" s="195"/>
      <c r="K343" s="195"/>
      <c r="L343" s="196"/>
      <c r="M343" s="123" t="s">
        <v>301</v>
      </c>
      <c r="N343" s="195" t="e">
        <f>IF(VLOOKUP(N341,Preenchimento!$A:$BV,11,0)=0,"",VLOOKUP(N341,Preenchimento!$A:$BV,11,0))</f>
        <v>#N/A</v>
      </c>
      <c r="O343" s="195"/>
      <c r="P343" s="195"/>
      <c r="Q343" s="195"/>
      <c r="R343" s="196"/>
      <c r="S343" s="123" t="s">
        <v>301</v>
      </c>
      <c r="T343" s="195" t="e">
        <f>IF(VLOOKUP(T341,Preenchimento!$A:$BV,11,0)=0,"",VLOOKUP(T341,Preenchimento!$A:$BV,11,0))</f>
        <v>#N/A</v>
      </c>
      <c r="U343" s="195"/>
      <c r="V343" s="195"/>
      <c r="W343" s="195"/>
      <c r="X343" s="196"/>
    </row>
    <row r="344" spans="1:24" s="130" customFormat="1" ht="33.950000000000003" customHeight="1" x14ac:dyDescent="0.25">
      <c r="A344" s="199" t="str">
        <f>Sitio!$A$3</f>
        <v>Projeto 01</v>
      </c>
      <c r="B344" s="200"/>
      <c r="C344" s="200"/>
      <c r="D344" s="200"/>
      <c r="E344" s="200"/>
      <c r="F344" s="201"/>
      <c r="G344" s="199" t="str">
        <f>Sitio!$A$3</f>
        <v>Projeto 01</v>
      </c>
      <c r="H344" s="200"/>
      <c r="I344" s="200"/>
      <c r="J344" s="200"/>
      <c r="K344" s="200"/>
      <c r="L344" s="201"/>
      <c r="M344" s="199" t="str">
        <f>Sitio!$A$3</f>
        <v>Projeto 01</v>
      </c>
      <c r="N344" s="200"/>
      <c r="O344" s="200"/>
      <c r="P344" s="200"/>
      <c r="Q344" s="200"/>
      <c r="R344" s="201"/>
      <c r="S344" s="199" t="str">
        <f>Sitio!$A$3</f>
        <v>Projeto 01</v>
      </c>
      <c r="T344" s="200"/>
      <c r="U344" s="200"/>
      <c r="V344" s="200"/>
      <c r="W344" s="200"/>
      <c r="X344" s="201"/>
    </row>
    <row r="345" spans="1:24" ht="9.75" customHeight="1" x14ac:dyDescent="0.15">
      <c r="A345" s="121" t="s">
        <v>294</v>
      </c>
      <c r="B345" s="193">
        <f>Sitio!$E$3</f>
        <v>0</v>
      </c>
      <c r="C345" s="193"/>
      <c r="D345" s="193"/>
      <c r="E345" s="193"/>
      <c r="F345" s="194"/>
      <c r="G345" s="121" t="s">
        <v>294</v>
      </c>
      <c r="H345" s="193">
        <f>Sitio!$E$3</f>
        <v>0</v>
      </c>
      <c r="I345" s="193"/>
      <c r="J345" s="193"/>
      <c r="K345" s="193"/>
      <c r="L345" s="194"/>
      <c r="M345" s="121" t="s">
        <v>294</v>
      </c>
      <c r="N345" s="193">
        <f>Sitio!$E$3</f>
        <v>0</v>
      </c>
      <c r="O345" s="193"/>
      <c r="P345" s="193"/>
      <c r="Q345" s="193"/>
      <c r="R345" s="194"/>
      <c r="S345" s="121" t="s">
        <v>294</v>
      </c>
      <c r="T345" s="193">
        <f>Sitio!$E$3</f>
        <v>0</v>
      </c>
      <c r="U345" s="193"/>
      <c r="V345" s="193"/>
      <c r="W345" s="193"/>
      <c r="X345" s="194"/>
    </row>
    <row r="346" spans="1:24" ht="9.75" customHeight="1" x14ac:dyDescent="0.15">
      <c r="A346" s="121" t="s">
        <v>295</v>
      </c>
      <c r="C346" s="193" t="e">
        <f>VLOOKUP(B348,Preenchimento!$A:$BV,2,0)</f>
        <v>#N/A</v>
      </c>
      <c r="D346" s="193" t="e">
        <f>VLOOKUP(C348,Preenchimento!$A:$BV,2,0)</f>
        <v>#N/A</v>
      </c>
      <c r="E346" s="193" t="e">
        <f>VLOOKUP(D348,Preenchimento!$A:$BV,2,0)</f>
        <v>#N/A</v>
      </c>
      <c r="F346" s="194" t="e">
        <f>VLOOKUP(E348,Preenchimento!$A:$BV,2,0)</f>
        <v>#N/A</v>
      </c>
      <c r="G346" s="121" t="s">
        <v>295</v>
      </c>
      <c r="I346" s="193" t="e">
        <f>VLOOKUP(H348,Preenchimento!$A:$BV,2,0)</f>
        <v>#N/A</v>
      </c>
      <c r="J346" s="193" t="e">
        <f>VLOOKUP(I348,Preenchimento!$A:$BV,2,0)</f>
        <v>#N/A</v>
      </c>
      <c r="K346" s="193" t="e">
        <f>VLOOKUP(J348,Preenchimento!$A:$BV,2,0)</f>
        <v>#N/A</v>
      </c>
      <c r="L346" s="194" t="e">
        <f>VLOOKUP(K348,Preenchimento!$A:$BV,2,0)</f>
        <v>#N/A</v>
      </c>
      <c r="M346" s="121" t="s">
        <v>295</v>
      </c>
      <c r="O346" s="193" t="e">
        <f>VLOOKUP(N348,Preenchimento!$A:$BV,2,0)</f>
        <v>#N/A</v>
      </c>
      <c r="P346" s="193" t="e">
        <f>VLOOKUP(O348,Preenchimento!$A:$BV,2,0)</f>
        <v>#N/A</v>
      </c>
      <c r="Q346" s="193" t="e">
        <f>VLOOKUP(P348,Preenchimento!$A:$BV,2,0)</f>
        <v>#N/A</v>
      </c>
      <c r="R346" s="194" t="e">
        <f>VLOOKUP(Q348,Preenchimento!$A:$BV,2,0)</f>
        <v>#N/A</v>
      </c>
      <c r="S346" s="121" t="s">
        <v>295</v>
      </c>
      <c r="U346" s="193" t="e">
        <f>VLOOKUP(T348,Preenchimento!$A:$BV,2,0)</f>
        <v>#N/A</v>
      </c>
      <c r="V346" s="193" t="e">
        <f>VLOOKUP(U348,Preenchimento!$A:$BV,2,0)</f>
        <v>#N/A</v>
      </c>
      <c r="W346" s="193" t="e">
        <f>VLOOKUP(V348,Preenchimento!$A:$BV,2,0)</f>
        <v>#N/A</v>
      </c>
      <c r="X346" s="194" t="e">
        <f>VLOOKUP(W348,Preenchimento!$A:$BV,2,0)</f>
        <v>#N/A</v>
      </c>
    </row>
    <row r="347" spans="1:24" ht="9.75" customHeight="1" x14ac:dyDescent="0.15">
      <c r="A347" s="121" t="s">
        <v>296</v>
      </c>
      <c r="B347" s="193" t="e">
        <f>VLOOKUP(B348,Preenchimento!$A:$BV,3,0)</f>
        <v>#N/A</v>
      </c>
      <c r="C347" s="193" t="e">
        <f>VLOOKUP(C348,Preenchimento!$A:$BV,3,0)</f>
        <v>#N/A</v>
      </c>
      <c r="D347" s="120" t="s">
        <v>297</v>
      </c>
      <c r="E347" s="197" t="e">
        <f>VLOOKUP(B348,Preenchimento!$A:$BV,5,0)</f>
        <v>#N/A</v>
      </c>
      <c r="F347" s="198" t="e">
        <f>VLOOKUP(C348,Preenchimento!$A:$BV,5,0)</f>
        <v>#N/A</v>
      </c>
      <c r="G347" s="121" t="s">
        <v>296</v>
      </c>
      <c r="H347" s="193" t="e">
        <f>VLOOKUP(H348,Preenchimento!$A:$BV,3,0)</f>
        <v>#N/A</v>
      </c>
      <c r="I347" s="193" t="e">
        <f>VLOOKUP(I348,Preenchimento!$A:$BV,3,0)</f>
        <v>#N/A</v>
      </c>
      <c r="J347" s="120" t="s">
        <v>297</v>
      </c>
      <c r="K347" s="197" t="e">
        <f>VLOOKUP(H348,Preenchimento!$A:$BV,5,0)</f>
        <v>#N/A</v>
      </c>
      <c r="L347" s="198" t="e">
        <f>VLOOKUP(I348,Preenchimento!$A:$BV,5,0)</f>
        <v>#N/A</v>
      </c>
      <c r="M347" s="121" t="s">
        <v>296</v>
      </c>
      <c r="N347" s="193" t="e">
        <f>VLOOKUP(N348,Preenchimento!$A:$BV,3,0)</f>
        <v>#N/A</v>
      </c>
      <c r="O347" s="193" t="e">
        <f>VLOOKUP(O348,Preenchimento!$A:$BV,3,0)</f>
        <v>#N/A</v>
      </c>
      <c r="P347" s="120" t="s">
        <v>297</v>
      </c>
      <c r="Q347" s="197" t="e">
        <f>VLOOKUP(N348,Preenchimento!$A:$BV,5,0)</f>
        <v>#N/A</v>
      </c>
      <c r="R347" s="198" t="e">
        <f>VLOOKUP(O348,Preenchimento!$A:$BV,5,0)</f>
        <v>#N/A</v>
      </c>
      <c r="S347" s="121" t="s">
        <v>296</v>
      </c>
      <c r="T347" s="193" t="e">
        <f>VLOOKUP(T348,Preenchimento!$A:$BV,3,0)</f>
        <v>#N/A</v>
      </c>
      <c r="U347" s="193" t="e">
        <f>VLOOKUP(U348,Preenchimento!$A:$BV,3,0)</f>
        <v>#N/A</v>
      </c>
      <c r="V347" s="120" t="s">
        <v>297</v>
      </c>
      <c r="W347" s="197" t="e">
        <f>VLOOKUP(T348,Preenchimento!$A:$BV,5,0)</f>
        <v>#N/A</v>
      </c>
      <c r="X347" s="198" t="e">
        <f>VLOOKUP(U348,Preenchimento!$A:$BV,5,0)</f>
        <v>#N/A</v>
      </c>
    </row>
    <row r="348" spans="1:24" ht="9.75" customHeight="1" x14ac:dyDescent="0.15">
      <c r="A348" s="121" t="s">
        <v>298</v>
      </c>
      <c r="B348" s="193"/>
      <c r="C348" s="193"/>
      <c r="D348" s="120" t="s">
        <v>299</v>
      </c>
      <c r="F348" s="131" t="e">
        <f>VLOOKUP(B348,Preenchimento!$A:$BV,10,0)</f>
        <v>#N/A</v>
      </c>
      <c r="G348" s="121" t="s">
        <v>298</v>
      </c>
      <c r="H348" s="193"/>
      <c r="I348" s="193"/>
      <c r="J348" s="120" t="s">
        <v>299</v>
      </c>
      <c r="L348" s="131" t="e">
        <f>VLOOKUP(H348,Preenchimento!$A:$BV,10,0)</f>
        <v>#N/A</v>
      </c>
      <c r="M348" s="121" t="s">
        <v>298</v>
      </c>
      <c r="N348" s="193"/>
      <c r="O348" s="193"/>
      <c r="P348" s="120" t="s">
        <v>299</v>
      </c>
      <c r="R348" s="131" t="e">
        <f>VLOOKUP(N348,Preenchimento!$A:$BV,10,0)</f>
        <v>#N/A</v>
      </c>
      <c r="S348" s="121" t="s">
        <v>298</v>
      </c>
      <c r="T348" s="193"/>
      <c r="U348" s="193"/>
      <c r="V348" s="120" t="s">
        <v>299</v>
      </c>
      <c r="X348" s="131" t="e">
        <f>VLOOKUP(T348,Preenchimento!$A:$BV,10,0)</f>
        <v>#N/A</v>
      </c>
    </row>
    <row r="349" spans="1:24" ht="9.75" customHeight="1" x14ac:dyDescent="0.15">
      <c r="A349" s="121" t="s">
        <v>300</v>
      </c>
      <c r="C349" s="193" t="e">
        <f>VLOOKUP(B348,Preenchimento!$A:$BV,12,0)</f>
        <v>#N/A</v>
      </c>
      <c r="D349" s="193" t="e">
        <f>VLOOKUP(C348,Preenchimento!$A:$BV,12,0)</f>
        <v>#N/A</v>
      </c>
      <c r="E349" s="193" t="e">
        <f>VLOOKUP(D348,Preenchimento!$A:$BV,12,0)</f>
        <v>#N/A</v>
      </c>
      <c r="F349" s="194" t="e">
        <f>VLOOKUP(E348,Preenchimento!$A:$BV,12,0)</f>
        <v>#N/A</v>
      </c>
      <c r="G349" s="121" t="s">
        <v>300</v>
      </c>
      <c r="I349" s="193" t="e">
        <f>VLOOKUP(H348,Preenchimento!$A:$BV,12,0)</f>
        <v>#N/A</v>
      </c>
      <c r="J349" s="193" t="e">
        <f>VLOOKUP(I348,Preenchimento!$A:$BV,12,0)</f>
        <v>#N/A</v>
      </c>
      <c r="K349" s="193" t="e">
        <f>VLOOKUP(J348,Preenchimento!$A:$BV,12,0)</f>
        <v>#N/A</v>
      </c>
      <c r="L349" s="194" t="e">
        <f>VLOOKUP(K348,Preenchimento!$A:$BV,12,0)</f>
        <v>#N/A</v>
      </c>
      <c r="M349" s="121" t="s">
        <v>300</v>
      </c>
      <c r="O349" s="193" t="e">
        <f>VLOOKUP(N348,Preenchimento!$A:$BV,12,0)</f>
        <v>#N/A</v>
      </c>
      <c r="P349" s="193" t="e">
        <f>VLOOKUP(O348,Preenchimento!$A:$BV,12,0)</f>
        <v>#N/A</v>
      </c>
      <c r="Q349" s="193" t="e">
        <f>VLOOKUP(P348,Preenchimento!$A:$BV,12,0)</f>
        <v>#N/A</v>
      </c>
      <c r="R349" s="194" t="e">
        <f>VLOOKUP(Q348,Preenchimento!$A:$BV,12,0)</f>
        <v>#N/A</v>
      </c>
      <c r="S349" s="121" t="s">
        <v>300</v>
      </c>
      <c r="U349" s="193" t="e">
        <f>VLOOKUP(T348,Preenchimento!$A:$BV,12,0)</f>
        <v>#N/A</v>
      </c>
      <c r="V349" s="193" t="e">
        <f>VLOOKUP(U348,Preenchimento!$A:$BV,12,0)</f>
        <v>#N/A</v>
      </c>
      <c r="W349" s="193" t="e">
        <f>VLOOKUP(V348,Preenchimento!$A:$BV,12,0)</f>
        <v>#N/A</v>
      </c>
      <c r="X349" s="194" t="e">
        <f>VLOOKUP(W348,Preenchimento!$A:$BV,12,0)</f>
        <v>#N/A</v>
      </c>
    </row>
    <row r="350" spans="1:24" ht="9.75" customHeight="1" x14ac:dyDescent="0.15">
      <c r="A350" s="123" t="s">
        <v>301</v>
      </c>
      <c r="B350" s="195" t="e">
        <f>IF(VLOOKUP(B348,Preenchimento!$A:$BV,11,0)=0,"",VLOOKUP(B348,Preenchimento!$A:$BV,11,0))</f>
        <v>#N/A</v>
      </c>
      <c r="C350" s="195"/>
      <c r="D350" s="195"/>
      <c r="E350" s="195"/>
      <c r="F350" s="196"/>
      <c r="G350" s="123" t="s">
        <v>301</v>
      </c>
      <c r="H350" s="195" t="e">
        <f>IF(VLOOKUP(H348,Preenchimento!$A:$BV,11,0)=0,"",VLOOKUP(H348,Preenchimento!$A:$BV,11,0))</f>
        <v>#N/A</v>
      </c>
      <c r="I350" s="195"/>
      <c r="J350" s="195"/>
      <c r="K350" s="195"/>
      <c r="L350" s="196"/>
      <c r="M350" s="123" t="s">
        <v>301</v>
      </c>
      <c r="N350" s="195" t="e">
        <f>IF(VLOOKUP(N348,Preenchimento!$A:$BV,11,0)=0,"",VLOOKUP(N348,Preenchimento!$A:$BV,11,0))</f>
        <v>#N/A</v>
      </c>
      <c r="O350" s="195"/>
      <c r="P350" s="195"/>
      <c r="Q350" s="195"/>
      <c r="R350" s="196"/>
      <c r="S350" s="123" t="s">
        <v>301</v>
      </c>
      <c r="T350" s="195" t="e">
        <f>IF(VLOOKUP(T348,Preenchimento!$A:$BV,11,0)=0,"",VLOOKUP(T348,Preenchimento!$A:$BV,11,0))</f>
        <v>#N/A</v>
      </c>
      <c r="U350" s="195"/>
      <c r="V350" s="195"/>
      <c r="W350" s="195"/>
      <c r="X350" s="196"/>
    </row>
    <row r="351" spans="1:24" s="130" customFormat="1" ht="33.950000000000003" customHeight="1" x14ac:dyDescent="0.25">
      <c r="A351" s="199" t="str">
        <f>Sitio!$A$3</f>
        <v>Projeto 01</v>
      </c>
      <c r="B351" s="200"/>
      <c r="C351" s="200"/>
      <c r="D351" s="200"/>
      <c r="E351" s="200"/>
      <c r="F351" s="201"/>
      <c r="G351" s="199" t="str">
        <f>Sitio!$A$3</f>
        <v>Projeto 01</v>
      </c>
      <c r="H351" s="200"/>
      <c r="I351" s="200"/>
      <c r="J351" s="200"/>
      <c r="K351" s="200"/>
      <c r="L351" s="201"/>
      <c r="M351" s="199" t="str">
        <f>Sitio!$A$3</f>
        <v>Projeto 01</v>
      </c>
      <c r="N351" s="200"/>
      <c r="O351" s="200"/>
      <c r="P351" s="200"/>
      <c r="Q351" s="200"/>
      <c r="R351" s="201"/>
      <c r="S351" s="199" t="str">
        <f>Sitio!$A$3</f>
        <v>Projeto 01</v>
      </c>
      <c r="T351" s="200"/>
      <c r="U351" s="200"/>
      <c r="V351" s="200"/>
      <c r="W351" s="200"/>
      <c r="X351" s="201"/>
    </row>
    <row r="352" spans="1:24" ht="9.75" customHeight="1" x14ac:dyDescent="0.15">
      <c r="A352" s="121" t="s">
        <v>294</v>
      </c>
      <c r="B352" s="193">
        <f>Sitio!$E$3</f>
        <v>0</v>
      </c>
      <c r="C352" s="193"/>
      <c r="D352" s="193"/>
      <c r="E352" s="193"/>
      <c r="F352" s="194"/>
      <c r="G352" s="121" t="s">
        <v>294</v>
      </c>
      <c r="H352" s="193">
        <f>Sitio!$E$3</f>
        <v>0</v>
      </c>
      <c r="I352" s="193"/>
      <c r="J352" s="193"/>
      <c r="K352" s="193"/>
      <c r="L352" s="194"/>
      <c r="M352" s="121" t="s">
        <v>294</v>
      </c>
      <c r="N352" s="193">
        <f>Sitio!$E$3</f>
        <v>0</v>
      </c>
      <c r="O352" s="193"/>
      <c r="P352" s="193"/>
      <c r="Q352" s="193"/>
      <c r="R352" s="194"/>
      <c r="S352" s="121" t="s">
        <v>294</v>
      </c>
      <c r="T352" s="193">
        <f>Sitio!$E$3</f>
        <v>0</v>
      </c>
      <c r="U352" s="193"/>
      <c r="V352" s="193"/>
      <c r="W352" s="193"/>
      <c r="X352" s="194"/>
    </row>
    <row r="353" spans="1:24" ht="9.75" customHeight="1" x14ac:dyDescent="0.15">
      <c r="A353" s="121" t="s">
        <v>295</v>
      </c>
      <c r="C353" s="193" t="e">
        <f>VLOOKUP(B355,Preenchimento!$A:$BV,2,0)</f>
        <v>#N/A</v>
      </c>
      <c r="D353" s="193" t="e">
        <f>VLOOKUP(C355,Preenchimento!$A:$BV,2,0)</f>
        <v>#N/A</v>
      </c>
      <c r="E353" s="193" t="e">
        <f>VLOOKUP(D355,Preenchimento!$A:$BV,2,0)</f>
        <v>#N/A</v>
      </c>
      <c r="F353" s="194" t="e">
        <f>VLOOKUP(E355,Preenchimento!$A:$BV,2,0)</f>
        <v>#N/A</v>
      </c>
      <c r="G353" s="121" t="s">
        <v>295</v>
      </c>
      <c r="I353" s="193" t="e">
        <f>VLOOKUP(H355,Preenchimento!$A:$BV,2,0)</f>
        <v>#N/A</v>
      </c>
      <c r="J353" s="193" t="e">
        <f>VLOOKUP(I355,Preenchimento!$A:$BV,2,0)</f>
        <v>#N/A</v>
      </c>
      <c r="K353" s="193" t="e">
        <f>VLOOKUP(J355,Preenchimento!$A:$BV,2,0)</f>
        <v>#N/A</v>
      </c>
      <c r="L353" s="194" t="e">
        <f>VLOOKUP(K355,Preenchimento!$A:$BV,2,0)</f>
        <v>#N/A</v>
      </c>
      <c r="M353" s="121" t="s">
        <v>295</v>
      </c>
      <c r="O353" s="193" t="e">
        <f>VLOOKUP(N355,Preenchimento!$A:$BV,2,0)</f>
        <v>#N/A</v>
      </c>
      <c r="P353" s="193" t="e">
        <f>VLOOKUP(O355,Preenchimento!$A:$BV,2,0)</f>
        <v>#N/A</v>
      </c>
      <c r="Q353" s="193" t="e">
        <f>VLOOKUP(P355,Preenchimento!$A:$BV,2,0)</f>
        <v>#N/A</v>
      </c>
      <c r="R353" s="194" t="e">
        <f>VLOOKUP(Q355,Preenchimento!$A:$BV,2,0)</f>
        <v>#N/A</v>
      </c>
      <c r="S353" s="121" t="s">
        <v>295</v>
      </c>
      <c r="U353" s="193" t="e">
        <f>VLOOKUP(T355,Preenchimento!$A:$BV,2,0)</f>
        <v>#N/A</v>
      </c>
      <c r="V353" s="193" t="e">
        <f>VLOOKUP(U355,Preenchimento!$A:$BV,2,0)</f>
        <v>#N/A</v>
      </c>
      <c r="W353" s="193" t="e">
        <f>VLOOKUP(V355,Preenchimento!$A:$BV,2,0)</f>
        <v>#N/A</v>
      </c>
      <c r="X353" s="194" t="e">
        <f>VLOOKUP(W355,Preenchimento!$A:$BV,2,0)</f>
        <v>#N/A</v>
      </c>
    </row>
    <row r="354" spans="1:24" ht="9.75" customHeight="1" x14ac:dyDescent="0.15">
      <c r="A354" s="121" t="s">
        <v>296</v>
      </c>
      <c r="B354" s="193" t="e">
        <f>VLOOKUP(B355,Preenchimento!$A:$BV,3,0)</f>
        <v>#N/A</v>
      </c>
      <c r="C354" s="193" t="e">
        <f>VLOOKUP(C355,Preenchimento!$A:$BV,3,0)</f>
        <v>#N/A</v>
      </c>
      <c r="D354" s="120" t="s">
        <v>297</v>
      </c>
      <c r="E354" s="197" t="e">
        <f>VLOOKUP(B355,Preenchimento!$A:$BV,5,0)</f>
        <v>#N/A</v>
      </c>
      <c r="F354" s="198" t="e">
        <f>VLOOKUP(C355,Preenchimento!$A:$BV,5,0)</f>
        <v>#N/A</v>
      </c>
      <c r="G354" s="121" t="s">
        <v>296</v>
      </c>
      <c r="H354" s="193" t="e">
        <f>VLOOKUP(H355,Preenchimento!$A:$BV,3,0)</f>
        <v>#N/A</v>
      </c>
      <c r="I354" s="193" t="e">
        <f>VLOOKUP(I355,Preenchimento!$A:$BV,3,0)</f>
        <v>#N/A</v>
      </c>
      <c r="J354" s="120" t="s">
        <v>297</v>
      </c>
      <c r="K354" s="197" t="e">
        <f>VLOOKUP(H355,Preenchimento!$A:$BV,5,0)</f>
        <v>#N/A</v>
      </c>
      <c r="L354" s="198" t="e">
        <f>VLOOKUP(I355,Preenchimento!$A:$BV,5,0)</f>
        <v>#N/A</v>
      </c>
      <c r="M354" s="121" t="s">
        <v>296</v>
      </c>
      <c r="N354" s="193" t="e">
        <f>VLOOKUP(N355,Preenchimento!$A:$BV,3,0)</f>
        <v>#N/A</v>
      </c>
      <c r="O354" s="193" t="e">
        <f>VLOOKUP(O355,Preenchimento!$A:$BV,3,0)</f>
        <v>#N/A</v>
      </c>
      <c r="P354" s="120" t="s">
        <v>297</v>
      </c>
      <c r="Q354" s="197" t="e">
        <f>VLOOKUP(N355,Preenchimento!$A:$BV,5,0)</f>
        <v>#N/A</v>
      </c>
      <c r="R354" s="198" t="e">
        <f>VLOOKUP(O355,Preenchimento!$A:$BV,5,0)</f>
        <v>#N/A</v>
      </c>
      <c r="S354" s="121" t="s">
        <v>296</v>
      </c>
      <c r="T354" s="193" t="e">
        <f>VLOOKUP(T355,Preenchimento!$A:$BV,3,0)</f>
        <v>#N/A</v>
      </c>
      <c r="U354" s="193" t="e">
        <f>VLOOKUP(U355,Preenchimento!$A:$BV,3,0)</f>
        <v>#N/A</v>
      </c>
      <c r="V354" s="120" t="s">
        <v>297</v>
      </c>
      <c r="W354" s="197" t="e">
        <f>VLOOKUP(T355,Preenchimento!$A:$BV,5,0)</f>
        <v>#N/A</v>
      </c>
      <c r="X354" s="198" t="e">
        <f>VLOOKUP(U355,Preenchimento!$A:$BV,5,0)</f>
        <v>#N/A</v>
      </c>
    </row>
    <row r="355" spans="1:24" ht="9.75" customHeight="1" x14ac:dyDescent="0.15">
      <c r="A355" s="121" t="s">
        <v>298</v>
      </c>
      <c r="B355" s="193"/>
      <c r="C355" s="193"/>
      <c r="D355" s="120" t="s">
        <v>299</v>
      </c>
      <c r="F355" s="131" t="e">
        <f>VLOOKUP(B355,Preenchimento!$A:$BV,10,0)</f>
        <v>#N/A</v>
      </c>
      <c r="G355" s="121" t="s">
        <v>298</v>
      </c>
      <c r="H355" s="193"/>
      <c r="I355" s="193"/>
      <c r="J355" s="120" t="s">
        <v>299</v>
      </c>
      <c r="L355" s="131" t="e">
        <f>VLOOKUP(H355,Preenchimento!$A:$BV,10,0)</f>
        <v>#N/A</v>
      </c>
      <c r="M355" s="121" t="s">
        <v>298</v>
      </c>
      <c r="N355" s="193"/>
      <c r="O355" s="193"/>
      <c r="P355" s="120" t="s">
        <v>299</v>
      </c>
      <c r="R355" s="131" t="e">
        <f>VLOOKUP(N355,Preenchimento!$A:$BV,10,0)</f>
        <v>#N/A</v>
      </c>
      <c r="S355" s="121" t="s">
        <v>298</v>
      </c>
      <c r="T355" s="193"/>
      <c r="U355" s="193"/>
      <c r="V355" s="120" t="s">
        <v>299</v>
      </c>
      <c r="X355" s="131" t="e">
        <f>VLOOKUP(T355,Preenchimento!$A:$BV,10,0)</f>
        <v>#N/A</v>
      </c>
    </row>
    <row r="356" spans="1:24" ht="9.75" customHeight="1" x14ac:dyDescent="0.15">
      <c r="A356" s="121" t="s">
        <v>300</v>
      </c>
      <c r="C356" s="193" t="e">
        <f>VLOOKUP(B355,Preenchimento!$A:$BV,12,0)</f>
        <v>#N/A</v>
      </c>
      <c r="D356" s="193" t="e">
        <f>VLOOKUP(C355,Preenchimento!$A:$BV,12,0)</f>
        <v>#N/A</v>
      </c>
      <c r="E356" s="193" t="e">
        <f>VLOOKUP(D355,Preenchimento!$A:$BV,12,0)</f>
        <v>#N/A</v>
      </c>
      <c r="F356" s="194" t="e">
        <f>VLOOKUP(E355,Preenchimento!$A:$BV,12,0)</f>
        <v>#N/A</v>
      </c>
      <c r="G356" s="121" t="s">
        <v>300</v>
      </c>
      <c r="I356" s="193" t="e">
        <f>VLOOKUP(H355,Preenchimento!$A:$BV,12,0)</f>
        <v>#N/A</v>
      </c>
      <c r="J356" s="193" t="e">
        <f>VLOOKUP(I355,Preenchimento!$A:$BV,12,0)</f>
        <v>#N/A</v>
      </c>
      <c r="K356" s="193" t="e">
        <f>VLOOKUP(J355,Preenchimento!$A:$BV,12,0)</f>
        <v>#N/A</v>
      </c>
      <c r="L356" s="194" t="e">
        <f>VLOOKUP(K355,Preenchimento!$A:$BV,12,0)</f>
        <v>#N/A</v>
      </c>
      <c r="M356" s="121" t="s">
        <v>300</v>
      </c>
      <c r="O356" s="193" t="e">
        <f>VLOOKUP(N355,Preenchimento!$A:$BV,12,0)</f>
        <v>#N/A</v>
      </c>
      <c r="P356" s="193" t="e">
        <f>VLOOKUP(O355,Preenchimento!$A:$BV,12,0)</f>
        <v>#N/A</v>
      </c>
      <c r="Q356" s="193" t="e">
        <f>VLOOKUP(P355,Preenchimento!$A:$BV,12,0)</f>
        <v>#N/A</v>
      </c>
      <c r="R356" s="194" t="e">
        <f>VLOOKUP(Q355,Preenchimento!$A:$BV,12,0)</f>
        <v>#N/A</v>
      </c>
      <c r="S356" s="121" t="s">
        <v>300</v>
      </c>
      <c r="U356" s="193" t="e">
        <f>VLOOKUP(T355,Preenchimento!$A:$BV,12,0)</f>
        <v>#N/A</v>
      </c>
      <c r="V356" s="193" t="e">
        <f>VLOOKUP(U355,Preenchimento!$A:$BV,12,0)</f>
        <v>#N/A</v>
      </c>
      <c r="W356" s="193" t="e">
        <f>VLOOKUP(V355,Preenchimento!$A:$BV,12,0)</f>
        <v>#N/A</v>
      </c>
      <c r="X356" s="194" t="e">
        <f>VLOOKUP(W355,Preenchimento!$A:$BV,12,0)</f>
        <v>#N/A</v>
      </c>
    </row>
    <row r="357" spans="1:24" ht="9.75" customHeight="1" x14ac:dyDescent="0.15">
      <c r="A357" s="123" t="s">
        <v>301</v>
      </c>
      <c r="B357" s="195" t="e">
        <f>IF(VLOOKUP(B355,Preenchimento!$A:$BV,11,0)=0,"",VLOOKUP(B355,Preenchimento!$A:$BV,11,0))</f>
        <v>#N/A</v>
      </c>
      <c r="C357" s="195"/>
      <c r="D357" s="195"/>
      <c r="E357" s="195"/>
      <c r="F357" s="196"/>
      <c r="G357" s="123" t="s">
        <v>301</v>
      </c>
      <c r="H357" s="195" t="e">
        <f>IF(VLOOKUP(H355,Preenchimento!$A:$BV,11,0)=0,"",VLOOKUP(H355,Preenchimento!$A:$BV,11,0))</f>
        <v>#N/A</v>
      </c>
      <c r="I357" s="195"/>
      <c r="J357" s="195"/>
      <c r="K357" s="195"/>
      <c r="L357" s="196"/>
      <c r="M357" s="123" t="s">
        <v>301</v>
      </c>
      <c r="N357" s="195" t="e">
        <f>IF(VLOOKUP(N355,Preenchimento!$A:$BV,11,0)=0,"",VLOOKUP(N355,Preenchimento!$A:$BV,11,0))</f>
        <v>#N/A</v>
      </c>
      <c r="O357" s="195"/>
      <c r="P357" s="195"/>
      <c r="Q357" s="195"/>
      <c r="R357" s="196"/>
      <c r="S357" s="123" t="s">
        <v>301</v>
      </c>
      <c r="T357" s="195" t="e">
        <f>IF(VLOOKUP(T355,Preenchimento!$A:$BV,11,0)=0,"",VLOOKUP(T355,Preenchimento!$A:$BV,11,0))</f>
        <v>#N/A</v>
      </c>
      <c r="U357" s="195"/>
      <c r="V357" s="195"/>
      <c r="W357" s="195"/>
      <c r="X357" s="196"/>
    </row>
    <row r="358" spans="1:24" s="130" customFormat="1" ht="33.950000000000003" customHeight="1" x14ac:dyDescent="0.25">
      <c r="A358" s="199" t="str">
        <f>Sitio!$A$3</f>
        <v>Projeto 01</v>
      </c>
      <c r="B358" s="200"/>
      <c r="C358" s="200"/>
      <c r="D358" s="200"/>
      <c r="E358" s="200"/>
      <c r="F358" s="201"/>
      <c r="G358" s="199" t="str">
        <f>Sitio!$A$3</f>
        <v>Projeto 01</v>
      </c>
      <c r="H358" s="200"/>
      <c r="I358" s="200"/>
      <c r="J358" s="200"/>
      <c r="K358" s="200"/>
      <c r="L358" s="201"/>
      <c r="M358" s="199" t="str">
        <f>Sitio!$A$3</f>
        <v>Projeto 01</v>
      </c>
      <c r="N358" s="200"/>
      <c r="O358" s="200"/>
      <c r="P358" s="200"/>
      <c r="Q358" s="200"/>
      <c r="R358" s="201"/>
      <c r="S358" s="199" t="str">
        <f>Sitio!$A$3</f>
        <v>Projeto 01</v>
      </c>
      <c r="T358" s="200"/>
      <c r="U358" s="200"/>
      <c r="V358" s="200"/>
      <c r="W358" s="200"/>
      <c r="X358" s="201"/>
    </row>
    <row r="359" spans="1:24" ht="9.75" customHeight="1" x14ac:dyDescent="0.15">
      <c r="A359" s="121" t="s">
        <v>294</v>
      </c>
      <c r="B359" s="193">
        <f>Sitio!$E$3</f>
        <v>0</v>
      </c>
      <c r="C359" s="193"/>
      <c r="D359" s="193"/>
      <c r="E359" s="193"/>
      <c r="F359" s="194"/>
      <c r="G359" s="121" t="s">
        <v>294</v>
      </c>
      <c r="H359" s="193">
        <f>Sitio!$E$3</f>
        <v>0</v>
      </c>
      <c r="I359" s="193"/>
      <c r="J359" s="193"/>
      <c r="K359" s="193"/>
      <c r="L359" s="194"/>
      <c r="M359" s="121" t="s">
        <v>294</v>
      </c>
      <c r="N359" s="193">
        <f>Sitio!$E$3</f>
        <v>0</v>
      </c>
      <c r="O359" s="193"/>
      <c r="P359" s="193"/>
      <c r="Q359" s="193"/>
      <c r="R359" s="194"/>
      <c r="S359" s="121" t="s">
        <v>294</v>
      </c>
      <c r="T359" s="193">
        <f>Sitio!$E$3</f>
        <v>0</v>
      </c>
      <c r="U359" s="193"/>
      <c r="V359" s="193"/>
      <c r="W359" s="193"/>
      <c r="X359" s="194"/>
    </row>
    <row r="360" spans="1:24" ht="9.75" customHeight="1" x14ac:dyDescent="0.15">
      <c r="A360" s="121" t="s">
        <v>295</v>
      </c>
      <c r="C360" s="193" t="e">
        <f>VLOOKUP(B362,Preenchimento!$A:$BV,2,0)</f>
        <v>#N/A</v>
      </c>
      <c r="D360" s="193" t="e">
        <f>VLOOKUP(C362,Preenchimento!$A:$BV,2,0)</f>
        <v>#N/A</v>
      </c>
      <c r="E360" s="193" t="e">
        <f>VLOOKUP(D362,Preenchimento!$A:$BV,2,0)</f>
        <v>#N/A</v>
      </c>
      <c r="F360" s="194" t="e">
        <f>VLOOKUP(E362,Preenchimento!$A:$BV,2,0)</f>
        <v>#N/A</v>
      </c>
      <c r="G360" s="121" t="s">
        <v>295</v>
      </c>
      <c r="I360" s="193" t="e">
        <f>VLOOKUP(H362,Preenchimento!$A:$BV,2,0)</f>
        <v>#N/A</v>
      </c>
      <c r="J360" s="193" t="e">
        <f>VLOOKUP(I362,Preenchimento!$A:$BV,2,0)</f>
        <v>#N/A</v>
      </c>
      <c r="K360" s="193" t="e">
        <f>VLOOKUP(J362,Preenchimento!$A:$BV,2,0)</f>
        <v>#N/A</v>
      </c>
      <c r="L360" s="194" t="e">
        <f>VLOOKUP(K362,Preenchimento!$A:$BV,2,0)</f>
        <v>#N/A</v>
      </c>
      <c r="M360" s="121" t="s">
        <v>295</v>
      </c>
      <c r="O360" s="193" t="e">
        <f>VLOOKUP(N362,Preenchimento!$A:$BV,2,0)</f>
        <v>#N/A</v>
      </c>
      <c r="P360" s="193" t="e">
        <f>VLOOKUP(O362,Preenchimento!$A:$BV,2,0)</f>
        <v>#N/A</v>
      </c>
      <c r="Q360" s="193" t="e">
        <f>VLOOKUP(P362,Preenchimento!$A:$BV,2,0)</f>
        <v>#N/A</v>
      </c>
      <c r="R360" s="194" t="e">
        <f>VLOOKUP(Q362,Preenchimento!$A:$BV,2,0)</f>
        <v>#N/A</v>
      </c>
      <c r="S360" s="121" t="s">
        <v>295</v>
      </c>
      <c r="U360" s="193" t="e">
        <f>VLOOKUP(T362,Preenchimento!$A:$BV,2,0)</f>
        <v>#N/A</v>
      </c>
      <c r="V360" s="193" t="e">
        <f>VLOOKUP(U362,Preenchimento!$A:$BV,2,0)</f>
        <v>#N/A</v>
      </c>
      <c r="W360" s="193" t="e">
        <f>VLOOKUP(V362,Preenchimento!$A:$BV,2,0)</f>
        <v>#N/A</v>
      </c>
      <c r="X360" s="194" t="e">
        <f>VLOOKUP(W362,Preenchimento!$A:$BV,2,0)</f>
        <v>#N/A</v>
      </c>
    </row>
    <row r="361" spans="1:24" ht="9.75" customHeight="1" x14ac:dyDescent="0.15">
      <c r="A361" s="121" t="s">
        <v>296</v>
      </c>
      <c r="B361" s="193" t="e">
        <f>VLOOKUP(B362,Preenchimento!$A:$BV,3,0)</f>
        <v>#N/A</v>
      </c>
      <c r="C361" s="193" t="e">
        <f>VLOOKUP(C362,Preenchimento!$A:$BV,3,0)</f>
        <v>#N/A</v>
      </c>
      <c r="D361" s="120" t="s">
        <v>297</v>
      </c>
      <c r="E361" s="197" t="e">
        <f>VLOOKUP(B362,Preenchimento!$A:$BV,5,0)</f>
        <v>#N/A</v>
      </c>
      <c r="F361" s="198" t="e">
        <f>VLOOKUP(C362,Preenchimento!$A:$BV,5,0)</f>
        <v>#N/A</v>
      </c>
      <c r="G361" s="121" t="s">
        <v>296</v>
      </c>
      <c r="H361" s="193" t="e">
        <f>VLOOKUP(H362,Preenchimento!$A:$BV,3,0)</f>
        <v>#N/A</v>
      </c>
      <c r="I361" s="193" t="e">
        <f>VLOOKUP(I362,Preenchimento!$A:$BV,3,0)</f>
        <v>#N/A</v>
      </c>
      <c r="J361" s="120" t="s">
        <v>297</v>
      </c>
      <c r="K361" s="197" t="e">
        <f>VLOOKUP(H362,Preenchimento!$A:$BV,5,0)</f>
        <v>#N/A</v>
      </c>
      <c r="L361" s="198" t="e">
        <f>VLOOKUP(I362,Preenchimento!$A:$BV,5,0)</f>
        <v>#N/A</v>
      </c>
      <c r="M361" s="121" t="s">
        <v>296</v>
      </c>
      <c r="N361" s="193" t="e">
        <f>VLOOKUP(N362,Preenchimento!$A:$BV,3,0)</f>
        <v>#N/A</v>
      </c>
      <c r="O361" s="193" t="e">
        <f>VLOOKUP(O362,Preenchimento!$A:$BV,3,0)</f>
        <v>#N/A</v>
      </c>
      <c r="P361" s="120" t="s">
        <v>297</v>
      </c>
      <c r="Q361" s="197" t="e">
        <f>VLOOKUP(N362,Preenchimento!$A:$BV,5,0)</f>
        <v>#N/A</v>
      </c>
      <c r="R361" s="198" t="e">
        <f>VLOOKUP(O362,Preenchimento!$A:$BV,5,0)</f>
        <v>#N/A</v>
      </c>
      <c r="S361" s="121" t="s">
        <v>296</v>
      </c>
      <c r="T361" s="193" t="e">
        <f>VLOOKUP(T362,Preenchimento!$A:$BV,3,0)</f>
        <v>#N/A</v>
      </c>
      <c r="U361" s="193" t="e">
        <f>VLOOKUP(U362,Preenchimento!$A:$BV,3,0)</f>
        <v>#N/A</v>
      </c>
      <c r="V361" s="120" t="s">
        <v>297</v>
      </c>
      <c r="W361" s="197" t="e">
        <f>VLOOKUP(T362,Preenchimento!$A:$BV,5,0)</f>
        <v>#N/A</v>
      </c>
      <c r="X361" s="198" t="e">
        <f>VLOOKUP(U362,Preenchimento!$A:$BV,5,0)</f>
        <v>#N/A</v>
      </c>
    </row>
    <row r="362" spans="1:24" ht="9.75" customHeight="1" x14ac:dyDescent="0.15">
      <c r="A362" s="121" t="s">
        <v>298</v>
      </c>
      <c r="B362" s="193"/>
      <c r="C362" s="193"/>
      <c r="D362" s="120" t="s">
        <v>299</v>
      </c>
      <c r="F362" s="131" t="e">
        <f>VLOOKUP(B362,Preenchimento!$A:$BV,10,0)</f>
        <v>#N/A</v>
      </c>
      <c r="G362" s="121" t="s">
        <v>298</v>
      </c>
      <c r="H362" s="193"/>
      <c r="I362" s="193"/>
      <c r="J362" s="120" t="s">
        <v>299</v>
      </c>
      <c r="L362" s="131" t="e">
        <f>VLOOKUP(H362,Preenchimento!$A:$BV,10,0)</f>
        <v>#N/A</v>
      </c>
      <c r="M362" s="121" t="s">
        <v>298</v>
      </c>
      <c r="N362" s="193"/>
      <c r="O362" s="193"/>
      <c r="P362" s="120" t="s">
        <v>299</v>
      </c>
      <c r="R362" s="131" t="e">
        <f>VLOOKUP(N362,Preenchimento!$A:$BV,10,0)</f>
        <v>#N/A</v>
      </c>
      <c r="S362" s="121" t="s">
        <v>298</v>
      </c>
      <c r="T362" s="193"/>
      <c r="U362" s="193"/>
      <c r="V362" s="120" t="s">
        <v>299</v>
      </c>
      <c r="X362" s="131" t="e">
        <f>VLOOKUP(T362,Preenchimento!$A:$BV,10,0)</f>
        <v>#N/A</v>
      </c>
    </row>
    <row r="363" spans="1:24" ht="9.75" customHeight="1" x14ac:dyDescent="0.15">
      <c r="A363" s="121" t="s">
        <v>300</v>
      </c>
      <c r="C363" s="193" t="e">
        <f>VLOOKUP(B362,Preenchimento!$A:$BV,12,0)</f>
        <v>#N/A</v>
      </c>
      <c r="D363" s="193" t="e">
        <f>VLOOKUP(C362,Preenchimento!$A:$BV,12,0)</f>
        <v>#N/A</v>
      </c>
      <c r="E363" s="193" t="e">
        <f>VLOOKUP(D362,Preenchimento!$A:$BV,12,0)</f>
        <v>#N/A</v>
      </c>
      <c r="F363" s="194" t="e">
        <f>VLOOKUP(E362,Preenchimento!$A:$BV,12,0)</f>
        <v>#N/A</v>
      </c>
      <c r="G363" s="121" t="s">
        <v>300</v>
      </c>
      <c r="I363" s="193" t="e">
        <f>VLOOKUP(H362,Preenchimento!$A:$BV,12,0)</f>
        <v>#N/A</v>
      </c>
      <c r="J363" s="193" t="e">
        <f>VLOOKUP(I362,Preenchimento!$A:$BV,12,0)</f>
        <v>#N/A</v>
      </c>
      <c r="K363" s="193" t="e">
        <f>VLOOKUP(J362,Preenchimento!$A:$BV,12,0)</f>
        <v>#N/A</v>
      </c>
      <c r="L363" s="194" t="e">
        <f>VLOOKUP(K362,Preenchimento!$A:$BV,12,0)</f>
        <v>#N/A</v>
      </c>
      <c r="M363" s="121" t="s">
        <v>300</v>
      </c>
      <c r="O363" s="193" t="e">
        <f>VLOOKUP(N362,Preenchimento!$A:$BV,12,0)</f>
        <v>#N/A</v>
      </c>
      <c r="P363" s="193" t="e">
        <f>VLOOKUP(O362,Preenchimento!$A:$BV,12,0)</f>
        <v>#N/A</v>
      </c>
      <c r="Q363" s="193" t="e">
        <f>VLOOKUP(P362,Preenchimento!$A:$BV,12,0)</f>
        <v>#N/A</v>
      </c>
      <c r="R363" s="194" t="e">
        <f>VLOOKUP(Q362,Preenchimento!$A:$BV,12,0)</f>
        <v>#N/A</v>
      </c>
      <c r="S363" s="121" t="s">
        <v>300</v>
      </c>
      <c r="U363" s="193" t="e">
        <f>VLOOKUP(T362,Preenchimento!$A:$BV,12,0)</f>
        <v>#N/A</v>
      </c>
      <c r="V363" s="193" t="e">
        <f>VLOOKUP(U362,Preenchimento!$A:$BV,12,0)</f>
        <v>#N/A</v>
      </c>
      <c r="W363" s="193" t="e">
        <f>VLOOKUP(V362,Preenchimento!$A:$BV,12,0)</f>
        <v>#N/A</v>
      </c>
      <c r="X363" s="194" t="e">
        <f>VLOOKUP(W362,Preenchimento!$A:$BV,12,0)</f>
        <v>#N/A</v>
      </c>
    </row>
    <row r="364" spans="1:24" ht="9.75" customHeight="1" x14ac:dyDescent="0.15">
      <c r="A364" s="123" t="s">
        <v>301</v>
      </c>
      <c r="B364" s="195" t="e">
        <f>IF(VLOOKUP(B362,Preenchimento!$A:$BV,11,0)=0,"",VLOOKUP(B362,Preenchimento!$A:$BV,11,0))</f>
        <v>#N/A</v>
      </c>
      <c r="C364" s="195"/>
      <c r="D364" s="195"/>
      <c r="E364" s="195"/>
      <c r="F364" s="196"/>
      <c r="G364" s="123" t="s">
        <v>301</v>
      </c>
      <c r="H364" s="195" t="e">
        <f>IF(VLOOKUP(H362,Preenchimento!$A:$BV,11,0)=0,"",VLOOKUP(H362,Preenchimento!$A:$BV,11,0))</f>
        <v>#N/A</v>
      </c>
      <c r="I364" s="195"/>
      <c r="J364" s="195"/>
      <c r="K364" s="195"/>
      <c r="L364" s="196"/>
      <c r="M364" s="123" t="s">
        <v>301</v>
      </c>
      <c r="N364" s="195" t="e">
        <f>IF(VLOOKUP(N362,Preenchimento!$A:$BV,11,0)=0,"",VLOOKUP(N362,Preenchimento!$A:$BV,11,0))</f>
        <v>#N/A</v>
      </c>
      <c r="O364" s="195"/>
      <c r="P364" s="195"/>
      <c r="Q364" s="195"/>
      <c r="R364" s="196"/>
      <c r="S364" s="123" t="s">
        <v>301</v>
      </c>
      <c r="T364" s="195" t="e">
        <f>IF(VLOOKUP(T362,Preenchimento!$A:$BV,11,0)=0,"",VLOOKUP(T362,Preenchimento!$A:$BV,11,0))</f>
        <v>#N/A</v>
      </c>
      <c r="U364" s="195"/>
      <c r="V364" s="195"/>
      <c r="W364" s="195"/>
      <c r="X364" s="196"/>
    </row>
    <row r="365" spans="1:24" s="130" customFormat="1" ht="33.950000000000003" customHeight="1" x14ac:dyDescent="0.25">
      <c r="A365" s="199" t="str">
        <f>Sitio!$A$3</f>
        <v>Projeto 01</v>
      </c>
      <c r="B365" s="200"/>
      <c r="C365" s="200"/>
      <c r="D365" s="200"/>
      <c r="E365" s="200"/>
      <c r="F365" s="201"/>
      <c r="G365" s="199" t="str">
        <f>Sitio!$A$3</f>
        <v>Projeto 01</v>
      </c>
      <c r="H365" s="200"/>
      <c r="I365" s="200"/>
      <c r="J365" s="200"/>
      <c r="K365" s="200"/>
      <c r="L365" s="201"/>
      <c r="M365" s="199" t="str">
        <f>Sitio!$A$3</f>
        <v>Projeto 01</v>
      </c>
      <c r="N365" s="200"/>
      <c r="O365" s="200"/>
      <c r="P365" s="200"/>
      <c r="Q365" s="200"/>
      <c r="R365" s="201"/>
      <c r="S365" s="199" t="str">
        <f>Sitio!$A$3</f>
        <v>Projeto 01</v>
      </c>
      <c r="T365" s="200"/>
      <c r="U365" s="200"/>
      <c r="V365" s="200"/>
      <c r="W365" s="200"/>
      <c r="X365" s="201"/>
    </row>
    <row r="366" spans="1:24" ht="9.75" customHeight="1" x14ac:dyDescent="0.15">
      <c r="A366" s="121" t="s">
        <v>294</v>
      </c>
      <c r="B366" s="193">
        <f>Sitio!$E$3</f>
        <v>0</v>
      </c>
      <c r="C366" s="193"/>
      <c r="D366" s="193"/>
      <c r="E366" s="193"/>
      <c r="F366" s="194"/>
      <c r="G366" s="121" t="s">
        <v>294</v>
      </c>
      <c r="H366" s="193">
        <f>Sitio!$E$3</f>
        <v>0</v>
      </c>
      <c r="I366" s="193"/>
      <c r="J366" s="193"/>
      <c r="K366" s="193"/>
      <c r="L366" s="194"/>
      <c r="M366" s="121" t="s">
        <v>294</v>
      </c>
      <c r="N366" s="193">
        <f>Sitio!$E$3</f>
        <v>0</v>
      </c>
      <c r="O366" s="193"/>
      <c r="P366" s="193"/>
      <c r="Q366" s="193"/>
      <c r="R366" s="194"/>
      <c r="S366" s="121" t="s">
        <v>294</v>
      </c>
      <c r="T366" s="193">
        <f>Sitio!$E$3</f>
        <v>0</v>
      </c>
      <c r="U366" s="193"/>
      <c r="V366" s="193"/>
      <c r="W366" s="193"/>
      <c r="X366" s="194"/>
    </row>
    <row r="367" spans="1:24" ht="9.75" customHeight="1" x14ac:dyDescent="0.15">
      <c r="A367" s="121" t="s">
        <v>295</v>
      </c>
      <c r="C367" s="193" t="e">
        <f>VLOOKUP(B369,Preenchimento!$A:$BV,2,0)</f>
        <v>#N/A</v>
      </c>
      <c r="D367" s="193" t="e">
        <f>VLOOKUP(C369,Preenchimento!$A:$BV,2,0)</f>
        <v>#N/A</v>
      </c>
      <c r="E367" s="193" t="e">
        <f>VLOOKUP(D369,Preenchimento!$A:$BV,2,0)</f>
        <v>#N/A</v>
      </c>
      <c r="F367" s="194" t="e">
        <f>VLOOKUP(E369,Preenchimento!$A:$BV,2,0)</f>
        <v>#N/A</v>
      </c>
      <c r="G367" s="121" t="s">
        <v>295</v>
      </c>
      <c r="I367" s="193" t="e">
        <f>VLOOKUP(H369,Preenchimento!$A:$BV,2,0)</f>
        <v>#N/A</v>
      </c>
      <c r="J367" s="193" t="e">
        <f>VLOOKUP(I369,Preenchimento!$A:$BV,2,0)</f>
        <v>#N/A</v>
      </c>
      <c r="K367" s="193" t="e">
        <f>VLOOKUP(J369,Preenchimento!$A:$BV,2,0)</f>
        <v>#N/A</v>
      </c>
      <c r="L367" s="194" t="e">
        <f>VLOOKUP(K369,Preenchimento!$A:$BV,2,0)</f>
        <v>#N/A</v>
      </c>
      <c r="M367" s="121" t="s">
        <v>295</v>
      </c>
      <c r="O367" s="193" t="e">
        <f>VLOOKUP(N369,Preenchimento!$A:$BV,2,0)</f>
        <v>#N/A</v>
      </c>
      <c r="P367" s="193" t="e">
        <f>VLOOKUP(O369,Preenchimento!$A:$BV,2,0)</f>
        <v>#N/A</v>
      </c>
      <c r="Q367" s="193" t="e">
        <f>VLOOKUP(P369,Preenchimento!$A:$BV,2,0)</f>
        <v>#N/A</v>
      </c>
      <c r="R367" s="194" t="e">
        <f>VLOOKUP(Q369,Preenchimento!$A:$BV,2,0)</f>
        <v>#N/A</v>
      </c>
      <c r="S367" s="121" t="s">
        <v>295</v>
      </c>
      <c r="U367" s="193" t="e">
        <f>VLOOKUP(T369,Preenchimento!$A:$BV,2,0)</f>
        <v>#N/A</v>
      </c>
      <c r="V367" s="193" t="e">
        <f>VLOOKUP(U369,Preenchimento!$A:$BV,2,0)</f>
        <v>#N/A</v>
      </c>
      <c r="W367" s="193" t="e">
        <f>VLOOKUP(V369,Preenchimento!$A:$BV,2,0)</f>
        <v>#N/A</v>
      </c>
      <c r="X367" s="194" t="e">
        <f>VLOOKUP(W369,Preenchimento!$A:$BV,2,0)</f>
        <v>#N/A</v>
      </c>
    </row>
    <row r="368" spans="1:24" ht="9.75" customHeight="1" x14ac:dyDescent="0.15">
      <c r="A368" s="121" t="s">
        <v>296</v>
      </c>
      <c r="B368" s="193" t="e">
        <f>VLOOKUP(B369,Preenchimento!$A:$BV,3,0)</f>
        <v>#N/A</v>
      </c>
      <c r="C368" s="193" t="e">
        <f>VLOOKUP(C369,Preenchimento!$A:$BV,3,0)</f>
        <v>#N/A</v>
      </c>
      <c r="D368" s="120" t="s">
        <v>297</v>
      </c>
      <c r="E368" s="197" t="e">
        <f>VLOOKUP(B369,Preenchimento!$A:$BV,5,0)</f>
        <v>#N/A</v>
      </c>
      <c r="F368" s="198" t="e">
        <f>VLOOKUP(C369,Preenchimento!$A:$BV,5,0)</f>
        <v>#N/A</v>
      </c>
      <c r="G368" s="121" t="s">
        <v>296</v>
      </c>
      <c r="H368" s="193" t="e">
        <f>VLOOKUP(H369,Preenchimento!$A:$BV,3,0)</f>
        <v>#N/A</v>
      </c>
      <c r="I368" s="193" t="e">
        <f>VLOOKUP(I369,Preenchimento!$A:$BV,3,0)</f>
        <v>#N/A</v>
      </c>
      <c r="J368" s="120" t="s">
        <v>297</v>
      </c>
      <c r="K368" s="197" t="e">
        <f>VLOOKUP(H369,Preenchimento!$A:$BV,5,0)</f>
        <v>#N/A</v>
      </c>
      <c r="L368" s="198" t="e">
        <f>VLOOKUP(I369,Preenchimento!$A:$BV,5,0)</f>
        <v>#N/A</v>
      </c>
      <c r="M368" s="121" t="s">
        <v>296</v>
      </c>
      <c r="N368" s="193" t="e">
        <f>VLOOKUP(N369,Preenchimento!$A:$BV,3,0)</f>
        <v>#N/A</v>
      </c>
      <c r="O368" s="193" t="e">
        <f>VLOOKUP(O369,Preenchimento!$A:$BV,3,0)</f>
        <v>#N/A</v>
      </c>
      <c r="P368" s="120" t="s">
        <v>297</v>
      </c>
      <c r="Q368" s="197" t="e">
        <f>VLOOKUP(N369,Preenchimento!$A:$BV,5,0)</f>
        <v>#N/A</v>
      </c>
      <c r="R368" s="198" t="e">
        <f>VLOOKUP(O369,Preenchimento!$A:$BV,5,0)</f>
        <v>#N/A</v>
      </c>
      <c r="S368" s="121" t="s">
        <v>296</v>
      </c>
      <c r="T368" s="193" t="e">
        <f>VLOOKUP(T369,Preenchimento!$A:$BV,3,0)</f>
        <v>#N/A</v>
      </c>
      <c r="U368" s="193" t="e">
        <f>VLOOKUP(U369,Preenchimento!$A:$BV,3,0)</f>
        <v>#N/A</v>
      </c>
      <c r="V368" s="120" t="s">
        <v>297</v>
      </c>
      <c r="W368" s="197" t="e">
        <f>VLOOKUP(T369,Preenchimento!$A:$BV,5,0)</f>
        <v>#N/A</v>
      </c>
      <c r="X368" s="198" t="e">
        <f>VLOOKUP(U369,Preenchimento!$A:$BV,5,0)</f>
        <v>#N/A</v>
      </c>
    </row>
    <row r="369" spans="1:24" ht="9.75" customHeight="1" x14ac:dyDescent="0.15">
      <c r="A369" s="121" t="s">
        <v>298</v>
      </c>
      <c r="B369" s="193"/>
      <c r="C369" s="193"/>
      <c r="D369" s="120" t="s">
        <v>299</v>
      </c>
      <c r="F369" s="131" t="e">
        <f>VLOOKUP(B369,Preenchimento!$A:$BV,10,0)</f>
        <v>#N/A</v>
      </c>
      <c r="G369" s="121" t="s">
        <v>298</v>
      </c>
      <c r="H369" s="193"/>
      <c r="I369" s="193"/>
      <c r="J369" s="120" t="s">
        <v>299</v>
      </c>
      <c r="L369" s="131" t="e">
        <f>VLOOKUP(H369,Preenchimento!$A:$BV,10,0)</f>
        <v>#N/A</v>
      </c>
      <c r="M369" s="121" t="s">
        <v>298</v>
      </c>
      <c r="N369" s="193"/>
      <c r="O369" s="193"/>
      <c r="P369" s="120" t="s">
        <v>299</v>
      </c>
      <c r="R369" s="131" t="e">
        <f>VLOOKUP(N369,Preenchimento!$A:$BV,10,0)</f>
        <v>#N/A</v>
      </c>
      <c r="S369" s="121" t="s">
        <v>298</v>
      </c>
      <c r="T369" s="193"/>
      <c r="U369" s="193"/>
      <c r="V369" s="120" t="s">
        <v>299</v>
      </c>
      <c r="X369" s="131" t="e">
        <f>VLOOKUP(T369,Preenchimento!$A:$BV,10,0)</f>
        <v>#N/A</v>
      </c>
    </row>
    <row r="370" spans="1:24" ht="9.75" customHeight="1" x14ac:dyDescent="0.15">
      <c r="A370" s="121" t="s">
        <v>300</v>
      </c>
      <c r="C370" s="193" t="e">
        <f>VLOOKUP(B369,Preenchimento!$A:$BV,12,0)</f>
        <v>#N/A</v>
      </c>
      <c r="D370" s="193" t="e">
        <f>VLOOKUP(C369,Preenchimento!$A:$BV,12,0)</f>
        <v>#N/A</v>
      </c>
      <c r="E370" s="193" t="e">
        <f>VLOOKUP(D369,Preenchimento!$A:$BV,12,0)</f>
        <v>#N/A</v>
      </c>
      <c r="F370" s="194" t="e">
        <f>VLOOKUP(E369,Preenchimento!$A:$BV,12,0)</f>
        <v>#N/A</v>
      </c>
      <c r="G370" s="121" t="s">
        <v>300</v>
      </c>
      <c r="I370" s="193" t="e">
        <f>VLOOKUP(H369,Preenchimento!$A:$BV,12,0)</f>
        <v>#N/A</v>
      </c>
      <c r="J370" s="193" t="e">
        <f>VLOOKUP(I369,Preenchimento!$A:$BV,12,0)</f>
        <v>#N/A</v>
      </c>
      <c r="K370" s="193" t="e">
        <f>VLOOKUP(J369,Preenchimento!$A:$BV,12,0)</f>
        <v>#N/A</v>
      </c>
      <c r="L370" s="194" t="e">
        <f>VLOOKUP(K369,Preenchimento!$A:$BV,12,0)</f>
        <v>#N/A</v>
      </c>
      <c r="M370" s="121" t="s">
        <v>300</v>
      </c>
      <c r="O370" s="193" t="e">
        <f>VLOOKUP(N369,Preenchimento!$A:$BV,12,0)</f>
        <v>#N/A</v>
      </c>
      <c r="P370" s="193" t="e">
        <f>VLOOKUP(O369,Preenchimento!$A:$BV,12,0)</f>
        <v>#N/A</v>
      </c>
      <c r="Q370" s="193" t="e">
        <f>VLOOKUP(P369,Preenchimento!$A:$BV,12,0)</f>
        <v>#N/A</v>
      </c>
      <c r="R370" s="194" t="e">
        <f>VLOOKUP(Q369,Preenchimento!$A:$BV,12,0)</f>
        <v>#N/A</v>
      </c>
      <c r="S370" s="121" t="s">
        <v>300</v>
      </c>
      <c r="U370" s="193" t="e">
        <f>VLOOKUP(T369,Preenchimento!$A:$BV,12,0)</f>
        <v>#N/A</v>
      </c>
      <c r="V370" s="193" t="e">
        <f>VLOOKUP(U369,Preenchimento!$A:$BV,12,0)</f>
        <v>#N/A</v>
      </c>
      <c r="W370" s="193" t="e">
        <f>VLOOKUP(V369,Preenchimento!$A:$BV,12,0)</f>
        <v>#N/A</v>
      </c>
      <c r="X370" s="194" t="e">
        <f>VLOOKUP(W369,Preenchimento!$A:$BV,12,0)</f>
        <v>#N/A</v>
      </c>
    </row>
    <row r="371" spans="1:24" ht="9.75" customHeight="1" x14ac:dyDescent="0.15">
      <c r="A371" s="123" t="s">
        <v>301</v>
      </c>
      <c r="B371" s="195" t="e">
        <f>IF(VLOOKUP(B369,Preenchimento!$A:$BV,11,0)=0,"",VLOOKUP(B369,Preenchimento!$A:$BV,11,0))</f>
        <v>#N/A</v>
      </c>
      <c r="C371" s="195"/>
      <c r="D371" s="195"/>
      <c r="E371" s="195"/>
      <c r="F371" s="196"/>
      <c r="G371" s="123" t="s">
        <v>301</v>
      </c>
      <c r="H371" s="195" t="e">
        <f>IF(VLOOKUP(H369,Preenchimento!$A:$BV,11,0)=0,"",VLOOKUP(H369,Preenchimento!$A:$BV,11,0))</f>
        <v>#N/A</v>
      </c>
      <c r="I371" s="195"/>
      <c r="J371" s="195"/>
      <c r="K371" s="195"/>
      <c r="L371" s="196"/>
      <c r="M371" s="123" t="s">
        <v>301</v>
      </c>
      <c r="N371" s="195" t="e">
        <f>IF(VLOOKUP(N369,Preenchimento!$A:$BV,11,0)=0,"",VLOOKUP(N369,Preenchimento!$A:$BV,11,0))</f>
        <v>#N/A</v>
      </c>
      <c r="O371" s="195"/>
      <c r="P371" s="195"/>
      <c r="Q371" s="195"/>
      <c r="R371" s="196"/>
      <c r="S371" s="123" t="s">
        <v>301</v>
      </c>
      <c r="T371" s="195" t="e">
        <f>IF(VLOOKUP(T369,Preenchimento!$A:$BV,11,0)=0,"",VLOOKUP(T369,Preenchimento!$A:$BV,11,0))</f>
        <v>#N/A</v>
      </c>
      <c r="U371" s="195"/>
      <c r="V371" s="195"/>
      <c r="W371" s="195"/>
      <c r="X371" s="196"/>
    </row>
    <row r="372" spans="1:24" s="130" customFormat="1" ht="33.950000000000003" customHeight="1" x14ac:dyDescent="0.25">
      <c r="A372" s="199" t="str">
        <f>Sitio!$A$3</f>
        <v>Projeto 01</v>
      </c>
      <c r="B372" s="200"/>
      <c r="C372" s="200"/>
      <c r="D372" s="200"/>
      <c r="E372" s="200"/>
      <c r="F372" s="201"/>
      <c r="G372" s="199" t="str">
        <f>Sitio!$A$3</f>
        <v>Projeto 01</v>
      </c>
      <c r="H372" s="200"/>
      <c r="I372" s="200"/>
      <c r="J372" s="200"/>
      <c r="K372" s="200"/>
      <c r="L372" s="201"/>
      <c r="M372" s="199" t="str">
        <f>Sitio!$A$3</f>
        <v>Projeto 01</v>
      </c>
      <c r="N372" s="200"/>
      <c r="O372" s="200"/>
      <c r="P372" s="200"/>
      <c r="Q372" s="200"/>
      <c r="R372" s="201"/>
      <c r="S372" s="199" t="str">
        <f>Sitio!$A$3</f>
        <v>Projeto 01</v>
      </c>
      <c r="T372" s="200"/>
      <c r="U372" s="200"/>
      <c r="V372" s="200"/>
      <c r="W372" s="200"/>
      <c r="X372" s="201"/>
    </row>
    <row r="373" spans="1:24" ht="9.75" customHeight="1" x14ac:dyDescent="0.15">
      <c r="A373" s="121" t="s">
        <v>294</v>
      </c>
      <c r="B373" s="193">
        <f>Sitio!$E$3</f>
        <v>0</v>
      </c>
      <c r="C373" s="193"/>
      <c r="D373" s="193"/>
      <c r="E373" s="193"/>
      <c r="F373" s="194"/>
      <c r="G373" s="121" t="s">
        <v>294</v>
      </c>
      <c r="H373" s="193">
        <f>Sitio!$E$3</f>
        <v>0</v>
      </c>
      <c r="I373" s="193"/>
      <c r="J373" s="193"/>
      <c r="K373" s="193"/>
      <c r="L373" s="194"/>
      <c r="M373" s="121" t="s">
        <v>294</v>
      </c>
      <c r="N373" s="193">
        <f>Sitio!$E$3</f>
        <v>0</v>
      </c>
      <c r="O373" s="193"/>
      <c r="P373" s="193"/>
      <c r="Q373" s="193"/>
      <c r="R373" s="194"/>
      <c r="S373" s="121" t="s">
        <v>294</v>
      </c>
      <c r="T373" s="193">
        <f>Sitio!$E$3</f>
        <v>0</v>
      </c>
      <c r="U373" s="193"/>
      <c r="V373" s="193"/>
      <c r="W373" s="193"/>
      <c r="X373" s="194"/>
    </row>
    <row r="374" spans="1:24" ht="9.75" customHeight="1" x14ac:dyDescent="0.15">
      <c r="A374" s="121" t="s">
        <v>295</v>
      </c>
      <c r="C374" s="193" t="e">
        <f>VLOOKUP(B376,Preenchimento!$A:$BV,2,0)</f>
        <v>#N/A</v>
      </c>
      <c r="D374" s="193" t="e">
        <f>VLOOKUP(C376,Preenchimento!$A:$BV,2,0)</f>
        <v>#N/A</v>
      </c>
      <c r="E374" s="193" t="e">
        <f>VLOOKUP(D376,Preenchimento!$A:$BV,2,0)</f>
        <v>#N/A</v>
      </c>
      <c r="F374" s="194" t="e">
        <f>VLOOKUP(E376,Preenchimento!$A:$BV,2,0)</f>
        <v>#N/A</v>
      </c>
      <c r="G374" s="121" t="s">
        <v>295</v>
      </c>
      <c r="I374" s="193" t="e">
        <f>VLOOKUP(H376,Preenchimento!$A:$BV,2,0)</f>
        <v>#N/A</v>
      </c>
      <c r="J374" s="193" t="e">
        <f>VLOOKUP(I376,Preenchimento!$A:$BV,2,0)</f>
        <v>#N/A</v>
      </c>
      <c r="K374" s="193" t="e">
        <f>VLOOKUP(J376,Preenchimento!$A:$BV,2,0)</f>
        <v>#N/A</v>
      </c>
      <c r="L374" s="194" t="e">
        <f>VLOOKUP(K376,Preenchimento!$A:$BV,2,0)</f>
        <v>#N/A</v>
      </c>
      <c r="M374" s="121" t="s">
        <v>295</v>
      </c>
      <c r="O374" s="193" t="e">
        <f>VLOOKUP(N376,Preenchimento!$A:$BV,2,0)</f>
        <v>#N/A</v>
      </c>
      <c r="P374" s="193" t="e">
        <f>VLOOKUP(O376,Preenchimento!$A:$BV,2,0)</f>
        <v>#N/A</v>
      </c>
      <c r="Q374" s="193" t="e">
        <f>VLOOKUP(P376,Preenchimento!$A:$BV,2,0)</f>
        <v>#N/A</v>
      </c>
      <c r="R374" s="194" t="e">
        <f>VLOOKUP(Q376,Preenchimento!$A:$BV,2,0)</f>
        <v>#N/A</v>
      </c>
      <c r="S374" s="121" t="s">
        <v>295</v>
      </c>
      <c r="U374" s="193" t="e">
        <f>VLOOKUP(T376,Preenchimento!$A:$BV,2,0)</f>
        <v>#N/A</v>
      </c>
      <c r="V374" s="193" t="e">
        <f>VLOOKUP(U376,Preenchimento!$A:$BV,2,0)</f>
        <v>#N/A</v>
      </c>
      <c r="W374" s="193" t="e">
        <f>VLOOKUP(V376,Preenchimento!$A:$BV,2,0)</f>
        <v>#N/A</v>
      </c>
      <c r="X374" s="194" t="e">
        <f>VLOOKUP(W376,Preenchimento!$A:$BV,2,0)</f>
        <v>#N/A</v>
      </c>
    </row>
    <row r="375" spans="1:24" ht="9.75" customHeight="1" x14ac:dyDescent="0.15">
      <c r="A375" s="121" t="s">
        <v>296</v>
      </c>
      <c r="B375" s="193" t="e">
        <f>VLOOKUP(B376,Preenchimento!$A:$BV,3,0)</f>
        <v>#N/A</v>
      </c>
      <c r="C375" s="193" t="e">
        <f>VLOOKUP(C376,Preenchimento!$A:$BV,3,0)</f>
        <v>#N/A</v>
      </c>
      <c r="D375" s="120" t="s">
        <v>297</v>
      </c>
      <c r="E375" s="197" t="e">
        <f>VLOOKUP(B376,Preenchimento!$A:$BV,5,0)</f>
        <v>#N/A</v>
      </c>
      <c r="F375" s="198" t="e">
        <f>VLOOKUP(C376,Preenchimento!$A:$BV,5,0)</f>
        <v>#N/A</v>
      </c>
      <c r="G375" s="121" t="s">
        <v>296</v>
      </c>
      <c r="H375" s="193" t="e">
        <f>VLOOKUP(H376,Preenchimento!$A:$BV,3,0)</f>
        <v>#N/A</v>
      </c>
      <c r="I375" s="193" t="e">
        <f>VLOOKUP(I376,Preenchimento!$A:$BV,3,0)</f>
        <v>#N/A</v>
      </c>
      <c r="J375" s="120" t="s">
        <v>297</v>
      </c>
      <c r="K375" s="197" t="e">
        <f>VLOOKUP(H376,Preenchimento!$A:$BV,5,0)</f>
        <v>#N/A</v>
      </c>
      <c r="L375" s="198" t="e">
        <f>VLOOKUP(I376,Preenchimento!$A:$BV,5,0)</f>
        <v>#N/A</v>
      </c>
      <c r="M375" s="121" t="s">
        <v>296</v>
      </c>
      <c r="N375" s="193" t="e">
        <f>VLOOKUP(N376,Preenchimento!$A:$BV,3,0)</f>
        <v>#N/A</v>
      </c>
      <c r="O375" s="193" t="e">
        <f>VLOOKUP(O376,Preenchimento!$A:$BV,3,0)</f>
        <v>#N/A</v>
      </c>
      <c r="P375" s="120" t="s">
        <v>297</v>
      </c>
      <c r="Q375" s="197" t="e">
        <f>VLOOKUP(N376,Preenchimento!$A:$BV,5,0)</f>
        <v>#N/A</v>
      </c>
      <c r="R375" s="198" t="e">
        <f>VLOOKUP(O376,Preenchimento!$A:$BV,5,0)</f>
        <v>#N/A</v>
      </c>
      <c r="S375" s="121" t="s">
        <v>296</v>
      </c>
      <c r="T375" s="193" t="e">
        <f>VLOOKUP(T376,Preenchimento!$A:$BV,3,0)</f>
        <v>#N/A</v>
      </c>
      <c r="U375" s="193" t="e">
        <f>VLOOKUP(U376,Preenchimento!$A:$BV,3,0)</f>
        <v>#N/A</v>
      </c>
      <c r="V375" s="120" t="s">
        <v>297</v>
      </c>
      <c r="W375" s="197" t="e">
        <f>VLOOKUP(T376,Preenchimento!$A:$BV,5,0)</f>
        <v>#N/A</v>
      </c>
      <c r="X375" s="198" t="e">
        <f>VLOOKUP(U376,Preenchimento!$A:$BV,5,0)</f>
        <v>#N/A</v>
      </c>
    </row>
    <row r="376" spans="1:24" ht="9.75" customHeight="1" x14ac:dyDescent="0.15">
      <c r="A376" s="121" t="s">
        <v>298</v>
      </c>
      <c r="B376" s="193"/>
      <c r="C376" s="193"/>
      <c r="D376" s="120" t="s">
        <v>299</v>
      </c>
      <c r="F376" s="131" t="e">
        <f>VLOOKUP(B376,Preenchimento!$A:$BV,10,0)</f>
        <v>#N/A</v>
      </c>
      <c r="G376" s="121" t="s">
        <v>298</v>
      </c>
      <c r="H376" s="193"/>
      <c r="I376" s="193"/>
      <c r="J376" s="120" t="s">
        <v>299</v>
      </c>
      <c r="L376" s="131" t="e">
        <f>VLOOKUP(H376,Preenchimento!$A:$BV,10,0)</f>
        <v>#N/A</v>
      </c>
      <c r="M376" s="121" t="s">
        <v>298</v>
      </c>
      <c r="N376" s="193"/>
      <c r="O376" s="193"/>
      <c r="P376" s="120" t="s">
        <v>299</v>
      </c>
      <c r="R376" s="131" t="e">
        <f>VLOOKUP(N376,Preenchimento!$A:$BV,10,0)</f>
        <v>#N/A</v>
      </c>
      <c r="S376" s="121" t="s">
        <v>298</v>
      </c>
      <c r="T376" s="193"/>
      <c r="U376" s="193"/>
      <c r="V376" s="120" t="s">
        <v>299</v>
      </c>
      <c r="X376" s="131" t="e">
        <f>VLOOKUP(T376,Preenchimento!$A:$BV,10,0)</f>
        <v>#N/A</v>
      </c>
    </row>
    <row r="377" spans="1:24" ht="9.75" customHeight="1" x14ac:dyDescent="0.15">
      <c r="A377" s="121" t="s">
        <v>300</v>
      </c>
      <c r="C377" s="193" t="e">
        <f>VLOOKUP(B376,Preenchimento!$A:$BV,12,0)</f>
        <v>#N/A</v>
      </c>
      <c r="D377" s="193" t="e">
        <f>VLOOKUP(C376,Preenchimento!$A:$BV,12,0)</f>
        <v>#N/A</v>
      </c>
      <c r="E377" s="193" t="e">
        <f>VLOOKUP(D376,Preenchimento!$A:$BV,12,0)</f>
        <v>#N/A</v>
      </c>
      <c r="F377" s="194" t="e">
        <f>VLOOKUP(E376,Preenchimento!$A:$BV,12,0)</f>
        <v>#N/A</v>
      </c>
      <c r="G377" s="121" t="s">
        <v>300</v>
      </c>
      <c r="I377" s="193" t="e">
        <f>VLOOKUP(H376,Preenchimento!$A:$BV,12,0)</f>
        <v>#N/A</v>
      </c>
      <c r="J377" s="193" t="e">
        <f>VLOOKUP(I376,Preenchimento!$A:$BV,12,0)</f>
        <v>#N/A</v>
      </c>
      <c r="K377" s="193" t="e">
        <f>VLOOKUP(J376,Preenchimento!$A:$BV,12,0)</f>
        <v>#N/A</v>
      </c>
      <c r="L377" s="194" t="e">
        <f>VLOOKUP(K376,Preenchimento!$A:$BV,12,0)</f>
        <v>#N/A</v>
      </c>
      <c r="M377" s="121" t="s">
        <v>300</v>
      </c>
      <c r="O377" s="193" t="e">
        <f>VLOOKUP(N376,Preenchimento!$A:$BV,12,0)</f>
        <v>#N/A</v>
      </c>
      <c r="P377" s="193" t="e">
        <f>VLOOKUP(O376,Preenchimento!$A:$BV,12,0)</f>
        <v>#N/A</v>
      </c>
      <c r="Q377" s="193" t="e">
        <f>VLOOKUP(P376,Preenchimento!$A:$BV,12,0)</f>
        <v>#N/A</v>
      </c>
      <c r="R377" s="194" t="e">
        <f>VLOOKUP(Q376,Preenchimento!$A:$BV,12,0)</f>
        <v>#N/A</v>
      </c>
      <c r="S377" s="121" t="s">
        <v>300</v>
      </c>
      <c r="U377" s="193" t="e">
        <f>VLOOKUP(T376,Preenchimento!$A:$BV,12,0)</f>
        <v>#N/A</v>
      </c>
      <c r="V377" s="193" t="e">
        <f>VLOOKUP(U376,Preenchimento!$A:$BV,12,0)</f>
        <v>#N/A</v>
      </c>
      <c r="W377" s="193" t="e">
        <f>VLOOKUP(V376,Preenchimento!$A:$BV,12,0)</f>
        <v>#N/A</v>
      </c>
      <c r="X377" s="194" t="e">
        <f>VLOOKUP(W376,Preenchimento!$A:$BV,12,0)</f>
        <v>#N/A</v>
      </c>
    </row>
    <row r="378" spans="1:24" ht="9.75" customHeight="1" x14ac:dyDescent="0.15">
      <c r="A378" s="123" t="s">
        <v>301</v>
      </c>
      <c r="B378" s="195" t="e">
        <f>IF(VLOOKUP(B376,Preenchimento!$A:$BV,11,0)=0,"",VLOOKUP(B376,Preenchimento!$A:$BV,11,0))</f>
        <v>#N/A</v>
      </c>
      <c r="C378" s="195"/>
      <c r="D378" s="195"/>
      <c r="E378" s="195"/>
      <c r="F378" s="196"/>
      <c r="G378" s="123" t="s">
        <v>301</v>
      </c>
      <c r="H378" s="195" t="e">
        <f>IF(VLOOKUP(H376,Preenchimento!$A:$BV,11,0)=0,"",VLOOKUP(H376,Preenchimento!$A:$BV,11,0))</f>
        <v>#N/A</v>
      </c>
      <c r="I378" s="195"/>
      <c r="J378" s="195"/>
      <c r="K378" s="195"/>
      <c r="L378" s="196"/>
      <c r="M378" s="123" t="s">
        <v>301</v>
      </c>
      <c r="N378" s="195" t="e">
        <f>IF(VLOOKUP(N376,Preenchimento!$A:$BV,11,0)=0,"",VLOOKUP(N376,Preenchimento!$A:$BV,11,0))</f>
        <v>#N/A</v>
      </c>
      <c r="O378" s="195"/>
      <c r="P378" s="195"/>
      <c r="Q378" s="195"/>
      <c r="R378" s="196"/>
      <c r="S378" s="123" t="s">
        <v>301</v>
      </c>
      <c r="T378" s="195" t="e">
        <f>IF(VLOOKUP(T376,Preenchimento!$A:$BV,11,0)=0,"",VLOOKUP(T376,Preenchimento!$A:$BV,11,0))</f>
        <v>#N/A</v>
      </c>
      <c r="U378" s="195"/>
      <c r="V378" s="195"/>
      <c r="W378" s="195"/>
      <c r="X378" s="196"/>
    </row>
    <row r="379" spans="1:24" s="130" customFormat="1" ht="33.950000000000003" customHeight="1" x14ac:dyDescent="0.25">
      <c r="A379" s="199" t="str">
        <f>Sitio!$A$3</f>
        <v>Projeto 01</v>
      </c>
      <c r="B379" s="200"/>
      <c r="C379" s="200"/>
      <c r="D379" s="200"/>
      <c r="E379" s="200"/>
      <c r="F379" s="201"/>
      <c r="G379" s="199" t="str">
        <f>Sitio!$A$3</f>
        <v>Projeto 01</v>
      </c>
      <c r="H379" s="200"/>
      <c r="I379" s="200"/>
      <c r="J379" s="200"/>
      <c r="K379" s="200"/>
      <c r="L379" s="201"/>
      <c r="M379" s="199" t="str">
        <f>Sitio!$A$3</f>
        <v>Projeto 01</v>
      </c>
      <c r="N379" s="200"/>
      <c r="O379" s="200"/>
      <c r="P379" s="200"/>
      <c r="Q379" s="200"/>
      <c r="R379" s="201"/>
      <c r="S379" s="199" t="str">
        <f>Sitio!$A$3</f>
        <v>Projeto 01</v>
      </c>
      <c r="T379" s="200"/>
      <c r="U379" s="200"/>
      <c r="V379" s="200"/>
      <c r="W379" s="200"/>
      <c r="X379" s="201"/>
    </row>
    <row r="380" spans="1:24" ht="9.75" customHeight="1" x14ac:dyDescent="0.15">
      <c r="A380" s="121" t="s">
        <v>294</v>
      </c>
      <c r="B380" s="193">
        <f>Sitio!$E$3</f>
        <v>0</v>
      </c>
      <c r="C380" s="193"/>
      <c r="D380" s="193"/>
      <c r="E380" s="193"/>
      <c r="F380" s="194"/>
      <c r="G380" s="121" t="s">
        <v>294</v>
      </c>
      <c r="H380" s="193">
        <f>Sitio!$E$3</f>
        <v>0</v>
      </c>
      <c r="I380" s="193"/>
      <c r="J380" s="193"/>
      <c r="K380" s="193"/>
      <c r="L380" s="194"/>
      <c r="M380" s="121" t="s">
        <v>294</v>
      </c>
      <c r="N380" s="193">
        <f>Sitio!$E$3</f>
        <v>0</v>
      </c>
      <c r="O380" s="193"/>
      <c r="P380" s="193"/>
      <c r="Q380" s="193"/>
      <c r="R380" s="194"/>
      <c r="S380" s="121" t="s">
        <v>294</v>
      </c>
      <c r="T380" s="193">
        <f>Sitio!$E$3</f>
        <v>0</v>
      </c>
      <c r="U380" s="193"/>
      <c r="V380" s="193"/>
      <c r="W380" s="193"/>
      <c r="X380" s="194"/>
    </row>
    <row r="381" spans="1:24" ht="9.75" customHeight="1" x14ac:dyDescent="0.15">
      <c r="A381" s="121" t="s">
        <v>295</v>
      </c>
      <c r="C381" s="193" t="e">
        <f>VLOOKUP(B383,Preenchimento!$A:$BV,2,0)</f>
        <v>#N/A</v>
      </c>
      <c r="D381" s="193" t="e">
        <f>VLOOKUP(C383,Preenchimento!$A:$BV,2,0)</f>
        <v>#N/A</v>
      </c>
      <c r="E381" s="193" t="e">
        <f>VLOOKUP(D383,Preenchimento!$A:$BV,2,0)</f>
        <v>#N/A</v>
      </c>
      <c r="F381" s="194" t="e">
        <f>VLOOKUP(E383,Preenchimento!$A:$BV,2,0)</f>
        <v>#N/A</v>
      </c>
      <c r="G381" s="121" t="s">
        <v>295</v>
      </c>
      <c r="I381" s="193" t="e">
        <f>VLOOKUP(H383,Preenchimento!$A:$BV,2,0)</f>
        <v>#N/A</v>
      </c>
      <c r="J381" s="193" t="e">
        <f>VLOOKUP(I383,Preenchimento!$A:$BV,2,0)</f>
        <v>#N/A</v>
      </c>
      <c r="K381" s="193" t="e">
        <f>VLOOKUP(J383,Preenchimento!$A:$BV,2,0)</f>
        <v>#N/A</v>
      </c>
      <c r="L381" s="194" t="e">
        <f>VLOOKUP(K383,Preenchimento!$A:$BV,2,0)</f>
        <v>#N/A</v>
      </c>
      <c r="M381" s="121" t="s">
        <v>295</v>
      </c>
      <c r="O381" s="193" t="e">
        <f>VLOOKUP(N383,Preenchimento!$A:$BV,2,0)</f>
        <v>#N/A</v>
      </c>
      <c r="P381" s="193" t="e">
        <f>VLOOKUP(O383,Preenchimento!$A:$BV,2,0)</f>
        <v>#N/A</v>
      </c>
      <c r="Q381" s="193" t="e">
        <f>VLOOKUP(P383,Preenchimento!$A:$BV,2,0)</f>
        <v>#N/A</v>
      </c>
      <c r="R381" s="194" t="e">
        <f>VLOOKUP(Q383,Preenchimento!$A:$BV,2,0)</f>
        <v>#N/A</v>
      </c>
      <c r="S381" s="121" t="s">
        <v>295</v>
      </c>
      <c r="U381" s="193" t="e">
        <f>VLOOKUP(T383,Preenchimento!$A:$BV,2,0)</f>
        <v>#N/A</v>
      </c>
      <c r="V381" s="193" t="e">
        <f>VLOOKUP(U383,Preenchimento!$A:$BV,2,0)</f>
        <v>#N/A</v>
      </c>
      <c r="W381" s="193" t="e">
        <f>VLOOKUP(V383,Preenchimento!$A:$BV,2,0)</f>
        <v>#N/A</v>
      </c>
      <c r="X381" s="194" t="e">
        <f>VLOOKUP(W383,Preenchimento!$A:$BV,2,0)</f>
        <v>#N/A</v>
      </c>
    </row>
    <row r="382" spans="1:24" ht="9.75" customHeight="1" x14ac:dyDescent="0.15">
      <c r="A382" s="121" t="s">
        <v>296</v>
      </c>
      <c r="B382" s="193" t="e">
        <f>VLOOKUP(B383,Preenchimento!$A:$BV,3,0)</f>
        <v>#N/A</v>
      </c>
      <c r="C382" s="193" t="e">
        <f>VLOOKUP(C383,Preenchimento!$A:$BV,3,0)</f>
        <v>#N/A</v>
      </c>
      <c r="D382" s="120" t="s">
        <v>297</v>
      </c>
      <c r="E382" s="197" t="e">
        <f>VLOOKUP(B383,Preenchimento!$A:$BV,5,0)</f>
        <v>#N/A</v>
      </c>
      <c r="F382" s="198" t="e">
        <f>VLOOKUP(C383,Preenchimento!$A:$BV,5,0)</f>
        <v>#N/A</v>
      </c>
      <c r="G382" s="121" t="s">
        <v>296</v>
      </c>
      <c r="H382" s="193" t="e">
        <f>VLOOKUP(H383,Preenchimento!$A:$BV,3,0)</f>
        <v>#N/A</v>
      </c>
      <c r="I382" s="193" t="e">
        <f>VLOOKUP(I383,Preenchimento!$A:$BV,3,0)</f>
        <v>#N/A</v>
      </c>
      <c r="J382" s="120" t="s">
        <v>297</v>
      </c>
      <c r="K382" s="197" t="e">
        <f>VLOOKUP(H383,Preenchimento!$A:$BV,5,0)</f>
        <v>#N/A</v>
      </c>
      <c r="L382" s="198" t="e">
        <f>VLOOKUP(I383,Preenchimento!$A:$BV,5,0)</f>
        <v>#N/A</v>
      </c>
      <c r="M382" s="121" t="s">
        <v>296</v>
      </c>
      <c r="N382" s="193" t="e">
        <f>VLOOKUP(N383,Preenchimento!$A:$BV,3,0)</f>
        <v>#N/A</v>
      </c>
      <c r="O382" s="193" t="e">
        <f>VLOOKUP(O383,Preenchimento!$A:$BV,3,0)</f>
        <v>#N/A</v>
      </c>
      <c r="P382" s="120" t="s">
        <v>297</v>
      </c>
      <c r="Q382" s="197" t="e">
        <f>VLOOKUP(N383,Preenchimento!$A:$BV,5,0)</f>
        <v>#N/A</v>
      </c>
      <c r="R382" s="198" t="e">
        <f>VLOOKUP(O383,Preenchimento!$A:$BV,5,0)</f>
        <v>#N/A</v>
      </c>
      <c r="S382" s="121" t="s">
        <v>296</v>
      </c>
      <c r="T382" s="193" t="e">
        <f>VLOOKUP(T383,Preenchimento!$A:$BV,3,0)</f>
        <v>#N/A</v>
      </c>
      <c r="U382" s="193" t="e">
        <f>VLOOKUP(U383,Preenchimento!$A:$BV,3,0)</f>
        <v>#N/A</v>
      </c>
      <c r="V382" s="120" t="s">
        <v>297</v>
      </c>
      <c r="W382" s="197" t="e">
        <f>VLOOKUP(T383,Preenchimento!$A:$BV,5,0)</f>
        <v>#N/A</v>
      </c>
      <c r="X382" s="198" t="e">
        <f>VLOOKUP(U383,Preenchimento!$A:$BV,5,0)</f>
        <v>#N/A</v>
      </c>
    </row>
    <row r="383" spans="1:24" ht="9.75" customHeight="1" x14ac:dyDescent="0.15">
      <c r="A383" s="121" t="s">
        <v>298</v>
      </c>
      <c r="B383" s="193"/>
      <c r="C383" s="193"/>
      <c r="D383" s="120" t="s">
        <v>299</v>
      </c>
      <c r="F383" s="131" t="e">
        <f>VLOOKUP(B383,Preenchimento!$A:$BV,10,0)</f>
        <v>#N/A</v>
      </c>
      <c r="G383" s="121" t="s">
        <v>298</v>
      </c>
      <c r="H383" s="193"/>
      <c r="I383" s="193"/>
      <c r="J383" s="120" t="s">
        <v>299</v>
      </c>
      <c r="L383" s="131" t="e">
        <f>VLOOKUP(H383,Preenchimento!$A:$BV,10,0)</f>
        <v>#N/A</v>
      </c>
      <c r="M383" s="121" t="s">
        <v>298</v>
      </c>
      <c r="N383" s="193"/>
      <c r="O383" s="193"/>
      <c r="P383" s="120" t="s">
        <v>299</v>
      </c>
      <c r="R383" s="131" t="e">
        <f>VLOOKUP(N383,Preenchimento!$A:$BV,10,0)</f>
        <v>#N/A</v>
      </c>
      <c r="S383" s="121" t="s">
        <v>298</v>
      </c>
      <c r="T383" s="193"/>
      <c r="U383" s="193"/>
      <c r="V383" s="120" t="s">
        <v>299</v>
      </c>
      <c r="X383" s="131" t="e">
        <f>VLOOKUP(T383,Preenchimento!$A:$BV,10,0)</f>
        <v>#N/A</v>
      </c>
    </row>
    <row r="384" spans="1:24" ht="9.75" customHeight="1" x14ac:dyDescent="0.15">
      <c r="A384" s="121" t="s">
        <v>300</v>
      </c>
      <c r="C384" s="193" t="e">
        <f>VLOOKUP(B383,Preenchimento!$A:$BV,12,0)</f>
        <v>#N/A</v>
      </c>
      <c r="D384" s="193" t="e">
        <f>VLOOKUP(C383,Preenchimento!$A:$BV,12,0)</f>
        <v>#N/A</v>
      </c>
      <c r="E384" s="193" t="e">
        <f>VLOOKUP(D383,Preenchimento!$A:$BV,12,0)</f>
        <v>#N/A</v>
      </c>
      <c r="F384" s="194" t="e">
        <f>VLOOKUP(E383,Preenchimento!$A:$BV,12,0)</f>
        <v>#N/A</v>
      </c>
      <c r="G384" s="121" t="s">
        <v>300</v>
      </c>
      <c r="I384" s="193" t="e">
        <f>VLOOKUP(H383,Preenchimento!$A:$BV,12,0)</f>
        <v>#N/A</v>
      </c>
      <c r="J384" s="193" t="e">
        <f>VLOOKUP(I383,Preenchimento!$A:$BV,12,0)</f>
        <v>#N/A</v>
      </c>
      <c r="K384" s="193" t="e">
        <f>VLOOKUP(J383,Preenchimento!$A:$BV,12,0)</f>
        <v>#N/A</v>
      </c>
      <c r="L384" s="194" t="e">
        <f>VLOOKUP(K383,Preenchimento!$A:$BV,12,0)</f>
        <v>#N/A</v>
      </c>
      <c r="M384" s="121" t="s">
        <v>300</v>
      </c>
      <c r="O384" s="193" t="e">
        <f>VLOOKUP(N383,Preenchimento!$A:$BV,12,0)</f>
        <v>#N/A</v>
      </c>
      <c r="P384" s="193" t="e">
        <f>VLOOKUP(O383,Preenchimento!$A:$BV,12,0)</f>
        <v>#N/A</v>
      </c>
      <c r="Q384" s="193" t="e">
        <f>VLOOKUP(P383,Preenchimento!$A:$BV,12,0)</f>
        <v>#N/A</v>
      </c>
      <c r="R384" s="194" t="e">
        <f>VLOOKUP(Q383,Preenchimento!$A:$BV,12,0)</f>
        <v>#N/A</v>
      </c>
      <c r="S384" s="121" t="s">
        <v>300</v>
      </c>
      <c r="U384" s="193" t="e">
        <f>VLOOKUP(T383,Preenchimento!$A:$BV,12,0)</f>
        <v>#N/A</v>
      </c>
      <c r="V384" s="193" t="e">
        <f>VLOOKUP(U383,Preenchimento!$A:$BV,12,0)</f>
        <v>#N/A</v>
      </c>
      <c r="W384" s="193" t="e">
        <f>VLOOKUP(V383,Preenchimento!$A:$BV,12,0)</f>
        <v>#N/A</v>
      </c>
      <c r="X384" s="194" t="e">
        <f>VLOOKUP(W383,Preenchimento!$A:$BV,12,0)</f>
        <v>#N/A</v>
      </c>
    </row>
    <row r="385" spans="1:24" ht="9.75" customHeight="1" x14ac:dyDescent="0.15">
      <c r="A385" s="123" t="s">
        <v>301</v>
      </c>
      <c r="B385" s="195" t="e">
        <f>IF(VLOOKUP(B383,Preenchimento!$A:$BV,11,0)=0,"",VLOOKUP(B383,Preenchimento!$A:$BV,11,0))</f>
        <v>#N/A</v>
      </c>
      <c r="C385" s="195"/>
      <c r="D385" s="195"/>
      <c r="E385" s="195"/>
      <c r="F385" s="196"/>
      <c r="G385" s="123" t="s">
        <v>301</v>
      </c>
      <c r="H385" s="195" t="e">
        <f>IF(VLOOKUP(H383,Preenchimento!$A:$BV,11,0)=0,"",VLOOKUP(H383,Preenchimento!$A:$BV,11,0))</f>
        <v>#N/A</v>
      </c>
      <c r="I385" s="195"/>
      <c r="J385" s="195"/>
      <c r="K385" s="195"/>
      <c r="L385" s="196"/>
      <c r="M385" s="123" t="s">
        <v>301</v>
      </c>
      <c r="N385" s="195" t="e">
        <f>IF(VLOOKUP(N383,Preenchimento!$A:$BV,11,0)=0,"",VLOOKUP(N383,Preenchimento!$A:$BV,11,0))</f>
        <v>#N/A</v>
      </c>
      <c r="O385" s="195"/>
      <c r="P385" s="195"/>
      <c r="Q385" s="195"/>
      <c r="R385" s="196"/>
      <c r="S385" s="123" t="s">
        <v>301</v>
      </c>
      <c r="T385" s="195" t="e">
        <f>IF(VLOOKUP(T383,Preenchimento!$A:$BV,11,0)=0,"",VLOOKUP(T383,Preenchimento!$A:$BV,11,0))</f>
        <v>#N/A</v>
      </c>
      <c r="U385" s="195"/>
      <c r="V385" s="195"/>
      <c r="W385" s="195"/>
      <c r="X385" s="196"/>
    </row>
    <row r="386" spans="1:24" s="130" customFormat="1" ht="33.950000000000003" customHeight="1" x14ac:dyDescent="0.25">
      <c r="A386" s="199" t="str">
        <f>Sitio!$A$3</f>
        <v>Projeto 01</v>
      </c>
      <c r="B386" s="200"/>
      <c r="C386" s="200"/>
      <c r="D386" s="200"/>
      <c r="E386" s="200"/>
      <c r="F386" s="201"/>
      <c r="G386" s="199" t="str">
        <f>Sitio!$A$3</f>
        <v>Projeto 01</v>
      </c>
      <c r="H386" s="200"/>
      <c r="I386" s="200"/>
      <c r="J386" s="200"/>
      <c r="K386" s="200"/>
      <c r="L386" s="201"/>
      <c r="M386" s="199" t="str">
        <f>Sitio!$A$3</f>
        <v>Projeto 01</v>
      </c>
      <c r="N386" s="200"/>
      <c r="O386" s="200"/>
      <c r="P386" s="200"/>
      <c r="Q386" s="200"/>
      <c r="R386" s="201"/>
      <c r="S386" s="199" t="str">
        <f>Sitio!$A$3</f>
        <v>Projeto 01</v>
      </c>
      <c r="T386" s="200"/>
      <c r="U386" s="200"/>
      <c r="V386" s="200"/>
      <c r="W386" s="200"/>
      <c r="X386" s="201"/>
    </row>
    <row r="387" spans="1:24" ht="9.75" customHeight="1" x14ac:dyDescent="0.15">
      <c r="A387" s="121" t="s">
        <v>294</v>
      </c>
      <c r="B387" s="193">
        <f>Sitio!$E$3</f>
        <v>0</v>
      </c>
      <c r="C387" s="193"/>
      <c r="D387" s="193"/>
      <c r="E387" s="193"/>
      <c r="F387" s="194"/>
      <c r="G387" s="121" t="s">
        <v>294</v>
      </c>
      <c r="H387" s="193">
        <f>Sitio!$E$3</f>
        <v>0</v>
      </c>
      <c r="I387" s="193"/>
      <c r="J387" s="193"/>
      <c r="K387" s="193"/>
      <c r="L387" s="194"/>
      <c r="M387" s="121" t="s">
        <v>294</v>
      </c>
      <c r="N387" s="193">
        <f>Sitio!$E$3</f>
        <v>0</v>
      </c>
      <c r="O387" s="193"/>
      <c r="P387" s="193"/>
      <c r="Q387" s="193"/>
      <c r="R387" s="194"/>
      <c r="S387" s="121" t="s">
        <v>294</v>
      </c>
      <c r="T387" s="193">
        <f>Sitio!$E$3</f>
        <v>0</v>
      </c>
      <c r="U387" s="193"/>
      <c r="V387" s="193"/>
      <c r="W387" s="193"/>
      <c r="X387" s="194"/>
    </row>
    <row r="388" spans="1:24" ht="9.75" customHeight="1" x14ac:dyDescent="0.15">
      <c r="A388" s="121" t="s">
        <v>295</v>
      </c>
      <c r="C388" s="193" t="e">
        <f>VLOOKUP(B390,Preenchimento!$A:$BV,2,0)</f>
        <v>#N/A</v>
      </c>
      <c r="D388" s="193" t="e">
        <f>VLOOKUP(C390,Preenchimento!$A:$BV,2,0)</f>
        <v>#N/A</v>
      </c>
      <c r="E388" s="193" t="e">
        <f>VLOOKUP(D390,Preenchimento!$A:$BV,2,0)</f>
        <v>#N/A</v>
      </c>
      <c r="F388" s="194" t="e">
        <f>VLOOKUP(E390,Preenchimento!$A:$BV,2,0)</f>
        <v>#N/A</v>
      </c>
      <c r="G388" s="121" t="s">
        <v>295</v>
      </c>
      <c r="I388" s="193" t="e">
        <f>VLOOKUP(H390,Preenchimento!$A:$BV,2,0)</f>
        <v>#N/A</v>
      </c>
      <c r="J388" s="193" t="e">
        <f>VLOOKUP(I390,Preenchimento!$A:$BV,2,0)</f>
        <v>#N/A</v>
      </c>
      <c r="K388" s="193" t="e">
        <f>VLOOKUP(J390,Preenchimento!$A:$BV,2,0)</f>
        <v>#N/A</v>
      </c>
      <c r="L388" s="194" t="e">
        <f>VLOOKUP(K390,Preenchimento!$A:$BV,2,0)</f>
        <v>#N/A</v>
      </c>
      <c r="M388" s="121" t="s">
        <v>295</v>
      </c>
      <c r="O388" s="193" t="e">
        <f>VLOOKUP(N390,Preenchimento!$A:$BV,2,0)</f>
        <v>#N/A</v>
      </c>
      <c r="P388" s="193" t="e">
        <f>VLOOKUP(O390,Preenchimento!$A:$BV,2,0)</f>
        <v>#N/A</v>
      </c>
      <c r="Q388" s="193" t="e">
        <f>VLOOKUP(P390,Preenchimento!$A:$BV,2,0)</f>
        <v>#N/A</v>
      </c>
      <c r="R388" s="194" t="e">
        <f>VLOOKUP(Q390,Preenchimento!$A:$BV,2,0)</f>
        <v>#N/A</v>
      </c>
      <c r="S388" s="121" t="s">
        <v>295</v>
      </c>
      <c r="U388" s="193" t="e">
        <f>VLOOKUP(T390,Preenchimento!$A:$BV,2,0)</f>
        <v>#N/A</v>
      </c>
      <c r="V388" s="193" t="e">
        <f>VLOOKUP(U390,Preenchimento!$A:$BV,2,0)</f>
        <v>#N/A</v>
      </c>
      <c r="W388" s="193" t="e">
        <f>VLOOKUP(V390,Preenchimento!$A:$BV,2,0)</f>
        <v>#N/A</v>
      </c>
      <c r="X388" s="194" t="e">
        <f>VLOOKUP(W390,Preenchimento!$A:$BV,2,0)</f>
        <v>#N/A</v>
      </c>
    </row>
    <row r="389" spans="1:24" ht="9.75" customHeight="1" x14ac:dyDescent="0.15">
      <c r="A389" s="121" t="s">
        <v>296</v>
      </c>
      <c r="B389" s="193" t="e">
        <f>VLOOKUP(B390,Preenchimento!$A:$BV,3,0)</f>
        <v>#N/A</v>
      </c>
      <c r="C389" s="193" t="e">
        <f>VLOOKUP(C390,Preenchimento!$A:$BV,3,0)</f>
        <v>#N/A</v>
      </c>
      <c r="D389" s="120" t="s">
        <v>297</v>
      </c>
      <c r="E389" s="197" t="e">
        <f>VLOOKUP(B390,Preenchimento!$A:$BV,5,0)</f>
        <v>#N/A</v>
      </c>
      <c r="F389" s="198" t="e">
        <f>VLOOKUP(C390,Preenchimento!$A:$BV,5,0)</f>
        <v>#N/A</v>
      </c>
      <c r="G389" s="121" t="s">
        <v>296</v>
      </c>
      <c r="H389" s="193" t="e">
        <f>VLOOKUP(H390,Preenchimento!$A:$BV,3,0)</f>
        <v>#N/A</v>
      </c>
      <c r="I389" s="193" t="e">
        <f>VLOOKUP(I390,Preenchimento!$A:$BV,3,0)</f>
        <v>#N/A</v>
      </c>
      <c r="J389" s="120" t="s">
        <v>297</v>
      </c>
      <c r="K389" s="197" t="e">
        <f>VLOOKUP(H390,Preenchimento!$A:$BV,5,0)</f>
        <v>#N/A</v>
      </c>
      <c r="L389" s="198" t="e">
        <f>VLOOKUP(I390,Preenchimento!$A:$BV,5,0)</f>
        <v>#N/A</v>
      </c>
      <c r="M389" s="121" t="s">
        <v>296</v>
      </c>
      <c r="N389" s="193" t="e">
        <f>VLOOKUP(N390,Preenchimento!$A:$BV,3,0)</f>
        <v>#N/A</v>
      </c>
      <c r="O389" s="193" t="e">
        <f>VLOOKUP(O390,Preenchimento!$A:$BV,3,0)</f>
        <v>#N/A</v>
      </c>
      <c r="P389" s="120" t="s">
        <v>297</v>
      </c>
      <c r="Q389" s="197" t="e">
        <f>VLOOKUP(N390,Preenchimento!$A:$BV,5,0)</f>
        <v>#N/A</v>
      </c>
      <c r="R389" s="198" t="e">
        <f>VLOOKUP(O390,Preenchimento!$A:$BV,5,0)</f>
        <v>#N/A</v>
      </c>
      <c r="S389" s="121" t="s">
        <v>296</v>
      </c>
      <c r="T389" s="193" t="e">
        <f>VLOOKUP(T390,Preenchimento!$A:$BV,3,0)</f>
        <v>#N/A</v>
      </c>
      <c r="U389" s="193" t="e">
        <f>VLOOKUP(U390,Preenchimento!$A:$BV,3,0)</f>
        <v>#N/A</v>
      </c>
      <c r="V389" s="120" t="s">
        <v>297</v>
      </c>
      <c r="W389" s="197" t="e">
        <f>VLOOKUP(T390,Preenchimento!$A:$BV,5,0)</f>
        <v>#N/A</v>
      </c>
      <c r="X389" s="198" t="e">
        <f>VLOOKUP(U390,Preenchimento!$A:$BV,5,0)</f>
        <v>#N/A</v>
      </c>
    </row>
    <row r="390" spans="1:24" ht="9.75" customHeight="1" x14ac:dyDescent="0.15">
      <c r="A390" s="121" t="s">
        <v>298</v>
      </c>
      <c r="B390" s="193"/>
      <c r="C390" s="193"/>
      <c r="D390" s="120" t="s">
        <v>299</v>
      </c>
      <c r="F390" s="131" t="e">
        <f>VLOOKUP(B390,Preenchimento!$A:$BV,10,0)</f>
        <v>#N/A</v>
      </c>
      <c r="G390" s="121" t="s">
        <v>298</v>
      </c>
      <c r="H390" s="193"/>
      <c r="I390" s="193"/>
      <c r="J390" s="120" t="s">
        <v>299</v>
      </c>
      <c r="L390" s="131" t="e">
        <f>VLOOKUP(H390,Preenchimento!$A:$BV,10,0)</f>
        <v>#N/A</v>
      </c>
      <c r="M390" s="121" t="s">
        <v>298</v>
      </c>
      <c r="N390" s="193"/>
      <c r="O390" s="193"/>
      <c r="P390" s="120" t="s">
        <v>299</v>
      </c>
      <c r="R390" s="131" t="e">
        <f>VLOOKUP(N390,Preenchimento!$A:$BV,10,0)</f>
        <v>#N/A</v>
      </c>
      <c r="S390" s="121" t="s">
        <v>298</v>
      </c>
      <c r="T390" s="193"/>
      <c r="U390" s="193"/>
      <c r="V390" s="120" t="s">
        <v>299</v>
      </c>
      <c r="X390" s="131" t="e">
        <f>VLOOKUP(T390,Preenchimento!$A:$BV,10,0)</f>
        <v>#N/A</v>
      </c>
    </row>
    <row r="391" spans="1:24" ht="9.75" customHeight="1" x14ac:dyDescent="0.15">
      <c r="A391" s="121" t="s">
        <v>300</v>
      </c>
      <c r="C391" s="193" t="e">
        <f>VLOOKUP(B390,Preenchimento!$A:$BV,12,0)</f>
        <v>#N/A</v>
      </c>
      <c r="D391" s="193" t="e">
        <f>VLOOKUP(C390,Preenchimento!$A:$BV,12,0)</f>
        <v>#N/A</v>
      </c>
      <c r="E391" s="193" t="e">
        <f>VLOOKUP(D390,Preenchimento!$A:$BV,12,0)</f>
        <v>#N/A</v>
      </c>
      <c r="F391" s="194" t="e">
        <f>VLOOKUP(E390,Preenchimento!$A:$BV,12,0)</f>
        <v>#N/A</v>
      </c>
      <c r="G391" s="121" t="s">
        <v>300</v>
      </c>
      <c r="I391" s="193" t="e">
        <f>VLOOKUP(H390,Preenchimento!$A:$BV,12,0)</f>
        <v>#N/A</v>
      </c>
      <c r="J391" s="193" t="e">
        <f>VLOOKUP(I390,Preenchimento!$A:$BV,12,0)</f>
        <v>#N/A</v>
      </c>
      <c r="K391" s="193" t="e">
        <f>VLOOKUP(J390,Preenchimento!$A:$BV,12,0)</f>
        <v>#N/A</v>
      </c>
      <c r="L391" s="194" t="e">
        <f>VLOOKUP(K390,Preenchimento!$A:$BV,12,0)</f>
        <v>#N/A</v>
      </c>
      <c r="M391" s="121" t="s">
        <v>300</v>
      </c>
      <c r="O391" s="193" t="e">
        <f>VLOOKUP(N390,Preenchimento!$A:$BV,12,0)</f>
        <v>#N/A</v>
      </c>
      <c r="P391" s="193" t="e">
        <f>VLOOKUP(O390,Preenchimento!$A:$BV,12,0)</f>
        <v>#N/A</v>
      </c>
      <c r="Q391" s="193" t="e">
        <f>VLOOKUP(P390,Preenchimento!$A:$BV,12,0)</f>
        <v>#N/A</v>
      </c>
      <c r="R391" s="194" t="e">
        <f>VLOOKUP(Q390,Preenchimento!$A:$BV,12,0)</f>
        <v>#N/A</v>
      </c>
      <c r="S391" s="121" t="s">
        <v>300</v>
      </c>
      <c r="U391" s="193" t="e">
        <f>VLOOKUP(T390,Preenchimento!$A:$BV,12,0)</f>
        <v>#N/A</v>
      </c>
      <c r="V391" s="193" t="e">
        <f>VLOOKUP(U390,Preenchimento!$A:$BV,12,0)</f>
        <v>#N/A</v>
      </c>
      <c r="W391" s="193" t="e">
        <f>VLOOKUP(V390,Preenchimento!$A:$BV,12,0)</f>
        <v>#N/A</v>
      </c>
      <c r="X391" s="194" t="e">
        <f>VLOOKUP(W390,Preenchimento!$A:$BV,12,0)</f>
        <v>#N/A</v>
      </c>
    </row>
    <row r="392" spans="1:24" ht="9.75" customHeight="1" x14ac:dyDescent="0.15">
      <c r="A392" s="123" t="s">
        <v>301</v>
      </c>
      <c r="B392" s="195" t="e">
        <f>IF(VLOOKUP(B390,Preenchimento!$A:$BV,11,0)=0,"",VLOOKUP(B390,Preenchimento!$A:$BV,11,0))</f>
        <v>#N/A</v>
      </c>
      <c r="C392" s="195"/>
      <c r="D392" s="195"/>
      <c r="E392" s="195"/>
      <c r="F392" s="196"/>
      <c r="G392" s="123" t="s">
        <v>301</v>
      </c>
      <c r="H392" s="195" t="e">
        <f>IF(VLOOKUP(H390,Preenchimento!$A:$BV,11,0)=0,"",VLOOKUP(H390,Preenchimento!$A:$BV,11,0))</f>
        <v>#N/A</v>
      </c>
      <c r="I392" s="195"/>
      <c r="J392" s="195"/>
      <c r="K392" s="195"/>
      <c r="L392" s="196"/>
      <c r="M392" s="123" t="s">
        <v>301</v>
      </c>
      <c r="N392" s="195" t="e">
        <f>IF(VLOOKUP(N390,Preenchimento!$A:$BV,11,0)=0,"",VLOOKUP(N390,Preenchimento!$A:$BV,11,0))</f>
        <v>#N/A</v>
      </c>
      <c r="O392" s="195"/>
      <c r="P392" s="195"/>
      <c r="Q392" s="195"/>
      <c r="R392" s="196"/>
      <c r="S392" s="123" t="s">
        <v>301</v>
      </c>
      <c r="T392" s="195" t="e">
        <f>IF(VLOOKUP(T390,Preenchimento!$A:$BV,11,0)=0,"",VLOOKUP(T390,Preenchimento!$A:$BV,11,0))</f>
        <v>#N/A</v>
      </c>
      <c r="U392" s="195"/>
      <c r="V392" s="195"/>
      <c r="W392" s="195"/>
      <c r="X392" s="196"/>
    </row>
    <row r="393" spans="1:24" s="130" customFormat="1" ht="33.950000000000003" customHeight="1" x14ac:dyDescent="0.25">
      <c r="A393" s="199" t="str">
        <f>Sitio!$A$3</f>
        <v>Projeto 01</v>
      </c>
      <c r="B393" s="200"/>
      <c r="C393" s="200"/>
      <c r="D393" s="200"/>
      <c r="E393" s="200"/>
      <c r="F393" s="201"/>
      <c r="G393" s="199" t="str">
        <f>Sitio!$A$3</f>
        <v>Projeto 01</v>
      </c>
      <c r="H393" s="200"/>
      <c r="I393" s="200"/>
      <c r="J393" s="200"/>
      <c r="K393" s="200"/>
      <c r="L393" s="201"/>
      <c r="M393" s="199" t="str">
        <f>Sitio!$A$3</f>
        <v>Projeto 01</v>
      </c>
      <c r="N393" s="200"/>
      <c r="O393" s="200"/>
      <c r="P393" s="200"/>
      <c r="Q393" s="200"/>
      <c r="R393" s="201"/>
      <c r="S393" s="199" t="str">
        <f>Sitio!$A$3</f>
        <v>Projeto 01</v>
      </c>
      <c r="T393" s="200"/>
      <c r="U393" s="200"/>
      <c r="V393" s="200"/>
      <c r="W393" s="200"/>
      <c r="X393" s="201"/>
    </row>
    <row r="394" spans="1:24" ht="9.75" customHeight="1" x14ac:dyDescent="0.15">
      <c r="A394" s="121" t="s">
        <v>294</v>
      </c>
      <c r="B394" s="193">
        <f>Sitio!$E$3</f>
        <v>0</v>
      </c>
      <c r="C394" s="193"/>
      <c r="D394" s="193"/>
      <c r="E394" s="193"/>
      <c r="F394" s="194"/>
      <c r="G394" s="121" t="s">
        <v>294</v>
      </c>
      <c r="H394" s="193">
        <f>Sitio!$E$3</f>
        <v>0</v>
      </c>
      <c r="I394" s="193"/>
      <c r="J394" s="193"/>
      <c r="K394" s="193"/>
      <c r="L394" s="194"/>
      <c r="M394" s="121" t="s">
        <v>294</v>
      </c>
      <c r="N394" s="193">
        <f>Sitio!$E$3</f>
        <v>0</v>
      </c>
      <c r="O394" s="193"/>
      <c r="P394" s="193"/>
      <c r="Q394" s="193"/>
      <c r="R394" s="194"/>
      <c r="S394" s="121" t="s">
        <v>294</v>
      </c>
      <c r="T394" s="193">
        <f>Sitio!$E$3</f>
        <v>0</v>
      </c>
      <c r="U394" s="193"/>
      <c r="V394" s="193"/>
      <c r="W394" s="193"/>
      <c r="X394" s="194"/>
    </row>
    <row r="395" spans="1:24" ht="9.75" customHeight="1" x14ac:dyDescent="0.15">
      <c r="A395" s="121" t="s">
        <v>295</v>
      </c>
      <c r="C395" s="193" t="e">
        <f>VLOOKUP(B397,Preenchimento!$A:$BV,2,0)</f>
        <v>#N/A</v>
      </c>
      <c r="D395" s="193" t="e">
        <f>VLOOKUP(C397,Preenchimento!$A:$BV,2,0)</f>
        <v>#N/A</v>
      </c>
      <c r="E395" s="193" t="e">
        <f>VLOOKUP(D397,Preenchimento!$A:$BV,2,0)</f>
        <v>#N/A</v>
      </c>
      <c r="F395" s="194" t="e">
        <f>VLOOKUP(E397,Preenchimento!$A:$BV,2,0)</f>
        <v>#N/A</v>
      </c>
      <c r="G395" s="121" t="s">
        <v>295</v>
      </c>
      <c r="I395" s="193" t="e">
        <f>VLOOKUP(H397,Preenchimento!$A:$BV,2,0)</f>
        <v>#N/A</v>
      </c>
      <c r="J395" s="193" t="e">
        <f>VLOOKUP(I397,Preenchimento!$A:$BV,2,0)</f>
        <v>#N/A</v>
      </c>
      <c r="K395" s="193" t="e">
        <f>VLOOKUP(J397,Preenchimento!$A:$BV,2,0)</f>
        <v>#N/A</v>
      </c>
      <c r="L395" s="194" t="e">
        <f>VLOOKUP(K397,Preenchimento!$A:$BV,2,0)</f>
        <v>#N/A</v>
      </c>
      <c r="M395" s="121" t="s">
        <v>295</v>
      </c>
      <c r="O395" s="193" t="e">
        <f>VLOOKUP(N397,Preenchimento!$A:$BV,2,0)</f>
        <v>#N/A</v>
      </c>
      <c r="P395" s="193" t="e">
        <f>VLOOKUP(O397,Preenchimento!$A:$BV,2,0)</f>
        <v>#N/A</v>
      </c>
      <c r="Q395" s="193" t="e">
        <f>VLOOKUP(P397,Preenchimento!$A:$BV,2,0)</f>
        <v>#N/A</v>
      </c>
      <c r="R395" s="194" t="e">
        <f>VLOOKUP(Q397,Preenchimento!$A:$BV,2,0)</f>
        <v>#N/A</v>
      </c>
      <c r="S395" s="121" t="s">
        <v>295</v>
      </c>
      <c r="U395" s="193" t="e">
        <f>VLOOKUP(T397,Preenchimento!$A:$BV,2,0)</f>
        <v>#N/A</v>
      </c>
      <c r="V395" s="193" t="e">
        <f>VLOOKUP(U397,Preenchimento!$A:$BV,2,0)</f>
        <v>#N/A</v>
      </c>
      <c r="W395" s="193" t="e">
        <f>VLOOKUP(V397,Preenchimento!$A:$BV,2,0)</f>
        <v>#N/A</v>
      </c>
      <c r="X395" s="194" t="e">
        <f>VLOOKUP(W397,Preenchimento!$A:$BV,2,0)</f>
        <v>#N/A</v>
      </c>
    </row>
    <row r="396" spans="1:24" ht="9.75" customHeight="1" x14ac:dyDescent="0.15">
      <c r="A396" s="121" t="s">
        <v>296</v>
      </c>
      <c r="B396" s="193" t="e">
        <f>VLOOKUP(B397,Preenchimento!$A:$BV,3,0)</f>
        <v>#N/A</v>
      </c>
      <c r="C396" s="193" t="e">
        <f>VLOOKUP(C397,Preenchimento!$A:$BV,3,0)</f>
        <v>#N/A</v>
      </c>
      <c r="D396" s="120" t="s">
        <v>297</v>
      </c>
      <c r="E396" s="197" t="e">
        <f>VLOOKUP(B397,Preenchimento!$A:$BV,5,0)</f>
        <v>#N/A</v>
      </c>
      <c r="F396" s="198" t="e">
        <f>VLOOKUP(C397,Preenchimento!$A:$BV,5,0)</f>
        <v>#N/A</v>
      </c>
      <c r="G396" s="121" t="s">
        <v>296</v>
      </c>
      <c r="H396" s="193" t="e">
        <f>VLOOKUP(H397,Preenchimento!$A:$BV,3,0)</f>
        <v>#N/A</v>
      </c>
      <c r="I396" s="193" t="e">
        <f>VLOOKUP(I397,Preenchimento!$A:$BV,3,0)</f>
        <v>#N/A</v>
      </c>
      <c r="J396" s="120" t="s">
        <v>297</v>
      </c>
      <c r="K396" s="197" t="e">
        <f>VLOOKUP(H397,Preenchimento!$A:$BV,5,0)</f>
        <v>#N/A</v>
      </c>
      <c r="L396" s="198" t="e">
        <f>VLOOKUP(I397,Preenchimento!$A:$BV,5,0)</f>
        <v>#N/A</v>
      </c>
      <c r="M396" s="121" t="s">
        <v>296</v>
      </c>
      <c r="N396" s="193" t="e">
        <f>VLOOKUP(N397,Preenchimento!$A:$BV,3,0)</f>
        <v>#N/A</v>
      </c>
      <c r="O396" s="193" t="e">
        <f>VLOOKUP(O397,Preenchimento!$A:$BV,3,0)</f>
        <v>#N/A</v>
      </c>
      <c r="P396" s="120" t="s">
        <v>297</v>
      </c>
      <c r="Q396" s="197" t="e">
        <f>VLOOKUP(N397,Preenchimento!$A:$BV,5,0)</f>
        <v>#N/A</v>
      </c>
      <c r="R396" s="198" t="e">
        <f>VLOOKUP(O397,Preenchimento!$A:$BV,5,0)</f>
        <v>#N/A</v>
      </c>
      <c r="S396" s="121" t="s">
        <v>296</v>
      </c>
      <c r="T396" s="193" t="e">
        <f>VLOOKUP(T397,Preenchimento!$A:$BV,3,0)</f>
        <v>#N/A</v>
      </c>
      <c r="U396" s="193" t="e">
        <f>VLOOKUP(U397,Preenchimento!$A:$BV,3,0)</f>
        <v>#N/A</v>
      </c>
      <c r="V396" s="120" t="s">
        <v>297</v>
      </c>
      <c r="W396" s="197" t="e">
        <f>VLOOKUP(T397,Preenchimento!$A:$BV,5,0)</f>
        <v>#N/A</v>
      </c>
      <c r="X396" s="198" t="e">
        <f>VLOOKUP(U397,Preenchimento!$A:$BV,5,0)</f>
        <v>#N/A</v>
      </c>
    </row>
    <row r="397" spans="1:24" ht="9.75" customHeight="1" x14ac:dyDescent="0.15">
      <c r="A397" s="121" t="s">
        <v>298</v>
      </c>
      <c r="B397" s="193"/>
      <c r="C397" s="193"/>
      <c r="D397" s="120" t="s">
        <v>299</v>
      </c>
      <c r="F397" s="131" t="e">
        <f>VLOOKUP(B397,Preenchimento!$A:$BV,10,0)</f>
        <v>#N/A</v>
      </c>
      <c r="G397" s="121" t="s">
        <v>298</v>
      </c>
      <c r="H397" s="193"/>
      <c r="I397" s="193"/>
      <c r="J397" s="120" t="s">
        <v>299</v>
      </c>
      <c r="L397" s="131" t="e">
        <f>VLOOKUP(H397,Preenchimento!$A:$BV,10,0)</f>
        <v>#N/A</v>
      </c>
      <c r="M397" s="121" t="s">
        <v>298</v>
      </c>
      <c r="N397" s="193"/>
      <c r="O397" s="193"/>
      <c r="P397" s="120" t="s">
        <v>299</v>
      </c>
      <c r="R397" s="131" t="e">
        <f>VLOOKUP(N397,Preenchimento!$A:$BV,10,0)</f>
        <v>#N/A</v>
      </c>
      <c r="S397" s="121" t="s">
        <v>298</v>
      </c>
      <c r="T397" s="193"/>
      <c r="U397" s="193"/>
      <c r="V397" s="120" t="s">
        <v>299</v>
      </c>
      <c r="X397" s="131" t="e">
        <f>VLOOKUP(T397,Preenchimento!$A:$BV,10,0)</f>
        <v>#N/A</v>
      </c>
    </row>
    <row r="398" spans="1:24" ht="9.75" customHeight="1" x14ac:dyDescent="0.15">
      <c r="A398" s="121" t="s">
        <v>300</v>
      </c>
      <c r="C398" s="193" t="e">
        <f>VLOOKUP(B397,Preenchimento!$A:$BV,12,0)</f>
        <v>#N/A</v>
      </c>
      <c r="D398" s="193" t="e">
        <f>VLOOKUP(C397,Preenchimento!$A:$BV,12,0)</f>
        <v>#N/A</v>
      </c>
      <c r="E398" s="193" t="e">
        <f>VLOOKUP(D397,Preenchimento!$A:$BV,12,0)</f>
        <v>#N/A</v>
      </c>
      <c r="F398" s="194" t="e">
        <f>VLOOKUP(E397,Preenchimento!$A:$BV,12,0)</f>
        <v>#N/A</v>
      </c>
      <c r="G398" s="121" t="s">
        <v>300</v>
      </c>
      <c r="I398" s="193" t="e">
        <f>VLOOKUP(H397,Preenchimento!$A:$BV,12,0)</f>
        <v>#N/A</v>
      </c>
      <c r="J398" s="193" t="e">
        <f>VLOOKUP(I397,Preenchimento!$A:$BV,12,0)</f>
        <v>#N/A</v>
      </c>
      <c r="K398" s="193" t="e">
        <f>VLOOKUP(J397,Preenchimento!$A:$BV,12,0)</f>
        <v>#N/A</v>
      </c>
      <c r="L398" s="194" t="e">
        <f>VLOOKUP(K397,Preenchimento!$A:$BV,12,0)</f>
        <v>#N/A</v>
      </c>
      <c r="M398" s="121" t="s">
        <v>300</v>
      </c>
      <c r="O398" s="193" t="e">
        <f>VLOOKUP(N397,Preenchimento!$A:$BV,12,0)</f>
        <v>#N/A</v>
      </c>
      <c r="P398" s="193" t="e">
        <f>VLOOKUP(O397,Preenchimento!$A:$BV,12,0)</f>
        <v>#N/A</v>
      </c>
      <c r="Q398" s="193" t="e">
        <f>VLOOKUP(P397,Preenchimento!$A:$BV,12,0)</f>
        <v>#N/A</v>
      </c>
      <c r="R398" s="194" t="e">
        <f>VLOOKUP(Q397,Preenchimento!$A:$BV,12,0)</f>
        <v>#N/A</v>
      </c>
      <c r="S398" s="121" t="s">
        <v>300</v>
      </c>
      <c r="U398" s="193" t="e">
        <f>VLOOKUP(T397,Preenchimento!$A:$BV,12,0)</f>
        <v>#N/A</v>
      </c>
      <c r="V398" s="193" t="e">
        <f>VLOOKUP(U397,Preenchimento!$A:$BV,12,0)</f>
        <v>#N/A</v>
      </c>
      <c r="W398" s="193" t="e">
        <f>VLOOKUP(V397,Preenchimento!$A:$BV,12,0)</f>
        <v>#N/A</v>
      </c>
      <c r="X398" s="194" t="e">
        <f>VLOOKUP(W397,Preenchimento!$A:$BV,12,0)</f>
        <v>#N/A</v>
      </c>
    </row>
    <row r="399" spans="1:24" ht="9.75" customHeight="1" x14ac:dyDescent="0.15">
      <c r="A399" s="123" t="s">
        <v>301</v>
      </c>
      <c r="B399" s="195" t="e">
        <f>IF(VLOOKUP(B397,Preenchimento!$A:$BV,11,0)=0,"",VLOOKUP(B397,Preenchimento!$A:$BV,11,0))</f>
        <v>#N/A</v>
      </c>
      <c r="C399" s="195"/>
      <c r="D399" s="195"/>
      <c r="E399" s="195"/>
      <c r="F399" s="196"/>
      <c r="G399" s="123" t="s">
        <v>301</v>
      </c>
      <c r="H399" s="195" t="e">
        <f>IF(VLOOKUP(H397,Preenchimento!$A:$BV,11,0)=0,"",VLOOKUP(H397,Preenchimento!$A:$BV,11,0))</f>
        <v>#N/A</v>
      </c>
      <c r="I399" s="195"/>
      <c r="J399" s="195"/>
      <c r="K399" s="195"/>
      <c r="L399" s="196"/>
      <c r="M399" s="123" t="s">
        <v>301</v>
      </c>
      <c r="N399" s="195" t="e">
        <f>IF(VLOOKUP(N397,Preenchimento!$A:$BV,11,0)=0,"",VLOOKUP(N397,Preenchimento!$A:$BV,11,0))</f>
        <v>#N/A</v>
      </c>
      <c r="O399" s="195"/>
      <c r="P399" s="195"/>
      <c r="Q399" s="195"/>
      <c r="R399" s="196"/>
      <c r="S399" s="123" t="s">
        <v>301</v>
      </c>
      <c r="T399" s="195" t="e">
        <f>IF(VLOOKUP(T397,Preenchimento!$A:$BV,11,0)=0,"",VLOOKUP(T397,Preenchimento!$A:$BV,11,0))</f>
        <v>#N/A</v>
      </c>
      <c r="U399" s="195"/>
      <c r="V399" s="195"/>
      <c r="W399" s="195"/>
      <c r="X399" s="196"/>
    </row>
    <row r="400" spans="1:24" s="130" customFormat="1" ht="33.950000000000003" customHeight="1" x14ac:dyDescent="0.25">
      <c r="A400" s="199" t="str">
        <f>Sitio!$A$3</f>
        <v>Projeto 01</v>
      </c>
      <c r="B400" s="200"/>
      <c r="C400" s="200"/>
      <c r="D400" s="200"/>
      <c r="E400" s="200"/>
      <c r="F400" s="201"/>
      <c r="G400" s="199" t="str">
        <f>Sitio!$A$3</f>
        <v>Projeto 01</v>
      </c>
      <c r="H400" s="200"/>
      <c r="I400" s="200"/>
      <c r="J400" s="200"/>
      <c r="K400" s="200"/>
      <c r="L400" s="201"/>
      <c r="M400" s="199" t="str">
        <f>Sitio!$A$3</f>
        <v>Projeto 01</v>
      </c>
      <c r="N400" s="200"/>
      <c r="O400" s="200"/>
      <c r="P400" s="200"/>
      <c r="Q400" s="200"/>
      <c r="R400" s="201"/>
      <c r="S400" s="199" t="str">
        <f>Sitio!$A$3</f>
        <v>Projeto 01</v>
      </c>
      <c r="T400" s="200"/>
      <c r="U400" s="200"/>
      <c r="V400" s="200"/>
      <c r="W400" s="200"/>
      <c r="X400" s="201"/>
    </row>
    <row r="401" spans="1:24" ht="9.75" customHeight="1" x14ac:dyDescent="0.15">
      <c r="A401" s="121" t="s">
        <v>294</v>
      </c>
      <c r="B401" s="193">
        <f>Sitio!$E$3</f>
        <v>0</v>
      </c>
      <c r="C401" s="193"/>
      <c r="D401" s="193"/>
      <c r="E401" s="193"/>
      <c r="F401" s="194"/>
      <c r="G401" s="121" t="s">
        <v>294</v>
      </c>
      <c r="H401" s="193">
        <f>Sitio!$E$3</f>
        <v>0</v>
      </c>
      <c r="I401" s="193"/>
      <c r="J401" s="193"/>
      <c r="K401" s="193"/>
      <c r="L401" s="194"/>
      <c r="M401" s="121" t="s">
        <v>294</v>
      </c>
      <c r="N401" s="193">
        <f>Sitio!$E$3</f>
        <v>0</v>
      </c>
      <c r="O401" s="193"/>
      <c r="P401" s="193"/>
      <c r="Q401" s="193"/>
      <c r="R401" s="194"/>
      <c r="S401" s="121" t="s">
        <v>294</v>
      </c>
      <c r="T401" s="193">
        <f>Sitio!$E$3</f>
        <v>0</v>
      </c>
      <c r="U401" s="193"/>
      <c r="V401" s="193"/>
      <c r="W401" s="193"/>
      <c r="X401" s="194"/>
    </row>
    <row r="402" spans="1:24" ht="9.75" customHeight="1" x14ac:dyDescent="0.15">
      <c r="A402" s="121" t="s">
        <v>295</v>
      </c>
      <c r="C402" s="193" t="e">
        <f>VLOOKUP(B404,Preenchimento!$A:$BV,2,0)</f>
        <v>#N/A</v>
      </c>
      <c r="D402" s="193" t="e">
        <f>VLOOKUP(C404,Preenchimento!$A:$BV,2,0)</f>
        <v>#N/A</v>
      </c>
      <c r="E402" s="193" t="e">
        <f>VLOOKUP(D404,Preenchimento!$A:$BV,2,0)</f>
        <v>#N/A</v>
      </c>
      <c r="F402" s="194" t="e">
        <f>VLOOKUP(E404,Preenchimento!$A:$BV,2,0)</f>
        <v>#N/A</v>
      </c>
      <c r="G402" s="121" t="s">
        <v>295</v>
      </c>
      <c r="I402" s="193" t="e">
        <f>VLOOKUP(H404,Preenchimento!$A:$BV,2,0)</f>
        <v>#N/A</v>
      </c>
      <c r="J402" s="193" t="e">
        <f>VLOOKUP(I404,Preenchimento!$A:$BV,2,0)</f>
        <v>#N/A</v>
      </c>
      <c r="K402" s="193" t="e">
        <f>VLOOKUP(J404,Preenchimento!$A:$BV,2,0)</f>
        <v>#N/A</v>
      </c>
      <c r="L402" s="194" t="e">
        <f>VLOOKUP(K404,Preenchimento!$A:$BV,2,0)</f>
        <v>#N/A</v>
      </c>
      <c r="M402" s="121" t="s">
        <v>295</v>
      </c>
      <c r="O402" s="193" t="e">
        <f>VLOOKUP(N404,Preenchimento!$A:$BV,2,0)</f>
        <v>#N/A</v>
      </c>
      <c r="P402" s="193" t="e">
        <f>VLOOKUP(O404,Preenchimento!$A:$BV,2,0)</f>
        <v>#N/A</v>
      </c>
      <c r="Q402" s="193" t="e">
        <f>VLOOKUP(P404,Preenchimento!$A:$BV,2,0)</f>
        <v>#N/A</v>
      </c>
      <c r="R402" s="194" t="e">
        <f>VLOOKUP(Q404,Preenchimento!$A:$BV,2,0)</f>
        <v>#N/A</v>
      </c>
      <c r="S402" s="121" t="s">
        <v>295</v>
      </c>
      <c r="U402" s="193" t="e">
        <f>VLOOKUP(T404,Preenchimento!$A:$BV,2,0)</f>
        <v>#N/A</v>
      </c>
      <c r="V402" s="193" t="e">
        <f>VLOOKUP(U404,Preenchimento!$A:$BV,2,0)</f>
        <v>#N/A</v>
      </c>
      <c r="W402" s="193" t="e">
        <f>VLOOKUP(V404,Preenchimento!$A:$BV,2,0)</f>
        <v>#N/A</v>
      </c>
      <c r="X402" s="194" t="e">
        <f>VLOOKUP(W404,Preenchimento!$A:$BV,2,0)</f>
        <v>#N/A</v>
      </c>
    </row>
    <row r="403" spans="1:24" ht="9.75" customHeight="1" x14ac:dyDescent="0.15">
      <c r="A403" s="121" t="s">
        <v>296</v>
      </c>
      <c r="B403" s="193" t="e">
        <f>VLOOKUP(B404,Preenchimento!$A:$BV,3,0)</f>
        <v>#N/A</v>
      </c>
      <c r="C403" s="193" t="e">
        <f>VLOOKUP(C404,Preenchimento!$A:$BV,3,0)</f>
        <v>#N/A</v>
      </c>
      <c r="D403" s="120" t="s">
        <v>297</v>
      </c>
      <c r="E403" s="197" t="e">
        <f>VLOOKUP(B404,Preenchimento!$A:$BV,5,0)</f>
        <v>#N/A</v>
      </c>
      <c r="F403" s="198" t="e">
        <f>VLOOKUP(C404,Preenchimento!$A:$BV,5,0)</f>
        <v>#N/A</v>
      </c>
      <c r="G403" s="121" t="s">
        <v>296</v>
      </c>
      <c r="H403" s="193" t="e">
        <f>VLOOKUP(H404,Preenchimento!$A:$BV,3,0)</f>
        <v>#N/A</v>
      </c>
      <c r="I403" s="193" t="e">
        <f>VLOOKUP(I404,Preenchimento!$A:$BV,3,0)</f>
        <v>#N/A</v>
      </c>
      <c r="J403" s="120" t="s">
        <v>297</v>
      </c>
      <c r="K403" s="197" t="e">
        <f>VLOOKUP(H404,Preenchimento!$A:$BV,5,0)</f>
        <v>#N/A</v>
      </c>
      <c r="L403" s="198" t="e">
        <f>VLOOKUP(I404,Preenchimento!$A:$BV,5,0)</f>
        <v>#N/A</v>
      </c>
      <c r="M403" s="121" t="s">
        <v>296</v>
      </c>
      <c r="N403" s="193" t="e">
        <f>VLOOKUP(N404,Preenchimento!$A:$BV,3,0)</f>
        <v>#N/A</v>
      </c>
      <c r="O403" s="193" t="e">
        <f>VLOOKUP(O404,Preenchimento!$A:$BV,3,0)</f>
        <v>#N/A</v>
      </c>
      <c r="P403" s="120" t="s">
        <v>297</v>
      </c>
      <c r="Q403" s="197" t="e">
        <f>VLOOKUP(N404,Preenchimento!$A:$BV,5,0)</f>
        <v>#N/A</v>
      </c>
      <c r="R403" s="198" t="e">
        <f>VLOOKUP(O404,Preenchimento!$A:$BV,5,0)</f>
        <v>#N/A</v>
      </c>
      <c r="S403" s="121" t="s">
        <v>296</v>
      </c>
      <c r="T403" s="193" t="e">
        <f>VLOOKUP(T404,Preenchimento!$A:$BV,3,0)</f>
        <v>#N/A</v>
      </c>
      <c r="U403" s="193" t="e">
        <f>VLOOKUP(U404,Preenchimento!$A:$BV,3,0)</f>
        <v>#N/A</v>
      </c>
      <c r="V403" s="120" t="s">
        <v>297</v>
      </c>
      <c r="W403" s="197" t="e">
        <f>VLOOKUP(T404,Preenchimento!$A:$BV,5,0)</f>
        <v>#N/A</v>
      </c>
      <c r="X403" s="198" t="e">
        <f>VLOOKUP(U404,Preenchimento!$A:$BV,5,0)</f>
        <v>#N/A</v>
      </c>
    </row>
    <row r="404" spans="1:24" ht="9.75" customHeight="1" x14ac:dyDescent="0.15">
      <c r="A404" s="121" t="s">
        <v>298</v>
      </c>
      <c r="B404" s="193"/>
      <c r="C404" s="193"/>
      <c r="D404" s="120" t="s">
        <v>299</v>
      </c>
      <c r="F404" s="131" t="e">
        <f>VLOOKUP(B404,Preenchimento!$A:$BV,10,0)</f>
        <v>#N/A</v>
      </c>
      <c r="G404" s="121" t="s">
        <v>298</v>
      </c>
      <c r="H404" s="193"/>
      <c r="I404" s="193"/>
      <c r="J404" s="120" t="s">
        <v>299</v>
      </c>
      <c r="L404" s="131" t="e">
        <f>VLOOKUP(H404,Preenchimento!$A:$BV,10,0)</f>
        <v>#N/A</v>
      </c>
      <c r="M404" s="121" t="s">
        <v>298</v>
      </c>
      <c r="N404" s="193"/>
      <c r="O404" s="193"/>
      <c r="P404" s="120" t="s">
        <v>299</v>
      </c>
      <c r="R404" s="131" t="e">
        <f>VLOOKUP(N404,Preenchimento!$A:$BV,10,0)</f>
        <v>#N/A</v>
      </c>
      <c r="S404" s="121" t="s">
        <v>298</v>
      </c>
      <c r="T404" s="193"/>
      <c r="U404" s="193"/>
      <c r="V404" s="120" t="s">
        <v>299</v>
      </c>
      <c r="X404" s="131" t="e">
        <f>VLOOKUP(T404,Preenchimento!$A:$BV,10,0)</f>
        <v>#N/A</v>
      </c>
    </row>
    <row r="405" spans="1:24" ht="9.75" customHeight="1" x14ac:dyDescent="0.15">
      <c r="A405" s="121" t="s">
        <v>300</v>
      </c>
      <c r="C405" s="193" t="e">
        <f>VLOOKUP(B404,Preenchimento!$A:$BV,12,0)</f>
        <v>#N/A</v>
      </c>
      <c r="D405" s="193" t="e">
        <f>VLOOKUP(C404,Preenchimento!$A:$BV,12,0)</f>
        <v>#N/A</v>
      </c>
      <c r="E405" s="193" t="e">
        <f>VLOOKUP(D404,Preenchimento!$A:$BV,12,0)</f>
        <v>#N/A</v>
      </c>
      <c r="F405" s="194" t="e">
        <f>VLOOKUP(E404,Preenchimento!$A:$BV,12,0)</f>
        <v>#N/A</v>
      </c>
      <c r="G405" s="121" t="s">
        <v>300</v>
      </c>
      <c r="I405" s="193" t="e">
        <f>VLOOKUP(H404,Preenchimento!$A:$BV,12,0)</f>
        <v>#N/A</v>
      </c>
      <c r="J405" s="193" t="e">
        <f>VLOOKUP(I404,Preenchimento!$A:$BV,12,0)</f>
        <v>#N/A</v>
      </c>
      <c r="K405" s="193" t="e">
        <f>VLOOKUP(J404,Preenchimento!$A:$BV,12,0)</f>
        <v>#N/A</v>
      </c>
      <c r="L405" s="194" t="e">
        <f>VLOOKUP(K404,Preenchimento!$A:$BV,12,0)</f>
        <v>#N/A</v>
      </c>
      <c r="M405" s="121" t="s">
        <v>300</v>
      </c>
      <c r="O405" s="193" t="e">
        <f>VLOOKUP(N404,Preenchimento!$A:$BV,12,0)</f>
        <v>#N/A</v>
      </c>
      <c r="P405" s="193" t="e">
        <f>VLOOKUP(O404,Preenchimento!$A:$BV,12,0)</f>
        <v>#N/A</v>
      </c>
      <c r="Q405" s="193" t="e">
        <f>VLOOKUP(P404,Preenchimento!$A:$BV,12,0)</f>
        <v>#N/A</v>
      </c>
      <c r="R405" s="194" t="e">
        <f>VLOOKUP(Q404,Preenchimento!$A:$BV,12,0)</f>
        <v>#N/A</v>
      </c>
      <c r="S405" s="121" t="s">
        <v>300</v>
      </c>
      <c r="U405" s="193" t="e">
        <f>VLOOKUP(T404,Preenchimento!$A:$BV,12,0)</f>
        <v>#N/A</v>
      </c>
      <c r="V405" s="193" t="e">
        <f>VLOOKUP(U404,Preenchimento!$A:$BV,12,0)</f>
        <v>#N/A</v>
      </c>
      <c r="W405" s="193" t="e">
        <f>VLOOKUP(V404,Preenchimento!$A:$BV,12,0)</f>
        <v>#N/A</v>
      </c>
      <c r="X405" s="194" t="e">
        <f>VLOOKUP(W404,Preenchimento!$A:$BV,12,0)</f>
        <v>#N/A</v>
      </c>
    </row>
    <row r="406" spans="1:24" ht="9.75" customHeight="1" x14ac:dyDescent="0.15">
      <c r="A406" s="123" t="s">
        <v>301</v>
      </c>
      <c r="B406" s="195" t="e">
        <f>IF(VLOOKUP(B404,Preenchimento!$A:$BV,11,0)=0,"",VLOOKUP(B404,Preenchimento!$A:$BV,11,0))</f>
        <v>#N/A</v>
      </c>
      <c r="C406" s="195"/>
      <c r="D406" s="195"/>
      <c r="E406" s="195"/>
      <c r="F406" s="196"/>
      <c r="G406" s="123" t="s">
        <v>301</v>
      </c>
      <c r="H406" s="195" t="e">
        <f>IF(VLOOKUP(H404,Preenchimento!$A:$BV,11,0)=0,"",VLOOKUP(H404,Preenchimento!$A:$BV,11,0))</f>
        <v>#N/A</v>
      </c>
      <c r="I406" s="195"/>
      <c r="J406" s="195"/>
      <c r="K406" s="195"/>
      <c r="L406" s="196"/>
      <c r="M406" s="123" t="s">
        <v>301</v>
      </c>
      <c r="N406" s="195" t="e">
        <f>IF(VLOOKUP(N404,Preenchimento!$A:$BV,11,0)=0,"",VLOOKUP(N404,Preenchimento!$A:$BV,11,0))</f>
        <v>#N/A</v>
      </c>
      <c r="O406" s="195"/>
      <c r="P406" s="195"/>
      <c r="Q406" s="195"/>
      <c r="R406" s="196"/>
      <c r="S406" s="123" t="s">
        <v>301</v>
      </c>
      <c r="T406" s="195" t="e">
        <f>IF(VLOOKUP(T404,Preenchimento!$A:$BV,11,0)=0,"",VLOOKUP(T404,Preenchimento!$A:$BV,11,0))</f>
        <v>#N/A</v>
      </c>
      <c r="U406" s="195"/>
      <c r="V406" s="195"/>
      <c r="W406" s="195"/>
      <c r="X406" s="196"/>
    </row>
    <row r="407" spans="1:24" s="130" customFormat="1" ht="33.950000000000003" customHeight="1" x14ac:dyDescent="0.25">
      <c r="A407" s="199" t="str">
        <f>Sitio!$A$3</f>
        <v>Projeto 01</v>
      </c>
      <c r="B407" s="200"/>
      <c r="C407" s="200"/>
      <c r="D407" s="200"/>
      <c r="E407" s="200"/>
      <c r="F407" s="201"/>
      <c r="G407" s="199" t="str">
        <f>Sitio!$A$3</f>
        <v>Projeto 01</v>
      </c>
      <c r="H407" s="200"/>
      <c r="I407" s="200"/>
      <c r="J407" s="200"/>
      <c r="K407" s="200"/>
      <c r="L407" s="201"/>
      <c r="M407" s="199" t="str">
        <f>Sitio!$A$3</f>
        <v>Projeto 01</v>
      </c>
      <c r="N407" s="200"/>
      <c r="O407" s="200"/>
      <c r="P407" s="200"/>
      <c r="Q407" s="200"/>
      <c r="R407" s="201"/>
      <c r="S407" s="199" t="str">
        <f>Sitio!$A$3</f>
        <v>Projeto 01</v>
      </c>
      <c r="T407" s="200"/>
      <c r="U407" s="200"/>
      <c r="V407" s="200"/>
      <c r="W407" s="200"/>
      <c r="X407" s="201"/>
    </row>
    <row r="408" spans="1:24" ht="9.75" customHeight="1" x14ac:dyDescent="0.15">
      <c r="A408" s="121" t="s">
        <v>294</v>
      </c>
      <c r="B408" s="193">
        <f>Sitio!$E$3</f>
        <v>0</v>
      </c>
      <c r="C408" s="193"/>
      <c r="D408" s="193"/>
      <c r="E408" s="193"/>
      <c r="F408" s="194"/>
      <c r="G408" s="121" t="s">
        <v>294</v>
      </c>
      <c r="H408" s="193">
        <f>Sitio!$E$3</f>
        <v>0</v>
      </c>
      <c r="I408" s="193"/>
      <c r="J408" s="193"/>
      <c r="K408" s="193"/>
      <c r="L408" s="194"/>
      <c r="M408" s="121" t="s">
        <v>294</v>
      </c>
      <c r="N408" s="193">
        <f>Sitio!$E$3</f>
        <v>0</v>
      </c>
      <c r="O408" s="193"/>
      <c r="P408" s="193"/>
      <c r="Q408" s="193"/>
      <c r="R408" s="194"/>
      <c r="S408" s="121" t="s">
        <v>294</v>
      </c>
      <c r="T408" s="193">
        <f>Sitio!$E$3</f>
        <v>0</v>
      </c>
      <c r="U408" s="193"/>
      <c r="V408" s="193"/>
      <c r="W408" s="193"/>
      <c r="X408" s="194"/>
    </row>
    <row r="409" spans="1:24" ht="9.75" customHeight="1" x14ac:dyDescent="0.15">
      <c r="A409" s="121" t="s">
        <v>295</v>
      </c>
      <c r="C409" s="193" t="e">
        <f>VLOOKUP(B411,Preenchimento!$A:$BV,2,0)</f>
        <v>#N/A</v>
      </c>
      <c r="D409" s="193" t="e">
        <f>VLOOKUP(C411,Preenchimento!$A:$BV,2,0)</f>
        <v>#N/A</v>
      </c>
      <c r="E409" s="193" t="e">
        <f>VLOOKUP(D411,Preenchimento!$A:$BV,2,0)</f>
        <v>#N/A</v>
      </c>
      <c r="F409" s="194" t="e">
        <f>VLOOKUP(E411,Preenchimento!$A:$BV,2,0)</f>
        <v>#N/A</v>
      </c>
      <c r="G409" s="121" t="s">
        <v>295</v>
      </c>
      <c r="I409" s="193" t="e">
        <f>VLOOKUP(H411,Preenchimento!$A:$BV,2,0)</f>
        <v>#N/A</v>
      </c>
      <c r="J409" s="193" t="e">
        <f>VLOOKUP(I411,Preenchimento!$A:$BV,2,0)</f>
        <v>#N/A</v>
      </c>
      <c r="K409" s="193" t="e">
        <f>VLOOKUP(J411,Preenchimento!$A:$BV,2,0)</f>
        <v>#N/A</v>
      </c>
      <c r="L409" s="194" t="e">
        <f>VLOOKUP(K411,Preenchimento!$A:$BV,2,0)</f>
        <v>#N/A</v>
      </c>
      <c r="M409" s="121" t="s">
        <v>295</v>
      </c>
      <c r="O409" s="193" t="e">
        <f>VLOOKUP(N411,Preenchimento!$A:$BV,2,0)</f>
        <v>#N/A</v>
      </c>
      <c r="P409" s="193" t="e">
        <f>VLOOKUP(O411,Preenchimento!$A:$BV,2,0)</f>
        <v>#N/A</v>
      </c>
      <c r="Q409" s="193" t="e">
        <f>VLOOKUP(P411,Preenchimento!$A:$BV,2,0)</f>
        <v>#N/A</v>
      </c>
      <c r="R409" s="194" t="e">
        <f>VLOOKUP(Q411,Preenchimento!$A:$BV,2,0)</f>
        <v>#N/A</v>
      </c>
      <c r="S409" s="121" t="s">
        <v>295</v>
      </c>
      <c r="U409" s="193" t="e">
        <f>VLOOKUP(T411,Preenchimento!$A:$BV,2,0)</f>
        <v>#N/A</v>
      </c>
      <c r="V409" s="193" t="e">
        <f>VLOOKUP(U411,Preenchimento!$A:$BV,2,0)</f>
        <v>#N/A</v>
      </c>
      <c r="W409" s="193" t="e">
        <f>VLOOKUP(V411,Preenchimento!$A:$BV,2,0)</f>
        <v>#N/A</v>
      </c>
      <c r="X409" s="194" t="e">
        <f>VLOOKUP(W411,Preenchimento!$A:$BV,2,0)</f>
        <v>#N/A</v>
      </c>
    </row>
    <row r="410" spans="1:24" ht="9.75" customHeight="1" x14ac:dyDescent="0.15">
      <c r="A410" s="121" t="s">
        <v>296</v>
      </c>
      <c r="B410" s="193" t="e">
        <f>VLOOKUP(B411,Preenchimento!$A:$BV,3,0)</f>
        <v>#N/A</v>
      </c>
      <c r="C410" s="193" t="e">
        <f>VLOOKUP(C411,Preenchimento!$A:$BV,3,0)</f>
        <v>#N/A</v>
      </c>
      <c r="D410" s="120" t="s">
        <v>297</v>
      </c>
      <c r="E410" s="197" t="e">
        <f>VLOOKUP(B411,Preenchimento!$A:$BV,5,0)</f>
        <v>#N/A</v>
      </c>
      <c r="F410" s="198" t="e">
        <f>VLOOKUP(C411,Preenchimento!$A:$BV,5,0)</f>
        <v>#N/A</v>
      </c>
      <c r="G410" s="121" t="s">
        <v>296</v>
      </c>
      <c r="H410" s="193" t="e">
        <f>VLOOKUP(H411,Preenchimento!$A:$BV,3,0)</f>
        <v>#N/A</v>
      </c>
      <c r="I410" s="193" t="e">
        <f>VLOOKUP(I411,Preenchimento!$A:$BV,3,0)</f>
        <v>#N/A</v>
      </c>
      <c r="J410" s="120" t="s">
        <v>297</v>
      </c>
      <c r="K410" s="197" t="e">
        <f>VLOOKUP(H411,Preenchimento!$A:$BV,5,0)</f>
        <v>#N/A</v>
      </c>
      <c r="L410" s="198" t="e">
        <f>VLOOKUP(I411,Preenchimento!$A:$BV,5,0)</f>
        <v>#N/A</v>
      </c>
      <c r="M410" s="121" t="s">
        <v>296</v>
      </c>
      <c r="N410" s="193" t="e">
        <f>VLOOKUP(N411,Preenchimento!$A:$BV,3,0)</f>
        <v>#N/A</v>
      </c>
      <c r="O410" s="193" t="e">
        <f>VLOOKUP(O411,Preenchimento!$A:$BV,3,0)</f>
        <v>#N/A</v>
      </c>
      <c r="P410" s="120" t="s">
        <v>297</v>
      </c>
      <c r="Q410" s="197" t="e">
        <f>VLOOKUP(N411,Preenchimento!$A:$BV,5,0)</f>
        <v>#N/A</v>
      </c>
      <c r="R410" s="198" t="e">
        <f>VLOOKUP(O411,Preenchimento!$A:$BV,5,0)</f>
        <v>#N/A</v>
      </c>
      <c r="S410" s="121" t="s">
        <v>296</v>
      </c>
      <c r="T410" s="193" t="e">
        <f>VLOOKUP(T411,Preenchimento!$A:$BV,3,0)</f>
        <v>#N/A</v>
      </c>
      <c r="U410" s="193" t="e">
        <f>VLOOKUP(U411,Preenchimento!$A:$BV,3,0)</f>
        <v>#N/A</v>
      </c>
      <c r="V410" s="120" t="s">
        <v>297</v>
      </c>
      <c r="W410" s="197" t="e">
        <f>VLOOKUP(T411,Preenchimento!$A:$BV,5,0)</f>
        <v>#N/A</v>
      </c>
      <c r="X410" s="198" t="e">
        <f>VLOOKUP(U411,Preenchimento!$A:$BV,5,0)</f>
        <v>#N/A</v>
      </c>
    </row>
    <row r="411" spans="1:24" ht="9.75" customHeight="1" x14ac:dyDescent="0.15">
      <c r="A411" s="121" t="s">
        <v>298</v>
      </c>
      <c r="B411" s="193"/>
      <c r="C411" s="193"/>
      <c r="D411" s="120" t="s">
        <v>299</v>
      </c>
      <c r="F411" s="131" t="e">
        <f>VLOOKUP(B411,Preenchimento!$A:$BV,10,0)</f>
        <v>#N/A</v>
      </c>
      <c r="G411" s="121" t="s">
        <v>298</v>
      </c>
      <c r="H411" s="193"/>
      <c r="I411" s="193"/>
      <c r="J411" s="120" t="s">
        <v>299</v>
      </c>
      <c r="L411" s="131" t="e">
        <f>VLOOKUP(H411,Preenchimento!$A:$BV,10,0)</f>
        <v>#N/A</v>
      </c>
      <c r="M411" s="121" t="s">
        <v>298</v>
      </c>
      <c r="N411" s="193"/>
      <c r="O411" s="193"/>
      <c r="P411" s="120" t="s">
        <v>299</v>
      </c>
      <c r="R411" s="131" t="e">
        <f>VLOOKUP(N411,Preenchimento!$A:$BV,10,0)</f>
        <v>#N/A</v>
      </c>
      <c r="S411" s="121" t="s">
        <v>298</v>
      </c>
      <c r="T411" s="193"/>
      <c r="U411" s="193"/>
      <c r="V411" s="120" t="s">
        <v>299</v>
      </c>
      <c r="X411" s="131" t="e">
        <f>VLOOKUP(T411,Preenchimento!$A:$BV,10,0)</f>
        <v>#N/A</v>
      </c>
    </row>
    <row r="412" spans="1:24" ht="9.75" customHeight="1" x14ac:dyDescent="0.15">
      <c r="A412" s="121" t="s">
        <v>300</v>
      </c>
      <c r="C412" s="193" t="e">
        <f>VLOOKUP(B411,Preenchimento!$A:$BV,12,0)</f>
        <v>#N/A</v>
      </c>
      <c r="D412" s="193" t="e">
        <f>VLOOKUP(C411,Preenchimento!$A:$BV,12,0)</f>
        <v>#N/A</v>
      </c>
      <c r="E412" s="193" t="e">
        <f>VLOOKUP(D411,Preenchimento!$A:$BV,12,0)</f>
        <v>#N/A</v>
      </c>
      <c r="F412" s="194" t="e">
        <f>VLOOKUP(E411,Preenchimento!$A:$BV,12,0)</f>
        <v>#N/A</v>
      </c>
      <c r="G412" s="121" t="s">
        <v>300</v>
      </c>
      <c r="I412" s="193" t="e">
        <f>VLOOKUP(H411,Preenchimento!$A:$BV,12,0)</f>
        <v>#N/A</v>
      </c>
      <c r="J412" s="193" t="e">
        <f>VLOOKUP(I411,Preenchimento!$A:$BV,12,0)</f>
        <v>#N/A</v>
      </c>
      <c r="K412" s="193" t="e">
        <f>VLOOKUP(J411,Preenchimento!$A:$BV,12,0)</f>
        <v>#N/A</v>
      </c>
      <c r="L412" s="194" t="e">
        <f>VLOOKUP(K411,Preenchimento!$A:$BV,12,0)</f>
        <v>#N/A</v>
      </c>
      <c r="M412" s="121" t="s">
        <v>300</v>
      </c>
      <c r="O412" s="193" t="e">
        <f>VLOOKUP(N411,Preenchimento!$A:$BV,12,0)</f>
        <v>#N/A</v>
      </c>
      <c r="P412" s="193" t="e">
        <f>VLOOKUP(O411,Preenchimento!$A:$BV,12,0)</f>
        <v>#N/A</v>
      </c>
      <c r="Q412" s="193" t="e">
        <f>VLOOKUP(P411,Preenchimento!$A:$BV,12,0)</f>
        <v>#N/A</v>
      </c>
      <c r="R412" s="194" t="e">
        <f>VLOOKUP(Q411,Preenchimento!$A:$BV,12,0)</f>
        <v>#N/A</v>
      </c>
      <c r="S412" s="121" t="s">
        <v>300</v>
      </c>
      <c r="U412" s="193" t="e">
        <f>VLOOKUP(T411,Preenchimento!$A:$BV,12,0)</f>
        <v>#N/A</v>
      </c>
      <c r="V412" s="193" t="e">
        <f>VLOOKUP(U411,Preenchimento!$A:$BV,12,0)</f>
        <v>#N/A</v>
      </c>
      <c r="W412" s="193" t="e">
        <f>VLOOKUP(V411,Preenchimento!$A:$BV,12,0)</f>
        <v>#N/A</v>
      </c>
      <c r="X412" s="194" t="e">
        <f>VLOOKUP(W411,Preenchimento!$A:$BV,12,0)</f>
        <v>#N/A</v>
      </c>
    </row>
    <row r="413" spans="1:24" ht="9.75" customHeight="1" x14ac:dyDescent="0.15">
      <c r="A413" s="123" t="s">
        <v>301</v>
      </c>
      <c r="B413" s="195" t="e">
        <f>IF(VLOOKUP(B411,Preenchimento!$A:$BV,11,0)=0,"",VLOOKUP(B411,Preenchimento!$A:$BV,11,0))</f>
        <v>#N/A</v>
      </c>
      <c r="C413" s="195"/>
      <c r="D413" s="195"/>
      <c r="E413" s="195"/>
      <c r="F413" s="196"/>
      <c r="G413" s="123" t="s">
        <v>301</v>
      </c>
      <c r="H413" s="195" t="e">
        <f>IF(VLOOKUP(H411,Preenchimento!$A:$BV,11,0)=0,"",VLOOKUP(H411,Preenchimento!$A:$BV,11,0))</f>
        <v>#N/A</v>
      </c>
      <c r="I413" s="195"/>
      <c r="J413" s="195"/>
      <c r="K413" s="195"/>
      <c r="L413" s="196"/>
      <c r="M413" s="123" t="s">
        <v>301</v>
      </c>
      <c r="N413" s="195" t="e">
        <f>IF(VLOOKUP(N411,Preenchimento!$A:$BV,11,0)=0,"",VLOOKUP(N411,Preenchimento!$A:$BV,11,0))</f>
        <v>#N/A</v>
      </c>
      <c r="O413" s="195"/>
      <c r="P413" s="195"/>
      <c r="Q413" s="195"/>
      <c r="R413" s="196"/>
      <c r="S413" s="123" t="s">
        <v>301</v>
      </c>
      <c r="T413" s="195" t="e">
        <f>IF(VLOOKUP(T411,Preenchimento!$A:$BV,11,0)=0,"",VLOOKUP(T411,Preenchimento!$A:$BV,11,0))</f>
        <v>#N/A</v>
      </c>
      <c r="U413" s="195"/>
      <c r="V413" s="195"/>
      <c r="W413" s="195"/>
      <c r="X413" s="196"/>
    </row>
    <row r="414" spans="1:24" s="130" customFormat="1" ht="33.950000000000003" customHeight="1" x14ac:dyDescent="0.25">
      <c r="A414" s="199" t="str">
        <f>Sitio!$A$3</f>
        <v>Projeto 01</v>
      </c>
      <c r="B414" s="200"/>
      <c r="C414" s="200"/>
      <c r="D414" s="200"/>
      <c r="E414" s="200"/>
      <c r="F414" s="201"/>
      <c r="G414" s="199" t="str">
        <f>Sitio!$A$3</f>
        <v>Projeto 01</v>
      </c>
      <c r="H414" s="200"/>
      <c r="I414" s="200"/>
      <c r="J414" s="200"/>
      <c r="K414" s="200"/>
      <c r="L414" s="201"/>
      <c r="M414" s="199" t="str">
        <f>Sitio!$A$3</f>
        <v>Projeto 01</v>
      </c>
      <c r="N414" s="200"/>
      <c r="O414" s="200"/>
      <c r="P414" s="200"/>
      <c r="Q414" s="200"/>
      <c r="R414" s="201"/>
      <c r="S414" s="199" t="str">
        <f>Sitio!$A$3</f>
        <v>Projeto 01</v>
      </c>
      <c r="T414" s="200"/>
      <c r="U414" s="200"/>
      <c r="V414" s="200"/>
      <c r="W414" s="200"/>
      <c r="X414" s="201"/>
    </row>
    <row r="415" spans="1:24" ht="9.75" customHeight="1" x14ac:dyDescent="0.15">
      <c r="A415" s="121" t="s">
        <v>294</v>
      </c>
      <c r="B415" s="193">
        <f>Sitio!$E$3</f>
        <v>0</v>
      </c>
      <c r="C415" s="193"/>
      <c r="D415" s="193"/>
      <c r="E415" s="193"/>
      <c r="F415" s="194"/>
      <c r="G415" s="121" t="s">
        <v>294</v>
      </c>
      <c r="H415" s="193">
        <f>Sitio!$E$3</f>
        <v>0</v>
      </c>
      <c r="I415" s="193"/>
      <c r="J415" s="193"/>
      <c r="K415" s="193"/>
      <c r="L415" s="194"/>
      <c r="M415" s="121" t="s">
        <v>294</v>
      </c>
      <c r="N415" s="193">
        <f>Sitio!$E$3</f>
        <v>0</v>
      </c>
      <c r="O415" s="193"/>
      <c r="P415" s="193"/>
      <c r="Q415" s="193"/>
      <c r="R415" s="194"/>
      <c r="S415" s="121" t="s">
        <v>294</v>
      </c>
      <c r="T415" s="193">
        <f>Sitio!$E$3</f>
        <v>0</v>
      </c>
      <c r="U415" s="193"/>
      <c r="V415" s="193"/>
      <c r="W415" s="193"/>
      <c r="X415" s="194"/>
    </row>
    <row r="416" spans="1:24" ht="9.75" customHeight="1" x14ac:dyDescent="0.15">
      <c r="A416" s="121" t="s">
        <v>295</v>
      </c>
      <c r="C416" s="193" t="e">
        <f>VLOOKUP(B418,Preenchimento!$A:$BV,2,0)</f>
        <v>#N/A</v>
      </c>
      <c r="D416" s="193" t="e">
        <f>VLOOKUP(C418,Preenchimento!$A:$BV,2,0)</f>
        <v>#N/A</v>
      </c>
      <c r="E416" s="193" t="e">
        <f>VLOOKUP(D418,Preenchimento!$A:$BV,2,0)</f>
        <v>#N/A</v>
      </c>
      <c r="F416" s="194" t="e">
        <f>VLOOKUP(E418,Preenchimento!$A:$BV,2,0)</f>
        <v>#N/A</v>
      </c>
      <c r="G416" s="121" t="s">
        <v>295</v>
      </c>
      <c r="I416" s="193" t="e">
        <f>VLOOKUP(H418,Preenchimento!$A:$BV,2,0)</f>
        <v>#N/A</v>
      </c>
      <c r="J416" s="193" t="e">
        <f>VLOOKUP(I418,Preenchimento!$A:$BV,2,0)</f>
        <v>#N/A</v>
      </c>
      <c r="K416" s="193" t="e">
        <f>VLOOKUP(J418,Preenchimento!$A:$BV,2,0)</f>
        <v>#N/A</v>
      </c>
      <c r="L416" s="194" t="e">
        <f>VLOOKUP(K418,Preenchimento!$A:$BV,2,0)</f>
        <v>#N/A</v>
      </c>
      <c r="M416" s="121" t="s">
        <v>295</v>
      </c>
      <c r="O416" s="193" t="e">
        <f>VLOOKUP(N418,Preenchimento!$A:$BV,2,0)</f>
        <v>#N/A</v>
      </c>
      <c r="P416" s="193" t="e">
        <f>VLOOKUP(O418,Preenchimento!$A:$BV,2,0)</f>
        <v>#N/A</v>
      </c>
      <c r="Q416" s="193" t="e">
        <f>VLOOKUP(P418,Preenchimento!$A:$BV,2,0)</f>
        <v>#N/A</v>
      </c>
      <c r="R416" s="194" t="e">
        <f>VLOOKUP(Q418,Preenchimento!$A:$BV,2,0)</f>
        <v>#N/A</v>
      </c>
      <c r="S416" s="121" t="s">
        <v>295</v>
      </c>
      <c r="U416" s="193" t="e">
        <f>VLOOKUP(T418,Preenchimento!$A:$BV,2,0)</f>
        <v>#N/A</v>
      </c>
      <c r="V416" s="193" t="e">
        <f>VLOOKUP(U418,Preenchimento!$A:$BV,2,0)</f>
        <v>#N/A</v>
      </c>
      <c r="W416" s="193" t="e">
        <f>VLOOKUP(V418,Preenchimento!$A:$BV,2,0)</f>
        <v>#N/A</v>
      </c>
      <c r="X416" s="194" t="e">
        <f>VLOOKUP(W418,Preenchimento!$A:$BV,2,0)</f>
        <v>#N/A</v>
      </c>
    </row>
    <row r="417" spans="1:24" ht="9.75" customHeight="1" x14ac:dyDescent="0.15">
      <c r="A417" s="121" t="s">
        <v>296</v>
      </c>
      <c r="B417" s="193" t="e">
        <f>VLOOKUP(B418,Preenchimento!$A:$BV,3,0)</f>
        <v>#N/A</v>
      </c>
      <c r="C417" s="193" t="e">
        <f>VLOOKUP(C418,Preenchimento!$A:$BV,3,0)</f>
        <v>#N/A</v>
      </c>
      <c r="D417" s="120" t="s">
        <v>297</v>
      </c>
      <c r="E417" s="197" t="e">
        <f>VLOOKUP(B418,Preenchimento!$A:$BV,5,0)</f>
        <v>#N/A</v>
      </c>
      <c r="F417" s="198" t="e">
        <f>VLOOKUP(C418,Preenchimento!$A:$BV,5,0)</f>
        <v>#N/A</v>
      </c>
      <c r="G417" s="121" t="s">
        <v>296</v>
      </c>
      <c r="H417" s="193" t="e">
        <f>VLOOKUP(H418,Preenchimento!$A:$BV,3,0)</f>
        <v>#N/A</v>
      </c>
      <c r="I417" s="193" t="e">
        <f>VLOOKUP(I418,Preenchimento!$A:$BV,3,0)</f>
        <v>#N/A</v>
      </c>
      <c r="J417" s="120" t="s">
        <v>297</v>
      </c>
      <c r="K417" s="197" t="e">
        <f>VLOOKUP(H418,Preenchimento!$A:$BV,5,0)</f>
        <v>#N/A</v>
      </c>
      <c r="L417" s="198" t="e">
        <f>VLOOKUP(I418,Preenchimento!$A:$BV,5,0)</f>
        <v>#N/A</v>
      </c>
      <c r="M417" s="121" t="s">
        <v>296</v>
      </c>
      <c r="N417" s="193" t="e">
        <f>VLOOKUP(N418,Preenchimento!$A:$BV,3,0)</f>
        <v>#N/A</v>
      </c>
      <c r="O417" s="193" t="e">
        <f>VLOOKUP(O418,Preenchimento!$A:$BV,3,0)</f>
        <v>#N/A</v>
      </c>
      <c r="P417" s="120" t="s">
        <v>297</v>
      </c>
      <c r="Q417" s="197" t="e">
        <f>VLOOKUP(N418,Preenchimento!$A:$BV,5,0)</f>
        <v>#N/A</v>
      </c>
      <c r="R417" s="198" t="e">
        <f>VLOOKUP(O418,Preenchimento!$A:$BV,5,0)</f>
        <v>#N/A</v>
      </c>
      <c r="S417" s="121" t="s">
        <v>296</v>
      </c>
      <c r="T417" s="193" t="e">
        <f>VLOOKUP(T418,Preenchimento!$A:$BV,3,0)</f>
        <v>#N/A</v>
      </c>
      <c r="U417" s="193" t="e">
        <f>VLOOKUP(U418,Preenchimento!$A:$BV,3,0)</f>
        <v>#N/A</v>
      </c>
      <c r="V417" s="120" t="s">
        <v>297</v>
      </c>
      <c r="W417" s="197" t="e">
        <f>VLOOKUP(T418,Preenchimento!$A:$BV,5,0)</f>
        <v>#N/A</v>
      </c>
      <c r="X417" s="198" t="e">
        <f>VLOOKUP(U418,Preenchimento!$A:$BV,5,0)</f>
        <v>#N/A</v>
      </c>
    </row>
    <row r="418" spans="1:24" ht="9.75" customHeight="1" x14ac:dyDescent="0.15">
      <c r="A418" s="121" t="s">
        <v>298</v>
      </c>
      <c r="B418" s="193"/>
      <c r="C418" s="193"/>
      <c r="D418" s="120" t="s">
        <v>299</v>
      </c>
      <c r="F418" s="131" t="e">
        <f>VLOOKUP(B418,Preenchimento!$A:$BV,10,0)</f>
        <v>#N/A</v>
      </c>
      <c r="G418" s="121" t="s">
        <v>298</v>
      </c>
      <c r="H418" s="193"/>
      <c r="I418" s="193"/>
      <c r="J418" s="120" t="s">
        <v>299</v>
      </c>
      <c r="L418" s="131" t="e">
        <f>VLOOKUP(H418,Preenchimento!$A:$BV,10,0)</f>
        <v>#N/A</v>
      </c>
      <c r="M418" s="121" t="s">
        <v>298</v>
      </c>
      <c r="N418" s="193"/>
      <c r="O418" s="193"/>
      <c r="P418" s="120" t="s">
        <v>299</v>
      </c>
      <c r="R418" s="131" t="e">
        <f>VLOOKUP(N418,Preenchimento!$A:$BV,10,0)</f>
        <v>#N/A</v>
      </c>
      <c r="S418" s="121" t="s">
        <v>298</v>
      </c>
      <c r="T418" s="193"/>
      <c r="U418" s="193"/>
      <c r="V418" s="120" t="s">
        <v>299</v>
      </c>
      <c r="X418" s="131" t="e">
        <f>VLOOKUP(T418,Preenchimento!$A:$BV,10,0)</f>
        <v>#N/A</v>
      </c>
    </row>
    <row r="419" spans="1:24" ht="9.75" customHeight="1" x14ac:dyDescent="0.15">
      <c r="A419" s="121" t="s">
        <v>300</v>
      </c>
      <c r="C419" s="193" t="e">
        <f>VLOOKUP(B418,Preenchimento!$A:$BV,12,0)</f>
        <v>#N/A</v>
      </c>
      <c r="D419" s="193" t="e">
        <f>VLOOKUP(C418,Preenchimento!$A:$BV,12,0)</f>
        <v>#N/A</v>
      </c>
      <c r="E419" s="193" t="e">
        <f>VLOOKUP(D418,Preenchimento!$A:$BV,12,0)</f>
        <v>#N/A</v>
      </c>
      <c r="F419" s="194" t="e">
        <f>VLOOKUP(E418,Preenchimento!$A:$BV,12,0)</f>
        <v>#N/A</v>
      </c>
      <c r="G419" s="121" t="s">
        <v>300</v>
      </c>
      <c r="I419" s="193" t="e">
        <f>VLOOKUP(H418,Preenchimento!$A:$BV,12,0)</f>
        <v>#N/A</v>
      </c>
      <c r="J419" s="193" t="e">
        <f>VLOOKUP(I418,Preenchimento!$A:$BV,12,0)</f>
        <v>#N/A</v>
      </c>
      <c r="K419" s="193" t="e">
        <f>VLOOKUP(J418,Preenchimento!$A:$BV,12,0)</f>
        <v>#N/A</v>
      </c>
      <c r="L419" s="194" t="e">
        <f>VLOOKUP(K418,Preenchimento!$A:$BV,12,0)</f>
        <v>#N/A</v>
      </c>
      <c r="M419" s="121" t="s">
        <v>300</v>
      </c>
      <c r="O419" s="193" t="e">
        <f>VLOOKUP(N418,Preenchimento!$A:$BV,12,0)</f>
        <v>#N/A</v>
      </c>
      <c r="P419" s="193" t="e">
        <f>VLOOKUP(O418,Preenchimento!$A:$BV,12,0)</f>
        <v>#N/A</v>
      </c>
      <c r="Q419" s="193" t="e">
        <f>VLOOKUP(P418,Preenchimento!$A:$BV,12,0)</f>
        <v>#N/A</v>
      </c>
      <c r="R419" s="194" t="e">
        <f>VLOOKUP(Q418,Preenchimento!$A:$BV,12,0)</f>
        <v>#N/A</v>
      </c>
      <c r="S419" s="121" t="s">
        <v>300</v>
      </c>
      <c r="U419" s="193" t="e">
        <f>VLOOKUP(T418,Preenchimento!$A:$BV,12,0)</f>
        <v>#N/A</v>
      </c>
      <c r="V419" s="193" t="e">
        <f>VLOOKUP(U418,Preenchimento!$A:$BV,12,0)</f>
        <v>#N/A</v>
      </c>
      <c r="W419" s="193" t="e">
        <f>VLOOKUP(V418,Preenchimento!$A:$BV,12,0)</f>
        <v>#N/A</v>
      </c>
      <c r="X419" s="194" t="e">
        <f>VLOOKUP(W418,Preenchimento!$A:$BV,12,0)</f>
        <v>#N/A</v>
      </c>
    </row>
    <row r="420" spans="1:24" ht="9.75" customHeight="1" x14ac:dyDescent="0.15">
      <c r="A420" s="123" t="s">
        <v>301</v>
      </c>
      <c r="B420" s="195" t="e">
        <f>IF(VLOOKUP(B418,Preenchimento!$A:$BV,11,0)=0,"",VLOOKUP(B418,Preenchimento!$A:$BV,11,0))</f>
        <v>#N/A</v>
      </c>
      <c r="C420" s="195"/>
      <c r="D420" s="195"/>
      <c r="E420" s="195"/>
      <c r="F420" s="196"/>
      <c r="G420" s="123" t="s">
        <v>301</v>
      </c>
      <c r="H420" s="195" t="e">
        <f>IF(VLOOKUP(H418,Preenchimento!$A:$BV,11,0)=0,"",VLOOKUP(H418,Preenchimento!$A:$BV,11,0))</f>
        <v>#N/A</v>
      </c>
      <c r="I420" s="195"/>
      <c r="J420" s="195"/>
      <c r="K420" s="195"/>
      <c r="L420" s="196"/>
      <c r="M420" s="123" t="s">
        <v>301</v>
      </c>
      <c r="N420" s="195" t="e">
        <f>IF(VLOOKUP(N418,Preenchimento!$A:$BV,11,0)=0,"",VLOOKUP(N418,Preenchimento!$A:$BV,11,0))</f>
        <v>#N/A</v>
      </c>
      <c r="O420" s="195"/>
      <c r="P420" s="195"/>
      <c r="Q420" s="195"/>
      <c r="R420" s="196"/>
      <c r="S420" s="123" t="s">
        <v>301</v>
      </c>
      <c r="T420" s="195" t="e">
        <f>IF(VLOOKUP(T418,Preenchimento!$A:$BV,11,0)=0,"",VLOOKUP(T418,Preenchimento!$A:$BV,11,0))</f>
        <v>#N/A</v>
      </c>
      <c r="U420" s="195"/>
      <c r="V420" s="195"/>
      <c r="W420" s="195"/>
      <c r="X420" s="196"/>
    </row>
    <row r="424" spans="1:24" ht="9.75" customHeight="1" x14ac:dyDescent="0.15">
      <c r="E424" s="128"/>
      <c r="K424" s="128"/>
      <c r="Q424" s="128"/>
      <c r="W424" s="128"/>
    </row>
  </sheetData>
  <mergeCells count="1920">
    <mergeCell ref="C419:F419"/>
    <mergeCell ref="I419:L419"/>
    <mergeCell ref="O419:R419"/>
    <mergeCell ref="U419:X419"/>
    <mergeCell ref="B420:F420"/>
    <mergeCell ref="H420:L420"/>
    <mergeCell ref="N420:R420"/>
    <mergeCell ref="T420:X420"/>
    <mergeCell ref="T417:U417"/>
    <mergeCell ref="W417:X417"/>
    <mergeCell ref="B418:C418"/>
    <mergeCell ref="H418:I418"/>
    <mergeCell ref="N418:O418"/>
    <mergeCell ref="T418:U418"/>
    <mergeCell ref="C416:F416"/>
    <mergeCell ref="I416:L416"/>
    <mergeCell ref="O416:R416"/>
    <mergeCell ref="U416:X416"/>
    <mergeCell ref="B417:C417"/>
    <mergeCell ref="E417:F417"/>
    <mergeCell ref="H417:I417"/>
    <mergeCell ref="K417:L417"/>
    <mergeCell ref="N417:O417"/>
    <mergeCell ref="Q417:R417"/>
    <mergeCell ref="A414:F414"/>
    <mergeCell ref="G414:L414"/>
    <mergeCell ref="M414:R414"/>
    <mergeCell ref="S414:X414"/>
    <mergeCell ref="B415:F415"/>
    <mergeCell ref="H415:L415"/>
    <mergeCell ref="N415:R415"/>
    <mergeCell ref="T415:X415"/>
    <mergeCell ref="C412:F412"/>
    <mergeCell ref="I412:L412"/>
    <mergeCell ref="O412:R412"/>
    <mergeCell ref="U412:X412"/>
    <mergeCell ref="B413:F413"/>
    <mergeCell ref="H413:L413"/>
    <mergeCell ref="N413:R413"/>
    <mergeCell ref="T413:X413"/>
    <mergeCell ref="T410:U410"/>
    <mergeCell ref="W410:X410"/>
    <mergeCell ref="B411:C411"/>
    <mergeCell ref="H411:I411"/>
    <mergeCell ref="N411:O411"/>
    <mergeCell ref="T411:U411"/>
    <mergeCell ref="C409:F409"/>
    <mergeCell ref="I409:L409"/>
    <mergeCell ref="O409:R409"/>
    <mergeCell ref="U409:X409"/>
    <mergeCell ref="B410:C410"/>
    <mergeCell ref="E410:F410"/>
    <mergeCell ref="H410:I410"/>
    <mergeCell ref="K410:L410"/>
    <mergeCell ref="N410:O410"/>
    <mergeCell ref="Q410:R410"/>
    <mergeCell ref="A407:F407"/>
    <mergeCell ref="G407:L407"/>
    <mergeCell ref="M407:R407"/>
    <mergeCell ref="S407:X407"/>
    <mergeCell ref="B408:F408"/>
    <mergeCell ref="H408:L408"/>
    <mergeCell ref="N408:R408"/>
    <mergeCell ref="T408:X408"/>
    <mergeCell ref="C405:F405"/>
    <mergeCell ref="I405:L405"/>
    <mergeCell ref="O405:R405"/>
    <mergeCell ref="U405:X405"/>
    <mergeCell ref="B406:F406"/>
    <mergeCell ref="H406:L406"/>
    <mergeCell ref="N406:R406"/>
    <mergeCell ref="T406:X406"/>
    <mergeCell ref="T403:U403"/>
    <mergeCell ref="W403:X403"/>
    <mergeCell ref="B404:C404"/>
    <mergeCell ref="H404:I404"/>
    <mergeCell ref="N404:O404"/>
    <mergeCell ref="T404:U404"/>
    <mergeCell ref="C402:F402"/>
    <mergeCell ref="I402:L402"/>
    <mergeCell ref="O402:R402"/>
    <mergeCell ref="U402:X402"/>
    <mergeCell ref="B403:C403"/>
    <mergeCell ref="E403:F403"/>
    <mergeCell ref="H403:I403"/>
    <mergeCell ref="K403:L403"/>
    <mergeCell ref="N403:O403"/>
    <mergeCell ref="Q403:R403"/>
    <mergeCell ref="A400:F400"/>
    <mergeCell ref="G400:L400"/>
    <mergeCell ref="M400:R400"/>
    <mergeCell ref="S400:X400"/>
    <mergeCell ref="B401:F401"/>
    <mergeCell ref="H401:L401"/>
    <mergeCell ref="N401:R401"/>
    <mergeCell ref="T401:X401"/>
    <mergeCell ref="C398:F398"/>
    <mergeCell ref="I398:L398"/>
    <mergeCell ref="O398:R398"/>
    <mergeCell ref="U398:X398"/>
    <mergeCell ref="B399:F399"/>
    <mergeCell ref="H399:L399"/>
    <mergeCell ref="N399:R399"/>
    <mergeCell ref="T399:X399"/>
    <mergeCell ref="T396:U396"/>
    <mergeCell ref="W396:X396"/>
    <mergeCell ref="B397:C397"/>
    <mergeCell ref="H397:I397"/>
    <mergeCell ref="N397:O397"/>
    <mergeCell ref="T397:U397"/>
    <mergeCell ref="C395:F395"/>
    <mergeCell ref="I395:L395"/>
    <mergeCell ref="O395:R395"/>
    <mergeCell ref="U395:X395"/>
    <mergeCell ref="B396:C396"/>
    <mergeCell ref="E396:F396"/>
    <mergeCell ref="H396:I396"/>
    <mergeCell ref="K396:L396"/>
    <mergeCell ref="N396:O396"/>
    <mergeCell ref="Q396:R396"/>
    <mergeCell ref="A393:F393"/>
    <mergeCell ref="G393:L393"/>
    <mergeCell ref="M393:R393"/>
    <mergeCell ref="S393:X393"/>
    <mergeCell ref="B394:F394"/>
    <mergeCell ref="H394:L394"/>
    <mergeCell ref="N394:R394"/>
    <mergeCell ref="T394:X394"/>
    <mergeCell ref="C391:F391"/>
    <mergeCell ref="I391:L391"/>
    <mergeCell ref="O391:R391"/>
    <mergeCell ref="U391:X391"/>
    <mergeCell ref="B392:F392"/>
    <mergeCell ref="H392:L392"/>
    <mergeCell ref="N392:R392"/>
    <mergeCell ref="T392:X392"/>
    <mergeCell ref="T389:U389"/>
    <mergeCell ref="W389:X389"/>
    <mergeCell ref="B390:C390"/>
    <mergeCell ref="H390:I390"/>
    <mergeCell ref="N390:O390"/>
    <mergeCell ref="T390:U390"/>
    <mergeCell ref="C388:F388"/>
    <mergeCell ref="I388:L388"/>
    <mergeCell ref="O388:R388"/>
    <mergeCell ref="U388:X388"/>
    <mergeCell ref="B389:C389"/>
    <mergeCell ref="E389:F389"/>
    <mergeCell ref="H389:I389"/>
    <mergeCell ref="K389:L389"/>
    <mergeCell ref="N389:O389"/>
    <mergeCell ref="Q389:R389"/>
    <mergeCell ref="A386:F386"/>
    <mergeCell ref="G386:L386"/>
    <mergeCell ref="M386:R386"/>
    <mergeCell ref="S386:X386"/>
    <mergeCell ref="B387:F387"/>
    <mergeCell ref="H387:L387"/>
    <mergeCell ref="N387:R387"/>
    <mergeCell ref="T387:X387"/>
    <mergeCell ref="C384:F384"/>
    <mergeCell ref="I384:L384"/>
    <mergeCell ref="O384:R384"/>
    <mergeCell ref="U384:X384"/>
    <mergeCell ref="B385:F385"/>
    <mergeCell ref="H385:L385"/>
    <mergeCell ref="N385:R385"/>
    <mergeCell ref="T385:X385"/>
    <mergeCell ref="T382:U382"/>
    <mergeCell ref="W382:X382"/>
    <mergeCell ref="B383:C383"/>
    <mergeCell ref="H383:I383"/>
    <mergeCell ref="N383:O383"/>
    <mergeCell ref="T383:U383"/>
    <mergeCell ref="C381:F381"/>
    <mergeCell ref="I381:L381"/>
    <mergeCell ref="O381:R381"/>
    <mergeCell ref="U381:X381"/>
    <mergeCell ref="B382:C382"/>
    <mergeCell ref="E382:F382"/>
    <mergeCell ref="H382:I382"/>
    <mergeCell ref="K382:L382"/>
    <mergeCell ref="N382:O382"/>
    <mergeCell ref="Q382:R382"/>
    <mergeCell ref="A379:F379"/>
    <mergeCell ref="G379:L379"/>
    <mergeCell ref="M379:R379"/>
    <mergeCell ref="S379:X379"/>
    <mergeCell ref="B380:F380"/>
    <mergeCell ref="H380:L380"/>
    <mergeCell ref="N380:R380"/>
    <mergeCell ref="T380:X380"/>
    <mergeCell ref="C377:F377"/>
    <mergeCell ref="I377:L377"/>
    <mergeCell ref="O377:R377"/>
    <mergeCell ref="U377:X377"/>
    <mergeCell ref="B378:F378"/>
    <mergeCell ref="H378:L378"/>
    <mergeCell ref="N378:R378"/>
    <mergeCell ref="T378:X378"/>
    <mergeCell ref="T375:U375"/>
    <mergeCell ref="W375:X375"/>
    <mergeCell ref="B376:C376"/>
    <mergeCell ref="H376:I376"/>
    <mergeCell ref="N376:O376"/>
    <mergeCell ref="T376:U376"/>
    <mergeCell ref="C374:F374"/>
    <mergeCell ref="I374:L374"/>
    <mergeCell ref="O374:R374"/>
    <mergeCell ref="U374:X374"/>
    <mergeCell ref="B375:C375"/>
    <mergeCell ref="E375:F375"/>
    <mergeCell ref="H375:I375"/>
    <mergeCell ref="K375:L375"/>
    <mergeCell ref="N375:O375"/>
    <mergeCell ref="Q375:R375"/>
    <mergeCell ref="A372:F372"/>
    <mergeCell ref="G372:L372"/>
    <mergeCell ref="M372:R372"/>
    <mergeCell ref="S372:X372"/>
    <mergeCell ref="B373:F373"/>
    <mergeCell ref="H373:L373"/>
    <mergeCell ref="N373:R373"/>
    <mergeCell ref="T373:X373"/>
    <mergeCell ref="C370:F370"/>
    <mergeCell ref="I370:L370"/>
    <mergeCell ref="O370:R370"/>
    <mergeCell ref="U370:X370"/>
    <mergeCell ref="B371:F371"/>
    <mergeCell ref="H371:L371"/>
    <mergeCell ref="N371:R371"/>
    <mergeCell ref="T371:X371"/>
    <mergeCell ref="T368:U368"/>
    <mergeCell ref="W368:X368"/>
    <mergeCell ref="B369:C369"/>
    <mergeCell ref="H369:I369"/>
    <mergeCell ref="N369:O369"/>
    <mergeCell ref="T369:U369"/>
    <mergeCell ref="C367:F367"/>
    <mergeCell ref="I367:L367"/>
    <mergeCell ref="O367:R367"/>
    <mergeCell ref="U367:X367"/>
    <mergeCell ref="B368:C368"/>
    <mergeCell ref="E368:F368"/>
    <mergeCell ref="H368:I368"/>
    <mergeCell ref="K368:L368"/>
    <mergeCell ref="N368:O368"/>
    <mergeCell ref="Q368:R368"/>
    <mergeCell ref="A365:F365"/>
    <mergeCell ref="G365:L365"/>
    <mergeCell ref="M365:R365"/>
    <mergeCell ref="S365:X365"/>
    <mergeCell ref="B366:F366"/>
    <mergeCell ref="H366:L366"/>
    <mergeCell ref="N366:R366"/>
    <mergeCell ref="T366:X366"/>
    <mergeCell ref="C363:F363"/>
    <mergeCell ref="I363:L363"/>
    <mergeCell ref="O363:R363"/>
    <mergeCell ref="U363:X363"/>
    <mergeCell ref="B364:F364"/>
    <mergeCell ref="H364:L364"/>
    <mergeCell ref="N364:R364"/>
    <mergeCell ref="T364:X364"/>
    <mergeCell ref="T361:U361"/>
    <mergeCell ref="W361:X361"/>
    <mergeCell ref="B362:C362"/>
    <mergeCell ref="H362:I362"/>
    <mergeCell ref="N362:O362"/>
    <mergeCell ref="T362:U362"/>
    <mergeCell ref="C360:F360"/>
    <mergeCell ref="I360:L360"/>
    <mergeCell ref="O360:R360"/>
    <mergeCell ref="U360:X360"/>
    <mergeCell ref="B361:C361"/>
    <mergeCell ref="E361:F361"/>
    <mergeCell ref="H361:I361"/>
    <mergeCell ref="K361:L361"/>
    <mergeCell ref="N361:O361"/>
    <mergeCell ref="Q361:R361"/>
    <mergeCell ref="A358:F358"/>
    <mergeCell ref="G358:L358"/>
    <mergeCell ref="M358:R358"/>
    <mergeCell ref="S358:X358"/>
    <mergeCell ref="B359:F359"/>
    <mergeCell ref="H359:L359"/>
    <mergeCell ref="N359:R359"/>
    <mergeCell ref="T359:X359"/>
    <mergeCell ref="C356:F356"/>
    <mergeCell ref="I356:L356"/>
    <mergeCell ref="O356:R356"/>
    <mergeCell ref="U356:X356"/>
    <mergeCell ref="B357:F357"/>
    <mergeCell ref="H357:L357"/>
    <mergeCell ref="N357:R357"/>
    <mergeCell ref="T357:X357"/>
    <mergeCell ref="T354:U354"/>
    <mergeCell ref="W354:X354"/>
    <mergeCell ref="B355:C355"/>
    <mergeCell ref="H355:I355"/>
    <mergeCell ref="N355:O355"/>
    <mergeCell ref="T355:U355"/>
    <mergeCell ref="C353:F353"/>
    <mergeCell ref="I353:L353"/>
    <mergeCell ref="O353:R353"/>
    <mergeCell ref="U353:X353"/>
    <mergeCell ref="B354:C354"/>
    <mergeCell ref="E354:F354"/>
    <mergeCell ref="H354:I354"/>
    <mergeCell ref="K354:L354"/>
    <mergeCell ref="N354:O354"/>
    <mergeCell ref="Q354:R354"/>
    <mergeCell ref="A351:F351"/>
    <mergeCell ref="G351:L351"/>
    <mergeCell ref="M351:R351"/>
    <mergeCell ref="S351:X351"/>
    <mergeCell ref="B352:F352"/>
    <mergeCell ref="H352:L352"/>
    <mergeCell ref="N352:R352"/>
    <mergeCell ref="T352:X352"/>
    <mergeCell ref="C349:F349"/>
    <mergeCell ref="I349:L349"/>
    <mergeCell ref="O349:R349"/>
    <mergeCell ref="U349:X349"/>
    <mergeCell ref="B350:F350"/>
    <mergeCell ref="H350:L350"/>
    <mergeCell ref="N350:R350"/>
    <mergeCell ref="T350:X350"/>
    <mergeCell ref="T347:U347"/>
    <mergeCell ref="W347:X347"/>
    <mergeCell ref="B348:C348"/>
    <mergeCell ref="H348:I348"/>
    <mergeCell ref="N348:O348"/>
    <mergeCell ref="T348:U348"/>
    <mergeCell ref="C346:F346"/>
    <mergeCell ref="I346:L346"/>
    <mergeCell ref="O346:R346"/>
    <mergeCell ref="U346:X346"/>
    <mergeCell ref="B347:C347"/>
    <mergeCell ref="E347:F347"/>
    <mergeCell ref="H347:I347"/>
    <mergeCell ref="K347:L347"/>
    <mergeCell ref="N347:O347"/>
    <mergeCell ref="Q347:R347"/>
    <mergeCell ref="A344:F344"/>
    <mergeCell ref="G344:L344"/>
    <mergeCell ref="M344:R344"/>
    <mergeCell ref="S344:X344"/>
    <mergeCell ref="B345:F345"/>
    <mergeCell ref="H345:L345"/>
    <mergeCell ref="N345:R345"/>
    <mergeCell ref="T345:X345"/>
    <mergeCell ref="C342:F342"/>
    <mergeCell ref="I342:L342"/>
    <mergeCell ref="O342:R342"/>
    <mergeCell ref="U342:X342"/>
    <mergeCell ref="B343:F343"/>
    <mergeCell ref="H343:L343"/>
    <mergeCell ref="N343:R343"/>
    <mergeCell ref="T343:X343"/>
    <mergeCell ref="T340:U340"/>
    <mergeCell ref="W340:X340"/>
    <mergeCell ref="B341:C341"/>
    <mergeCell ref="H341:I341"/>
    <mergeCell ref="N341:O341"/>
    <mergeCell ref="T341:U341"/>
    <mergeCell ref="C339:F339"/>
    <mergeCell ref="I339:L339"/>
    <mergeCell ref="O339:R339"/>
    <mergeCell ref="U339:X339"/>
    <mergeCell ref="B340:C340"/>
    <mergeCell ref="E340:F340"/>
    <mergeCell ref="H340:I340"/>
    <mergeCell ref="K340:L340"/>
    <mergeCell ref="N340:O340"/>
    <mergeCell ref="Q340:R340"/>
    <mergeCell ref="A337:F337"/>
    <mergeCell ref="G337:L337"/>
    <mergeCell ref="M337:R337"/>
    <mergeCell ref="S337:X337"/>
    <mergeCell ref="B338:F338"/>
    <mergeCell ref="H338:L338"/>
    <mergeCell ref="N338:R338"/>
    <mergeCell ref="T338:X338"/>
    <mergeCell ref="C335:F335"/>
    <mergeCell ref="I335:L335"/>
    <mergeCell ref="O335:R335"/>
    <mergeCell ref="U335:X335"/>
    <mergeCell ref="B336:F336"/>
    <mergeCell ref="H336:L336"/>
    <mergeCell ref="N336:R336"/>
    <mergeCell ref="T336:X336"/>
    <mergeCell ref="T333:U333"/>
    <mergeCell ref="W333:X333"/>
    <mergeCell ref="B334:C334"/>
    <mergeCell ref="H334:I334"/>
    <mergeCell ref="N334:O334"/>
    <mergeCell ref="T334:U334"/>
    <mergeCell ref="C332:F332"/>
    <mergeCell ref="I332:L332"/>
    <mergeCell ref="O332:R332"/>
    <mergeCell ref="U332:X332"/>
    <mergeCell ref="B333:C333"/>
    <mergeCell ref="E333:F333"/>
    <mergeCell ref="H333:I333"/>
    <mergeCell ref="K333:L333"/>
    <mergeCell ref="N333:O333"/>
    <mergeCell ref="Q333:R333"/>
    <mergeCell ref="A330:F330"/>
    <mergeCell ref="G330:L330"/>
    <mergeCell ref="M330:R330"/>
    <mergeCell ref="S330:X330"/>
    <mergeCell ref="B331:F331"/>
    <mergeCell ref="H331:L331"/>
    <mergeCell ref="N331:R331"/>
    <mergeCell ref="T331:X331"/>
    <mergeCell ref="C328:F328"/>
    <mergeCell ref="I328:L328"/>
    <mergeCell ref="O328:R328"/>
    <mergeCell ref="U328:X328"/>
    <mergeCell ref="B329:F329"/>
    <mergeCell ref="H329:L329"/>
    <mergeCell ref="N329:R329"/>
    <mergeCell ref="T329:X329"/>
    <mergeCell ref="T326:U326"/>
    <mergeCell ref="W326:X326"/>
    <mergeCell ref="B327:C327"/>
    <mergeCell ref="H327:I327"/>
    <mergeCell ref="N327:O327"/>
    <mergeCell ref="T327:U327"/>
    <mergeCell ref="C325:F325"/>
    <mergeCell ref="I325:L325"/>
    <mergeCell ref="O325:R325"/>
    <mergeCell ref="U325:X325"/>
    <mergeCell ref="B326:C326"/>
    <mergeCell ref="E326:F326"/>
    <mergeCell ref="H326:I326"/>
    <mergeCell ref="K326:L326"/>
    <mergeCell ref="N326:O326"/>
    <mergeCell ref="Q326:R326"/>
    <mergeCell ref="A323:F323"/>
    <mergeCell ref="G323:L323"/>
    <mergeCell ref="M323:R323"/>
    <mergeCell ref="S323:X323"/>
    <mergeCell ref="B324:F324"/>
    <mergeCell ref="H324:L324"/>
    <mergeCell ref="N324:R324"/>
    <mergeCell ref="T324:X324"/>
    <mergeCell ref="C321:F321"/>
    <mergeCell ref="I321:L321"/>
    <mergeCell ref="O321:R321"/>
    <mergeCell ref="U321:X321"/>
    <mergeCell ref="B322:F322"/>
    <mergeCell ref="H322:L322"/>
    <mergeCell ref="N322:R322"/>
    <mergeCell ref="T322:X322"/>
    <mergeCell ref="T319:U319"/>
    <mergeCell ref="W319:X319"/>
    <mergeCell ref="B320:C320"/>
    <mergeCell ref="H320:I320"/>
    <mergeCell ref="N320:O320"/>
    <mergeCell ref="T320:U320"/>
    <mergeCell ref="C318:F318"/>
    <mergeCell ref="I318:L318"/>
    <mergeCell ref="O318:R318"/>
    <mergeCell ref="U318:X318"/>
    <mergeCell ref="B319:C319"/>
    <mergeCell ref="E319:F319"/>
    <mergeCell ref="H319:I319"/>
    <mergeCell ref="K319:L319"/>
    <mergeCell ref="N319:O319"/>
    <mergeCell ref="Q319:R319"/>
    <mergeCell ref="A316:F316"/>
    <mergeCell ref="G316:L316"/>
    <mergeCell ref="M316:R316"/>
    <mergeCell ref="S316:X316"/>
    <mergeCell ref="B317:F317"/>
    <mergeCell ref="H317:L317"/>
    <mergeCell ref="N317:R317"/>
    <mergeCell ref="T317:X317"/>
    <mergeCell ref="C314:F314"/>
    <mergeCell ref="I314:L314"/>
    <mergeCell ref="O314:R314"/>
    <mergeCell ref="U314:X314"/>
    <mergeCell ref="B315:F315"/>
    <mergeCell ref="H315:L315"/>
    <mergeCell ref="N315:R315"/>
    <mergeCell ref="T315:X315"/>
    <mergeCell ref="T312:U312"/>
    <mergeCell ref="W312:X312"/>
    <mergeCell ref="B313:C313"/>
    <mergeCell ref="H313:I313"/>
    <mergeCell ref="N313:O313"/>
    <mergeCell ref="T313:U313"/>
    <mergeCell ref="C311:F311"/>
    <mergeCell ref="I311:L311"/>
    <mergeCell ref="O311:R311"/>
    <mergeCell ref="U311:X311"/>
    <mergeCell ref="B312:C312"/>
    <mergeCell ref="E312:F312"/>
    <mergeCell ref="H312:I312"/>
    <mergeCell ref="K312:L312"/>
    <mergeCell ref="N312:O312"/>
    <mergeCell ref="Q312:R312"/>
    <mergeCell ref="A309:F309"/>
    <mergeCell ref="G309:L309"/>
    <mergeCell ref="M309:R309"/>
    <mergeCell ref="S309:X309"/>
    <mergeCell ref="B310:F310"/>
    <mergeCell ref="H310:L310"/>
    <mergeCell ref="N310:R310"/>
    <mergeCell ref="T310:X310"/>
    <mergeCell ref="C307:F307"/>
    <mergeCell ref="I307:L307"/>
    <mergeCell ref="O307:R307"/>
    <mergeCell ref="U307:X307"/>
    <mergeCell ref="B308:F308"/>
    <mergeCell ref="H308:L308"/>
    <mergeCell ref="N308:R308"/>
    <mergeCell ref="T308:X308"/>
    <mergeCell ref="T305:U305"/>
    <mergeCell ref="W305:X305"/>
    <mergeCell ref="B306:C306"/>
    <mergeCell ref="H306:I306"/>
    <mergeCell ref="N306:O306"/>
    <mergeCell ref="T306:U306"/>
    <mergeCell ref="C304:F304"/>
    <mergeCell ref="I304:L304"/>
    <mergeCell ref="O304:R304"/>
    <mergeCell ref="U304:X304"/>
    <mergeCell ref="B305:C305"/>
    <mergeCell ref="E305:F305"/>
    <mergeCell ref="H305:I305"/>
    <mergeCell ref="K305:L305"/>
    <mergeCell ref="N305:O305"/>
    <mergeCell ref="Q305:R305"/>
    <mergeCell ref="A302:F302"/>
    <mergeCell ref="G302:L302"/>
    <mergeCell ref="M302:R302"/>
    <mergeCell ref="S302:X302"/>
    <mergeCell ref="B303:F303"/>
    <mergeCell ref="H303:L303"/>
    <mergeCell ref="N303:R303"/>
    <mergeCell ref="T303:X303"/>
    <mergeCell ref="C300:F300"/>
    <mergeCell ref="I300:L300"/>
    <mergeCell ref="O300:R300"/>
    <mergeCell ref="U300:X300"/>
    <mergeCell ref="B301:F301"/>
    <mergeCell ref="H301:L301"/>
    <mergeCell ref="N301:R301"/>
    <mergeCell ref="T301:X301"/>
    <mergeCell ref="T298:U298"/>
    <mergeCell ref="W298:X298"/>
    <mergeCell ref="B299:C299"/>
    <mergeCell ref="H299:I299"/>
    <mergeCell ref="N299:O299"/>
    <mergeCell ref="T299:U299"/>
    <mergeCell ref="C297:F297"/>
    <mergeCell ref="I297:L297"/>
    <mergeCell ref="O297:R297"/>
    <mergeCell ref="U297:X297"/>
    <mergeCell ref="B298:C298"/>
    <mergeCell ref="E298:F298"/>
    <mergeCell ref="H298:I298"/>
    <mergeCell ref="K298:L298"/>
    <mergeCell ref="N298:O298"/>
    <mergeCell ref="Q298:R298"/>
    <mergeCell ref="A295:F295"/>
    <mergeCell ref="G295:L295"/>
    <mergeCell ref="M295:R295"/>
    <mergeCell ref="S295:X295"/>
    <mergeCell ref="B296:F296"/>
    <mergeCell ref="H296:L296"/>
    <mergeCell ref="N296:R296"/>
    <mergeCell ref="T296:X296"/>
    <mergeCell ref="C293:F293"/>
    <mergeCell ref="I293:L293"/>
    <mergeCell ref="O293:R293"/>
    <mergeCell ref="U293:X293"/>
    <mergeCell ref="B294:F294"/>
    <mergeCell ref="H294:L294"/>
    <mergeCell ref="N294:R294"/>
    <mergeCell ref="T294:X294"/>
    <mergeCell ref="T291:U291"/>
    <mergeCell ref="W291:X291"/>
    <mergeCell ref="B292:C292"/>
    <mergeCell ref="H292:I292"/>
    <mergeCell ref="N292:O292"/>
    <mergeCell ref="T292:U292"/>
    <mergeCell ref="C290:F290"/>
    <mergeCell ref="I290:L290"/>
    <mergeCell ref="O290:R290"/>
    <mergeCell ref="U290:X290"/>
    <mergeCell ref="B291:C291"/>
    <mergeCell ref="E291:F291"/>
    <mergeCell ref="H291:I291"/>
    <mergeCell ref="K291:L291"/>
    <mergeCell ref="N291:O291"/>
    <mergeCell ref="Q291:R291"/>
    <mergeCell ref="A288:F288"/>
    <mergeCell ref="G288:L288"/>
    <mergeCell ref="M288:R288"/>
    <mergeCell ref="S288:X288"/>
    <mergeCell ref="B289:F289"/>
    <mergeCell ref="H289:L289"/>
    <mergeCell ref="N289:R289"/>
    <mergeCell ref="T289:X289"/>
    <mergeCell ref="C286:F286"/>
    <mergeCell ref="I286:L286"/>
    <mergeCell ref="O286:R286"/>
    <mergeCell ref="U286:X286"/>
    <mergeCell ref="B287:F287"/>
    <mergeCell ref="H287:L287"/>
    <mergeCell ref="N287:R287"/>
    <mergeCell ref="T287:X287"/>
    <mergeCell ref="T284:U284"/>
    <mergeCell ref="W284:X284"/>
    <mergeCell ref="B285:C285"/>
    <mergeCell ref="H285:I285"/>
    <mergeCell ref="N285:O285"/>
    <mergeCell ref="T285:U285"/>
    <mergeCell ref="C283:F283"/>
    <mergeCell ref="I283:L283"/>
    <mergeCell ref="O283:R283"/>
    <mergeCell ref="U283:X283"/>
    <mergeCell ref="B284:C284"/>
    <mergeCell ref="E284:F284"/>
    <mergeCell ref="H284:I284"/>
    <mergeCell ref="K284:L284"/>
    <mergeCell ref="N284:O284"/>
    <mergeCell ref="Q284:R284"/>
    <mergeCell ref="A281:F281"/>
    <mergeCell ref="G281:L281"/>
    <mergeCell ref="M281:R281"/>
    <mergeCell ref="S281:X281"/>
    <mergeCell ref="B282:F282"/>
    <mergeCell ref="H282:L282"/>
    <mergeCell ref="N282:R282"/>
    <mergeCell ref="T282:X282"/>
    <mergeCell ref="C279:F279"/>
    <mergeCell ref="I279:L279"/>
    <mergeCell ref="O279:R279"/>
    <mergeCell ref="U279:X279"/>
    <mergeCell ref="B280:F280"/>
    <mergeCell ref="H280:L280"/>
    <mergeCell ref="N280:R280"/>
    <mergeCell ref="T280:X280"/>
    <mergeCell ref="T277:U277"/>
    <mergeCell ref="W277:X277"/>
    <mergeCell ref="B278:C278"/>
    <mergeCell ref="H278:I278"/>
    <mergeCell ref="N278:O278"/>
    <mergeCell ref="T278:U278"/>
    <mergeCell ref="C276:F276"/>
    <mergeCell ref="I276:L276"/>
    <mergeCell ref="O276:R276"/>
    <mergeCell ref="U276:X276"/>
    <mergeCell ref="B277:C277"/>
    <mergeCell ref="E277:F277"/>
    <mergeCell ref="H277:I277"/>
    <mergeCell ref="K277:L277"/>
    <mergeCell ref="N277:O277"/>
    <mergeCell ref="Q277:R277"/>
    <mergeCell ref="A274:F274"/>
    <mergeCell ref="G274:L274"/>
    <mergeCell ref="M274:R274"/>
    <mergeCell ref="S274:X274"/>
    <mergeCell ref="B275:F275"/>
    <mergeCell ref="H275:L275"/>
    <mergeCell ref="N275:R275"/>
    <mergeCell ref="T275:X275"/>
    <mergeCell ref="C272:F272"/>
    <mergeCell ref="I272:L272"/>
    <mergeCell ref="O272:R272"/>
    <mergeCell ref="U272:X272"/>
    <mergeCell ref="B273:F273"/>
    <mergeCell ref="H273:L273"/>
    <mergeCell ref="N273:R273"/>
    <mergeCell ref="T273:X273"/>
    <mergeCell ref="T270:U270"/>
    <mergeCell ref="W270:X270"/>
    <mergeCell ref="B271:C271"/>
    <mergeCell ref="H271:I271"/>
    <mergeCell ref="N271:O271"/>
    <mergeCell ref="T271:U271"/>
    <mergeCell ref="C269:F269"/>
    <mergeCell ref="I269:L269"/>
    <mergeCell ref="O269:R269"/>
    <mergeCell ref="U269:X269"/>
    <mergeCell ref="B270:C270"/>
    <mergeCell ref="E270:F270"/>
    <mergeCell ref="H270:I270"/>
    <mergeCell ref="K270:L270"/>
    <mergeCell ref="N270:O270"/>
    <mergeCell ref="Q270:R270"/>
    <mergeCell ref="A267:F267"/>
    <mergeCell ref="G267:L267"/>
    <mergeCell ref="M267:R267"/>
    <mergeCell ref="S267:X267"/>
    <mergeCell ref="B268:F268"/>
    <mergeCell ref="H268:L268"/>
    <mergeCell ref="N268:R268"/>
    <mergeCell ref="T268:X268"/>
    <mergeCell ref="C265:F265"/>
    <mergeCell ref="I265:L265"/>
    <mergeCell ref="O265:R265"/>
    <mergeCell ref="U265:X265"/>
    <mergeCell ref="B266:F266"/>
    <mergeCell ref="H266:L266"/>
    <mergeCell ref="N266:R266"/>
    <mergeCell ref="T266:X266"/>
    <mergeCell ref="T263:U263"/>
    <mergeCell ref="W263:X263"/>
    <mergeCell ref="B264:C264"/>
    <mergeCell ref="H264:I264"/>
    <mergeCell ref="N264:O264"/>
    <mergeCell ref="T264:U264"/>
    <mergeCell ref="C262:F262"/>
    <mergeCell ref="I262:L262"/>
    <mergeCell ref="O262:R262"/>
    <mergeCell ref="U262:X262"/>
    <mergeCell ref="B263:C263"/>
    <mergeCell ref="E263:F263"/>
    <mergeCell ref="H263:I263"/>
    <mergeCell ref="K263:L263"/>
    <mergeCell ref="N263:O263"/>
    <mergeCell ref="Q263:R263"/>
    <mergeCell ref="A260:F260"/>
    <mergeCell ref="G260:L260"/>
    <mergeCell ref="M260:R260"/>
    <mergeCell ref="S260:X260"/>
    <mergeCell ref="B261:F261"/>
    <mergeCell ref="H261:L261"/>
    <mergeCell ref="N261:R261"/>
    <mergeCell ref="T261:X261"/>
    <mergeCell ref="C258:F258"/>
    <mergeCell ref="I258:L258"/>
    <mergeCell ref="O258:R258"/>
    <mergeCell ref="U258:X258"/>
    <mergeCell ref="B259:F259"/>
    <mergeCell ref="H259:L259"/>
    <mergeCell ref="N259:R259"/>
    <mergeCell ref="T259:X259"/>
    <mergeCell ref="T256:U256"/>
    <mergeCell ref="W256:X256"/>
    <mergeCell ref="B257:C257"/>
    <mergeCell ref="H257:I257"/>
    <mergeCell ref="N257:O257"/>
    <mergeCell ref="T257:U257"/>
    <mergeCell ref="C255:F255"/>
    <mergeCell ref="I255:L255"/>
    <mergeCell ref="O255:R255"/>
    <mergeCell ref="U255:X255"/>
    <mergeCell ref="B256:C256"/>
    <mergeCell ref="E256:F256"/>
    <mergeCell ref="H256:I256"/>
    <mergeCell ref="K256:L256"/>
    <mergeCell ref="N256:O256"/>
    <mergeCell ref="Q256:R256"/>
    <mergeCell ref="A253:F253"/>
    <mergeCell ref="G253:L253"/>
    <mergeCell ref="M253:R253"/>
    <mergeCell ref="S253:X253"/>
    <mergeCell ref="B254:F254"/>
    <mergeCell ref="H254:L254"/>
    <mergeCell ref="N254:R254"/>
    <mergeCell ref="T254:X254"/>
    <mergeCell ref="C251:F251"/>
    <mergeCell ref="I251:L251"/>
    <mergeCell ref="O251:R251"/>
    <mergeCell ref="U251:X251"/>
    <mergeCell ref="B252:F252"/>
    <mergeCell ref="H252:L252"/>
    <mergeCell ref="N252:R252"/>
    <mergeCell ref="T252:X252"/>
    <mergeCell ref="T249:U249"/>
    <mergeCell ref="W249:X249"/>
    <mergeCell ref="B250:C250"/>
    <mergeCell ref="H250:I250"/>
    <mergeCell ref="N250:O250"/>
    <mergeCell ref="T250:U250"/>
    <mergeCell ref="C248:F248"/>
    <mergeCell ref="I248:L248"/>
    <mergeCell ref="O248:R248"/>
    <mergeCell ref="U248:X248"/>
    <mergeCell ref="B249:C249"/>
    <mergeCell ref="E249:F249"/>
    <mergeCell ref="H249:I249"/>
    <mergeCell ref="K249:L249"/>
    <mergeCell ref="N249:O249"/>
    <mergeCell ref="Q249:R249"/>
    <mergeCell ref="A246:F246"/>
    <mergeCell ref="G246:L246"/>
    <mergeCell ref="M246:R246"/>
    <mergeCell ref="S246:X246"/>
    <mergeCell ref="B247:F247"/>
    <mergeCell ref="H247:L247"/>
    <mergeCell ref="N247:R247"/>
    <mergeCell ref="T247:X247"/>
    <mergeCell ref="C244:F244"/>
    <mergeCell ref="I244:L244"/>
    <mergeCell ref="O244:R244"/>
    <mergeCell ref="U244:X244"/>
    <mergeCell ref="B245:F245"/>
    <mergeCell ref="H245:L245"/>
    <mergeCell ref="N245:R245"/>
    <mergeCell ref="T245:X245"/>
    <mergeCell ref="T242:U242"/>
    <mergeCell ref="W242:X242"/>
    <mergeCell ref="B243:C243"/>
    <mergeCell ref="H243:I243"/>
    <mergeCell ref="N243:O243"/>
    <mergeCell ref="T243:U243"/>
    <mergeCell ref="C241:F241"/>
    <mergeCell ref="I241:L241"/>
    <mergeCell ref="O241:R241"/>
    <mergeCell ref="U241:X241"/>
    <mergeCell ref="B242:C242"/>
    <mergeCell ref="E242:F242"/>
    <mergeCell ref="H242:I242"/>
    <mergeCell ref="K242:L242"/>
    <mergeCell ref="N242:O242"/>
    <mergeCell ref="Q242:R242"/>
    <mergeCell ref="A239:F239"/>
    <mergeCell ref="G239:L239"/>
    <mergeCell ref="M239:R239"/>
    <mergeCell ref="S239:X239"/>
    <mergeCell ref="B240:F240"/>
    <mergeCell ref="H240:L240"/>
    <mergeCell ref="N240:R240"/>
    <mergeCell ref="T240:X240"/>
    <mergeCell ref="C237:F237"/>
    <mergeCell ref="I237:L237"/>
    <mergeCell ref="O237:R237"/>
    <mergeCell ref="U237:X237"/>
    <mergeCell ref="B238:F238"/>
    <mergeCell ref="H238:L238"/>
    <mergeCell ref="N238:R238"/>
    <mergeCell ref="T238:X238"/>
    <mergeCell ref="T235:U235"/>
    <mergeCell ref="W235:X235"/>
    <mergeCell ref="B236:C236"/>
    <mergeCell ref="H236:I236"/>
    <mergeCell ref="N236:O236"/>
    <mergeCell ref="T236:U236"/>
    <mergeCell ref="C234:F234"/>
    <mergeCell ref="I234:L234"/>
    <mergeCell ref="O234:R234"/>
    <mergeCell ref="U234:X234"/>
    <mergeCell ref="B235:C235"/>
    <mergeCell ref="E235:F235"/>
    <mergeCell ref="H235:I235"/>
    <mergeCell ref="K235:L235"/>
    <mergeCell ref="N235:O235"/>
    <mergeCell ref="Q235:R235"/>
    <mergeCell ref="A232:F232"/>
    <mergeCell ref="G232:L232"/>
    <mergeCell ref="M232:R232"/>
    <mergeCell ref="S232:X232"/>
    <mergeCell ref="B233:F233"/>
    <mergeCell ref="H233:L233"/>
    <mergeCell ref="N233:R233"/>
    <mergeCell ref="T233:X233"/>
    <mergeCell ref="C230:F230"/>
    <mergeCell ref="I230:L230"/>
    <mergeCell ref="O230:R230"/>
    <mergeCell ref="U230:X230"/>
    <mergeCell ref="B231:F231"/>
    <mergeCell ref="H231:L231"/>
    <mergeCell ref="N231:R231"/>
    <mergeCell ref="T231:X231"/>
    <mergeCell ref="T228:U228"/>
    <mergeCell ref="W228:X228"/>
    <mergeCell ref="B229:C229"/>
    <mergeCell ref="H229:I229"/>
    <mergeCell ref="N229:O229"/>
    <mergeCell ref="T229:U229"/>
    <mergeCell ref="C227:F227"/>
    <mergeCell ref="I227:L227"/>
    <mergeCell ref="O227:R227"/>
    <mergeCell ref="U227:X227"/>
    <mergeCell ref="B228:C228"/>
    <mergeCell ref="E228:F228"/>
    <mergeCell ref="H228:I228"/>
    <mergeCell ref="K228:L228"/>
    <mergeCell ref="N228:O228"/>
    <mergeCell ref="Q228:R228"/>
    <mergeCell ref="A225:F225"/>
    <mergeCell ref="G225:L225"/>
    <mergeCell ref="M225:R225"/>
    <mergeCell ref="S225:X225"/>
    <mergeCell ref="B226:F226"/>
    <mergeCell ref="H226:L226"/>
    <mergeCell ref="N226:R226"/>
    <mergeCell ref="T226:X226"/>
    <mergeCell ref="C223:F223"/>
    <mergeCell ref="I223:L223"/>
    <mergeCell ref="O223:R223"/>
    <mergeCell ref="U223:X223"/>
    <mergeCell ref="B224:F224"/>
    <mergeCell ref="H224:L224"/>
    <mergeCell ref="N224:R224"/>
    <mergeCell ref="T224:X224"/>
    <mergeCell ref="T221:U221"/>
    <mergeCell ref="W221:X221"/>
    <mergeCell ref="B222:C222"/>
    <mergeCell ref="H222:I222"/>
    <mergeCell ref="N222:O222"/>
    <mergeCell ref="T222:U222"/>
    <mergeCell ref="C220:F220"/>
    <mergeCell ref="I220:L220"/>
    <mergeCell ref="O220:R220"/>
    <mergeCell ref="U220:X220"/>
    <mergeCell ref="B221:C221"/>
    <mergeCell ref="E221:F221"/>
    <mergeCell ref="H221:I221"/>
    <mergeCell ref="K221:L221"/>
    <mergeCell ref="N221:O221"/>
    <mergeCell ref="Q221:R221"/>
    <mergeCell ref="A218:F218"/>
    <mergeCell ref="G218:L218"/>
    <mergeCell ref="M218:R218"/>
    <mergeCell ref="S218:X218"/>
    <mergeCell ref="B219:F219"/>
    <mergeCell ref="H219:L219"/>
    <mergeCell ref="N219:R219"/>
    <mergeCell ref="T219:X219"/>
    <mergeCell ref="C216:F216"/>
    <mergeCell ref="I216:L216"/>
    <mergeCell ref="O216:R216"/>
    <mergeCell ref="U216:X216"/>
    <mergeCell ref="B217:F217"/>
    <mergeCell ref="H217:L217"/>
    <mergeCell ref="N217:R217"/>
    <mergeCell ref="T217:X217"/>
    <mergeCell ref="T214:U214"/>
    <mergeCell ref="W214:X214"/>
    <mergeCell ref="B215:C215"/>
    <mergeCell ref="H215:I215"/>
    <mergeCell ref="N215:O215"/>
    <mergeCell ref="T215:U215"/>
    <mergeCell ref="C213:F213"/>
    <mergeCell ref="I213:L213"/>
    <mergeCell ref="O213:R213"/>
    <mergeCell ref="U213:X213"/>
    <mergeCell ref="B214:C214"/>
    <mergeCell ref="E214:F214"/>
    <mergeCell ref="H214:I214"/>
    <mergeCell ref="K214:L214"/>
    <mergeCell ref="N214:O214"/>
    <mergeCell ref="Q214:R214"/>
    <mergeCell ref="A211:F211"/>
    <mergeCell ref="G211:L211"/>
    <mergeCell ref="M211:R211"/>
    <mergeCell ref="S211:X211"/>
    <mergeCell ref="B212:F212"/>
    <mergeCell ref="H212:L212"/>
    <mergeCell ref="N212:R212"/>
    <mergeCell ref="T212:X212"/>
    <mergeCell ref="C209:F209"/>
    <mergeCell ref="I209:L209"/>
    <mergeCell ref="O209:R209"/>
    <mergeCell ref="U209:X209"/>
    <mergeCell ref="B210:F210"/>
    <mergeCell ref="H210:L210"/>
    <mergeCell ref="N210:R210"/>
    <mergeCell ref="T210:X210"/>
    <mergeCell ref="T207:U207"/>
    <mergeCell ref="W207:X207"/>
    <mergeCell ref="B208:C208"/>
    <mergeCell ref="H208:I208"/>
    <mergeCell ref="N208:O208"/>
    <mergeCell ref="T208:U208"/>
    <mergeCell ref="C206:F206"/>
    <mergeCell ref="I206:L206"/>
    <mergeCell ref="O206:R206"/>
    <mergeCell ref="U206:X206"/>
    <mergeCell ref="B207:C207"/>
    <mergeCell ref="E207:F207"/>
    <mergeCell ref="H207:I207"/>
    <mergeCell ref="K207:L207"/>
    <mergeCell ref="N207:O207"/>
    <mergeCell ref="Q207:R207"/>
    <mergeCell ref="A204:F204"/>
    <mergeCell ref="G204:L204"/>
    <mergeCell ref="M204:R204"/>
    <mergeCell ref="S204:X204"/>
    <mergeCell ref="B205:F205"/>
    <mergeCell ref="H205:L205"/>
    <mergeCell ref="N205:R205"/>
    <mergeCell ref="T205:X205"/>
    <mergeCell ref="C202:F202"/>
    <mergeCell ref="I202:L202"/>
    <mergeCell ref="O202:R202"/>
    <mergeCell ref="U202:X202"/>
    <mergeCell ref="B203:F203"/>
    <mergeCell ref="H203:L203"/>
    <mergeCell ref="N203:R203"/>
    <mergeCell ref="T203:X203"/>
    <mergeCell ref="T200:U200"/>
    <mergeCell ref="W200:X200"/>
    <mergeCell ref="B201:C201"/>
    <mergeCell ref="H201:I201"/>
    <mergeCell ref="N201:O201"/>
    <mergeCell ref="T201:U201"/>
    <mergeCell ref="C199:F199"/>
    <mergeCell ref="I199:L199"/>
    <mergeCell ref="O199:R199"/>
    <mergeCell ref="U199:X199"/>
    <mergeCell ref="B200:C200"/>
    <mergeCell ref="E200:F200"/>
    <mergeCell ref="H200:I200"/>
    <mergeCell ref="K200:L200"/>
    <mergeCell ref="N200:O200"/>
    <mergeCell ref="Q200:R200"/>
    <mergeCell ref="A197:F197"/>
    <mergeCell ref="G197:L197"/>
    <mergeCell ref="M197:R197"/>
    <mergeCell ref="S197:X197"/>
    <mergeCell ref="B198:F198"/>
    <mergeCell ref="H198:L198"/>
    <mergeCell ref="N198:R198"/>
    <mergeCell ref="T198:X198"/>
    <mergeCell ref="C195:F195"/>
    <mergeCell ref="I195:L195"/>
    <mergeCell ref="O195:R195"/>
    <mergeCell ref="U195:X195"/>
    <mergeCell ref="B196:F196"/>
    <mergeCell ref="H196:L196"/>
    <mergeCell ref="N196:R196"/>
    <mergeCell ref="T196:X196"/>
    <mergeCell ref="T193:U193"/>
    <mergeCell ref="W193:X193"/>
    <mergeCell ref="B194:C194"/>
    <mergeCell ref="H194:I194"/>
    <mergeCell ref="N194:O194"/>
    <mergeCell ref="T194:U194"/>
    <mergeCell ref="C192:F192"/>
    <mergeCell ref="I192:L192"/>
    <mergeCell ref="O192:R192"/>
    <mergeCell ref="U192:X192"/>
    <mergeCell ref="B193:C193"/>
    <mergeCell ref="E193:F193"/>
    <mergeCell ref="H193:I193"/>
    <mergeCell ref="K193:L193"/>
    <mergeCell ref="N193:O193"/>
    <mergeCell ref="Q193:R193"/>
    <mergeCell ref="A190:F190"/>
    <mergeCell ref="G190:L190"/>
    <mergeCell ref="M190:R190"/>
    <mergeCell ref="S190:X190"/>
    <mergeCell ref="B191:F191"/>
    <mergeCell ref="H191:L191"/>
    <mergeCell ref="N191:R191"/>
    <mergeCell ref="T191:X191"/>
    <mergeCell ref="C188:F188"/>
    <mergeCell ref="I188:L188"/>
    <mergeCell ref="O188:R188"/>
    <mergeCell ref="U188:X188"/>
    <mergeCell ref="B189:F189"/>
    <mergeCell ref="H189:L189"/>
    <mergeCell ref="N189:R189"/>
    <mergeCell ref="T189:X189"/>
    <mergeCell ref="T186:U186"/>
    <mergeCell ref="W186:X186"/>
    <mergeCell ref="B187:C187"/>
    <mergeCell ref="H187:I187"/>
    <mergeCell ref="N187:O187"/>
    <mergeCell ref="T187:U187"/>
    <mergeCell ref="C185:F185"/>
    <mergeCell ref="I185:L185"/>
    <mergeCell ref="O185:R185"/>
    <mergeCell ref="U185:X185"/>
    <mergeCell ref="B186:C186"/>
    <mergeCell ref="E186:F186"/>
    <mergeCell ref="H186:I186"/>
    <mergeCell ref="K186:L186"/>
    <mergeCell ref="N186:O186"/>
    <mergeCell ref="Q186:R186"/>
    <mergeCell ref="A183:F183"/>
    <mergeCell ref="G183:L183"/>
    <mergeCell ref="M183:R183"/>
    <mergeCell ref="S183:X183"/>
    <mergeCell ref="B184:F184"/>
    <mergeCell ref="H184:L184"/>
    <mergeCell ref="N184:R184"/>
    <mergeCell ref="T184:X184"/>
    <mergeCell ref="C181:F181"/>
    <mergeCell ref="I181:L181"/>
    <mergeCell ref="O181:R181"/>
    <mergeCell ref="U181:X181"/>
    <mergeCell ref="B182:F182"/>
    <mergeCell ref="H182:L182"/>
    <mergeCell ref="N182:R182"/>
    <mergeCell ref="T182:X182"/>
    <mergeCell ref="T179:U179"/>
    <mergeCell ref="W179:X179"/>
    <mergeCell ref="B180:C180"/>
    <mergeCell ref="H180:I180"/>
    <mergeCell ref="N180:O180"/>
    <mergeCell ref="T180:U180"/>
    <mergeCell ref="C178:F178"/>
    <mergeCell ref="I178:L178"/>
    <mergeCell ref="O178:R178"/>
    <mergeCell ref="U178:X178"/>
    <mergeCell ref="B179:C179"/>
    <mergeCell ref="E179:F179"/>
    <mergeCell ref="H179:I179"/>
    <mergeCell ref="K179:L179"/>
    <mergeCell ref="N179:O179"/>
    <mergeCell ref="Q179:R179"/>
    <mergeCell ref="A176:F176"/>
    <mergeCell ref="G176:L176"/>
    <mergeCell ref="M176:R176"/>
    <mergeCell ref="S176:X176"/>
    <mergeCell ref="B177:F177"/>
    <mergeCell ref="H177:L177"/>
    <mergeCell ref="N177:R177"/>
    <mergeCell ref="T177:X177"/>
    <mergeCell ref="C174:F174"/>
    <mergeCell ref="I174:L174"/>
    <mergeCell ref="O174:R174"/>
    <mergeCell ref="U174:X174"/>
    <mergeCell ref="B175:F175"/>
    <mergeCell ref="H175:L175"/>
    <mergeCell ref="N175:R175"/>
    <mergeCell ref="T175:X175"/>
    <mergeCell ref="T172:U172"/>
    <mergeCell ref="W172:X172"/>
    <mergeCell ref="B173:C173"/>
    <mergeCell ref="H173:I173"/>
    <mergeCell ref="N173:O173"/>
    <mergeCell ref="T173:U173"/>
    <mergeCell ref="C171:F171"/>
    <mergeCell ref="I171:L171"/>
    <mergeCell ref="O171:R171"/>
    <mergeCell ref="U171:X171"/>
    <mergeCell ref="B172:C172"/>
    <mergeCell ref="E172:F172"/>
    <mergeCell ref="H172:I172"/>
    <mergeCell ref="K172:L172"/>
    <mergeCell ref="N172:O172"/>
    <mergeCell ref="Q172:R172"/>
    <mergeCell ref="A169:F169"/>
    <mergeCell ref="G169:L169"/>
    <mergeCell ref="M169:R169"/>
    <mergeCell ref="S169:X169"/>
    <mergeCell ref="B170:F170"/>
    <mergeCell ref="H170:L170"/>
    <mergeCell ref="N170:R170"/>
    <mergeCell ref="T170:X170"/>
    <mergeCell ref="C167:F167"/>
    <mergeCell ref="I167:L167"/>
    <mergeCell ref="O167:R167"/>
    <mergeCell ref="U167:X167"/>
    <mergeCell ref="B168:F168"/>
    <mergeCell ref="H168:L168"/>
    <mergeCell ref="N168:R168"/>
    <mergeCell ref="T168:X168"/>
    <mergeCell ref="T165:U165"/>
    <mergeCell ref="W165:X165"/>
    <mergeCell ref="B166:C166"/>
    <mergeCell ref="H166:I166"/>
    <mergeCell ref="N166:O166"/>
    <mergeCell ref="T166:U166"/>
    <mergeCell ref="C164:F164"/>
    <mergeCell ref="I164:L164"/>
    <mergeCell ref="O164:R164"/>
    <mergeCell ref="U164:X164"/>
    <mergeCell ref="B165:C165"/>
    <mergeCell ref="E165:F165"/>
    <mergeCell ref="H165:I165"/>
    <mergeCell ref="K165:L165"/>
    <mergeCell ref="N165:O165"/>
    <mergeCell ref="Q165:R165"/>
    <mergeCell ref="A162:F162"/>
    <mergeCell ref="G162:L162"/>
    <mergeCell ref="M162:R162"/>
    <mergeCell ref="S162:X162"/>
    <mergeCell ref="B163:F163"/>
    <mergeCell ref="H163:L163"/>
    <mergeCell ref="N163:R163"/>
    <mergeCell ref="T163:X163"/>
    <mergeCell ref="C160:F160"/>
    <mergeCell ref="I160:L160"/>
    <mergeCell ref="O160:R160"/>
    <mergeCell ref="U160:X160"/>
    <mergeCell ref="B161:F161"/>
    <mergeCell ref="H161:L161"/>
    <mergeCell ref="N161:R161"/>
    <mergeCell ref="T161:X161"/>
    <mergeCell ref="T158:U158"/>
    <mergeCell ref="W158:X158"/>
    <mergeCell ref="B159:C159"/>
    <mergeCell ref="H159:I159"/>
    <mergeCell ref="N159:O159"/>
    <mergeCell ref="T159:U159"/>
    <mergeCell ref="C157:F157"/>
    <mergeCell ref="I157:L157"/>
    <mergeCell ref="O157:R157"/>
    <mergeCell ref="U157:X157"/>
    <mergeCell ref="B158:C158"/>
    <mergeCell ref="E158:F158"/>
    <mergeCell ref="H158:I158"/>
    <mergeCell ref="K158:L158"/>
    <mergeCell ref="N158:O158"/>
    <mergeCell ref="Q158:R158"/>
    <mergeCell ref="A155:F155"/>
    <mergeCell ref="G155:L155"/>
    <mergeCell ref="M155:R155"/>
    <mergeCell ref="S155:X155"/>
    <mergeCell ref="B156:F156"/>
    <mergeCell ref="H156:L156"/>
    <mergeCell ref="N156:R156"/>
    <mergeCell ref="T156:X156"/>
    <mergeCell ref="C153:F153"/>
    <mergeCell ref="I153:L153"/>
    <mergeCell ref="O153:R153"/>
    <mergeCell ref="U153:X153"/>
    <mergeCell ref="B154:F154"/>
    <mergeCell ref="H154:L154"/>
    <mergeCell ref="N154:R154"/>
    <mergeCell ref="T154:X154"/>
    <mergeCell ref="T151:U151"/>
    <mergeCell ref="W151:X151"/>
    <mergeCell ref="B152:C152"/>
    <mergeCell ref="H152:I152"/>
    <mergeCell ref="N152:O152"/>
    <mergeCell ref="T152:U152"/>
    <mergeCell ref="C150:F150"/>
    <mergeCell ref="I150:L150"/>
    <mergeCell ref="O150:R150"/>
    <mergeCell ref="U150:X150"/>
    <mergeCell ref="B151:C151"/>
    <mergeCell ref="E151:F151"/>
    <mergeCell ref="H151:I151"/>
    <mergeCell ref="K151:L151"/>
    <mergeCell ref="N151:O151"/>
    <mergeCell ref="Q151:R151"/>
    <mergeCell ref="A148:F148"/>
    <mergeCell ref="G148:L148"/>
    <mergeCell ref="M148:R148"/>
    <mergeCell ref="S148:X148"/>
    <mergeCell ref="B149:F149"/>
    <mergeCell ref="H149:L149"/>
    <mergeCell ref="N149:R149"/>
    <mergeCell ref="T149:X149"/>
    <mergeCell ref="C146:F146"/>
    <mergeCell ref="I146:L146"/>
    <mergeCell ref="O146:R146"/>
    <mergeCell ref="U146:X146"/>
    <mergeCell ref="B147:F147"/>
    <mergeCell ref="H147:L147"/>
    <mergeCell ref="N147:R147"/>
    <mergeCell ref="T147:X147"/>
    <mergeCell ref="T144:U144"/>
    <mergeCell ref="W144:X144"/>
    <mergeCell ref="B145:C145"/>
    <mergeCell ref="H145:I145"/>
    <mergeCell ref="N145:O145"/>
    <mergeCell ref="T145:U145"/>
    <mergeCell ref="C143:F143"/>
    <mergeCell ref="I143:L143"/>
    <mergeCell ref="O143:R143"/>
    <mergeCell ref="U143:X143"/>
    <mergeCell ref="B144:C144"/>
    <mergeCell ref="E144:F144"/>
    <mergeCell ref="H144:I144"/>
    <mergeCell ref="K144:L144"/>
    <mergeCell ref="N144:O144"/>
    <mergeCell ref="Q144:R144"/>
    <mergeCell ref="A141:F141"/>
    <mergeCell ref="G141:L141"/>
    <mergeCell ref="M141:R141"/>
    <mergeCell ref="S141:X141"/>
    <mergeCell ref="B142:F142"/>
    <mergeCell ref="H142:L142"/>
    <mergeCell ref="N142:R142"/>
    <mergeCell ref="T142:X142"/>
    <mergeCell ref="C139:F139"/>
    <mergeCell ref="I139:L139"/>
    <mergeCell ref="O139:R139"/>
    <mergeCell ref="U139:X139"/>
    <mergeCell ref="B140:F140"/>
    <mergeCell ref="H140:L140"/>
    <mergeCell ref="N140:R140"/>
    <mergeCell ref="T140:X140"/>
    <mergeCell ref="T137:U137"/>
    <mergeCell ref="W137:X137"/>
    <mergeCell ref="B138:C138"/>
    <mergeCell ref="H138:I138"/>
    <mergeCell ref="N138:O138"/>
    <mergeCell ref="T138:U138"/>
    <mergeCell ref="C136:F136"/>
    <mergeCell ref="I136:L136"/>
    <mergeCell ref="O136:R136"/>
    <mergeCell ref="U136:X136"/>
    <mergeCell ref="B137:C137"/>
    <mergeCell ref="E137:F137"/>
    <mergeCell ref="H137:I137"/>
    <mergeCell ref="K137:L137"/>
    <mergeCell ref="N137:O137"/>
    <mergeCell ref="Q137:R137"/>
    <mergeCell ref="A134:F134"/>
    <mergeCell ref="G134:L134"/>
    <mergeCell ref="M134:R134"/>
    <mergeCell ref="S134:X134"/>
    <mergeCell ref="B135:F135"/>
    <mergeCell ref="H135:L135"/>
    <mergeCell ref="N135:R135"/>
    <mergeCell ref="T135:X135"/>
    <mergeCell ref="C132:F132"/>
    <mergeCell ref="I132:L132"/>
    <mergeCell ref="O132:R132"/>
    <mergeCell ref="U132:X132"/>
    <mergeCell ref="B133:F133"/>
    <mergeCell ref="H133:L133"/>
    <mergeCell ref="N133:R133"/>
    <mergeCell ref="T133:X133"/>
    <mergeCell ref="T130:U130"/>
    <mergeCell ref="W130:X130"/>
    <mergeCell ref="B131:C131"/>
    <mergeCell ref="H131:I131"/>
    <mergeCell ref="N131:O131"/>
    <mergeCell ref="T131:U131"/>
    <mergeCell ref="C129:F129"/>
    <mergeCell ref="I129:L129"/>
    <mergeCell ref="O129:R129"/>
    <mergeCell ref="U129:X129"/>
    <mergeCell ref="B130:C130"/>
    <mergeCell ref="E130:F130"/>
    <mergeCell ref="H130:I130"/>
    <mergeCell ref="K130:L130"/>
    <mergeCell ref="N130:O130"/>
    <mergeCell ref="Q130:R130"/>
    <mergeCell ref="A127:F127"/>
    <mergeCell ref="G127:L127"/>
    <mergeCell ref="M127:R127"/>
    <mergeCell ref="S127:X127"/>
    <mergeCell ref="B128:F128"/>
    <mergeCell ref="H128:L128"/>
    <mergeCell ref="N128:R128"/>
    <mergeCell ref="T128:X128"/>
    <mergeCell ref="C125:F125"/>
    <mergeCell ref="I125:L125"/>
    <mergeCell ref="O125:R125"/>
    <mergeCell ref="U125:X125"/>
    <mergeCell ref="B126:F126"/>
    <mergeCell ref="H126:L126"/>
    <mergeCell ref="N126:R126"/>
    <mergeCell ref="T126:X126"/>
    <mergeCell ref="T123:U123"/>
    <mergeCell ref="W123:X123"/>
    <mergeCell ref="B124:C124"/>
    <mergeCell ref="H124:I124"/>
    <mergeCell ref="N124:O124"/>
    <mergeCell ref="T124:U124"/>
    <mergeCell ref="C122:F122"/>
    <mergeCell ref="I122:L122"/>
    <mergeCell ref="O122:R122"/>
    <mergeCell ref="U122:X122"/>
    <mergeCell ref="B123:C123"/>
    <mergeCell ref="E123:F123"/>
    <mergeCell ref="H123:I123"/>
    <mergeCell ref="K123:L123"/>
    <mergeCell ref="N123:O123"/>
    <mergeCell ref="Q123:R123"/>
    <mergeCell ref="A120:F120"/>
    <mergeCell ref="G120:L120"/>
    <mergeCell ref="M120:R120"/>
    <mergeCell ref="S120:X120"/>
    <mergeCell ref="B121:F121"/>
    <mergeCell ref="H121:L121"/>
    <mergeCell ref="N121:R121"/>
    <mergeCell ref="T121:X121"/>
    <mergeCell ref="C118:F118"/>
    <mergeCell ref="I118:L118"/>
    <mergeCell ref="O118:R118"/>
    <mergeCell ref="U118:X118"/>
    <mergeCell ref="B119:F119"/>
    <mergeCell ref="H119:L119"/>
    <mergeCell ref="N119:R119"/>
    <mergeCell ref="T119:X119"/>
    <mergeCell ref="T116:U116"/>
    <mergeCell ref="W116:X116"/>
    <mergeCell ref="B117:C117"/>
    <mergeCell ref="H117:I117"/>
    <mergeCell ref="N117:O117"/>
    <mergeCell ref="T117:U117"/>
    <mergeCell ref="C115:F115"/>
    <mergeCell ref="I115:L115"/>
    <mergeCell ref="O115:R115"/>
    <mergeCell ref="U115:X115"/>
    <mergeCell ref="B116:C116"/>
    <mergeCell ref="E116:F116"/>
    <mergeCell ref="H116:I116"/>
    <mergeCell ref="K116:L116"/>
    <mergeCell ref="N116:O116"/>
    <mergeCell ref="Q116:R116"/>
    <mergeCell ref="A113:F113"/>
    <mergeCell ref="G113:L113"/>
    <mergeCell ref="M113:R113"/>
    <mergeCell ref="S113:X113"/>
    <mergeCell ref="B114:F114"/>
    <mergeCell ref="H114:L114"/>
    <mergeCell ref="N114:R114"/>
    <mergeCell ref="T114:X114"/>
    <mergeCell ref="C111:F111"/>
    <mergeCell ref="I111:L111"/>
    <mergeCell ref="O111:R111"/>
    <mergeCell ref="U111:X111"/>
    <mergeCell ref="B112:F112"/>
    <mergeCell ref="H112:L112"/>
    <mergeCell ref="N112:R112"/>
    <mergeCell ref="T112:X112"/>
    <mergeCell ref="T109:U109"/>
    <mergeCell ref="W109:X109"/>
    <mergeCell ref="B110:C110"/>
    <mergeCell ref="H110:I110"/>
    <mergeCell ref="N110:O110"/>
    <mergeCell ref="T110:U110"/>
    <mergeCell ref="C108:F108"/>
    <mergeCell ref="I108:L108"/>
    <mergeCell ref="O108:R108"/>
    <mergeCell ref="U108:X108"/>
    <mergeCell ref="B109:C109"/>
    <mergeCell ref="E109:F109"/>
    <mergeCell ref="H109:I109"/>
    <mergeCell ref="K109:L109"/>
    <mergeCell ref="N109:O109"/>
    <mergeCell ref="Q109:R109"/>
    <mergeCell ref="A106:F106"/>
    <mergeCell ref="G106:L106"/>
    <mergeCell ref="M106:R106"/>
    <mergeCell ref="S106:X106"/>
    <mergeCell ref="B107:F107"/>
    <mergeCell ref="H107:L107"/>
    <mergeCell ref="N107:R107"/>
    <mergeCell ref="T107:X107"/>
    <mergeCell ref="C104:F104"/>
    <mergeCell ref="I104:L104"/>
    <mergeCell ref="O104:R104"/>
    <mergeCell ref="U104:X104"/>
    <mergeCell ref="B105:F105"/>
    <mergeCell ref="H105:L105"/>
    <mergeCell ref="N105:R105"/>
    <mergeCell ref="T105:X105"/>
    <mergeCell ref="T102:U102"/>
    <mergeCell ref="W102:X102"/>
    <mergeCell ref="B103:C103"/>
    <mergeCell ref="H103:I103"/>
    <mergeCell ref="N103:O103"/>
    <mergeCell ref="T103:U103"/>
    <mergeCell ref="C101:F101"/>
    <mergeCell ref="I101:L101"/>
    <mergeCell ref="O101:R101"/>
    <mergeCell ref="U101:X101"/>
    <mergeCell ref="B102:C102"/>
    <mergeCell ref="E102:F102"/>
    <mergeCell ref="H102:I102"/>
    <mergeCell ref="K102:L102"/>
    <mergeCell ref="N102:O102"/>
    <mergeCell ref="Q102:R102"/>
    <mergeCell ref="A99:F99"/>
    <mergeCell ref="G99:L99"/>
    <mergeCell ref="M99:R99"/>
    <mergeCell ref="S99:X99"/>
    <mergeCell ref="B100:F100"/>
    <mergeCell ref="H100:L100"/>
    <mergeCell ref="N100:R100"/>
    <mergeCell ref="T100:X100"/>
    <mergeCell ref="C97:F97"/>
    <mergeCell ref="I97:L97"/>
    <mergeCell ref="O97:R97"/>
    <mergeCell ref="U97:X97"/>
    <mergeCell ref="B98:F98"/>
    <mergeCell ref="H98:L98"/>
    <mergeCell ref="N98:R98"/>
    <mergeCell ref="T98:X98"/>
    <mergeCell ref="T95:U95"/>
    <mergeCell ref="W95:X95"/>
    <mergeCell ref="B96:C96"/>
    <mergeCell ref="H96:I96"/>
    <mergeCell ref="N96:O96"/>
    <mergeCell ref="T96:U96"/>
    <mergeCell ref="C94:F94"/>
    <mergeCell ref="I94:L94"/>
    <mergeCell ref="O94:R94"/>
    <mergeCell ref="U94:X94"/>
    <mergeCell ref="B95:C95"/>
    <mergeCell ref="E95:F95"/>
    <mergeCell ref="H95:I95"/>
    <mergeCell ref="K95:L95"/>
    <mergeCell ref="N95:O95"/>
    <mergeCell ref="Q95:R95"/>
    <mergeCell ref="A92:F92"/>
    <mergeCell ref="G92:L92"/>
    <mergeCell ref="M92:R92"/>
    <mergeCell ref="S92:X92"/>
    <mergeCell ref="B93:F93"/>
    <mergeCell ref="H93:L93"/>
    <mergeCell ref="N93:R93"/>
    <mergeCell ref="T93:X93"/>
    <mergeCell ref="C90:F90"/>
    <mergeCell ref="I90:L90"/>
    <mergeCell ref="O90:R90"/>
    <mergeCell ref="U90:X90"/>
    <mergeCell ref="B91:F91"/>
    <mergeCell ref="H91:L91"/>
    <mergeCell ref="N91:R91"/>
    <mergeCell ref="T91:X91"/>
    <mergeCell ref="T88:U88"/>
    <mergeCell ref="W88:X88"/>
    <mergeCell ref="B89:C89"/>
    <mergeCell ref="H89:I89"/>
    <mergeCell ref="N89:O89"/>
    <mergeCell ref="T89:U89"/>
    <mergeCell ref="C87:F87"/>
    <mergeCell ref="I87:L87"/>
    <mergeCell ref="O87:R87"/>
    <mergeCell ref="U87:X87"/>
    <mergeCell ref="B88:C88"/>
    <mergeCell ref="E88:F88"/>
    <mergeCell ref="H88:I88"/>
    <mergeCell ref="K88:L88"/>
    <mergeCell ref="N88:O88"/>
    <mergeCell ref="Q88:R88"/>
    <mergeCell ref="A85:F85"/>
    <mergeCell ref="G85:L85"/>
    <mergeCell ref="M85:R85"/>
    <mergeCell ref="S85:X85"/>
    <mergeCell ref="B86:F86"/>
    <mergeCell ref="H86:L86"/>
    <mergeCell ref="N86:R86"/>
    <mergeCell ref="T86:X86"/>
    <mergeCell ref="C83:F83"/>
    <mergeCell ref="I83:L83"/>
    <mergeCell ref="O83:R83"/>
    <mergeCell ref="U83:X83"/>
    <mergeCell ref="B84:F84"/>
    <mergeCell ref="H84:L84"/>
    <mergeCell ref="N84:R84"/>
    <mergeCell ref="T84:X84"/>
    <mergeCell ref="T81:U81"/>
    <mergeCell ref="W81:X81"/>
    <mergeCell ref="B82:C82"/>
    <mergeCell ref="H82:I82"/>
    <mergeCell ref="N82:O82"/>
    <mergeCell ref="T82:U82"/>
    <mergeCell ref="C80:F80"/>
    <mergeCell ref="I80:L80"/>
    <mergeCell ref="O80:R80"/>
    <mergeCell ref="U80:X80"/>
    <mergeCell ref="B81:C81"/>
    <mergeCell ref="E81:F81"/>
    <mergeCell ref="H81:I81"/>
    <mergeCell ref="K81:L81"/>
    <mergeCell ref="N81:O81"/>
    <mergeCell ref="Q81:R81"/>
    <mergeCell ref="A78:F78"/>
    <mergeCell ref="G78:L78"/>
    <mergeCell ref="M78:R78"/>
    <mergeCell ref="S78:X78"/>
    <mergeCell ref="B79:F79"/>
    <mergeCell ref="H79:L79"/>
    <mergeCell ref="N79:R79"/>
    <mergeCell ref="T79:X79"/>
    <mergeCell ref="C76:F76"/>
    <mergeCell ref="I76:L76"/>
    <mergeCell ref="O76:R76"/>
    <mergeCell ref="U76:X76"/>
    <mergeCell ref="B77:F77"/>
    <mergeCell ref="H77:L77"/>
    <mergeCell ref="N77:R77"/>
    <mergeCell ref="T77:X77"/>
    <mergeCell ref="T74:U74"/>
    <mergeCell ref="W74:X74"/>
    <mergeCell ref="B75:C75"/>
    <mergeCell ref="H75:I75"/>
    <mergeCell ref="N75:O75"/>
    <mergeCell ref="T75:U75"/>
    <mergeCell ref="C73:F73"/>
    <mergeCell ref="I73:L73"/>
    <mergeCell ref="O73:R73"/>
    <mergeCell ref="U73:X73"/>
    <mergeCell ref="B74:C74"/>
    <mergeCell ref="E74:F74"/>
    <mergeCell ref="H74:I74"/>
    <mergeCell ref="K74:L74"/>
    <mergeCell ref="N74:O74"/>
    <mergeCell ref="Q74:R74"/>
    <mergeCell ref="A71:F71"/>
    <mergeCell ref="G71:L71"/>
    <mergeCell ref="M71:R71"/>
    <mergeCell ref="S71:X71"/>
    <mergeCell ref="B72:F72"/>
    <mergeCell ref="H72:L72"/>
    <mergeCell ref="N72:R72"/>
    <mergeCell ref="T72:X72"/>
    <mergeCell ref="C69:F69"/>
    <mergeCell ref="I69:L69"/>
    <mergeCell ref="O69:R69"/>
    <mergeCell ref="U69:X69"/>
    <mergeCell ref="B70:F70"/>
    <mergeCell ref="H70:L70"/>
    <mergeCell ref="N70:R70"/>
    <mergeCell ref="T70:X70"/>
    <mergeCell ref="T67:U67"/>
    <mergeCell ref="W67:X67"/>
    <mergeCell ref="B68:C68"/>
    <mergeCell ref="H68:I68"/>
    <mergeCell ref="N68:O68"/>
    <mergeCell ref="T68:U68"/>
    <mergeCell ref="C66:F66"/>
    <mergeCell ref="I66:L66"/>
    <mergeCell ref="O66:R66"/>
    <mergeCell ref="U66:X66"/>
    <mergeCell ref="B67:C67"/>
    <mergeCell ref="E67:F67"/>
    <mergeCell ref="H67:I67"/>
    <mergeCell ref="K67:L67"/>
    <mergeCell ref="N67:O67"/>
    <mergeCell ref="Q67:R67"/>
    <mergeCell ref="A64:F64"/>
    <mergeCell ref="G64:L64"/>
    <mergeCell ref="M64:R64"/>
    <mergeCell ref="S64:X64"/>
    <mergeCell ref="B65:F65"/>
    <mergeCell ref="H65:L65"/>
    <mergeCell ref="N65:R65"/>
    <mergeCell ref="T65:X65"/>
    <mergeCell ref="C62:F62"/>
    <mergeCell ref="I62:L62"/>
    <mergeCell ref="O62:R62"/>
    <mergeCell ref="U62:X62"/>
    <mergeCell ref="B63:F63"/>
    <mergeCell ref="H63:L63"/>
    <mergeCell ref="N63:R63"/>
    <mergeCell ref="T63:X63"/>
    <mergeCell ref="T60:U60"/>
    <mergeCell ref="W60:X60"/>
    <mergeCell ref="B61:C61"/>
    <mergeCell ref="H61:I61"/>
    <mergeCell ref="N61:O61"/>
    <mergeCell ref="T61:U61"/>
    <mergeCell ref="C59:F59"/>
    <mergeCell ref="I59:L59"/>
    <mergeCell ref="O59:R59"/>
    <mergeCell ref="U59:X59"/>
    <mergeCell ref="B60:C60"/>
    <mergeCell ref="E60:F60"/>
    <mergeCell ref="H60:I60"/>
    <mergeCell ref="K60:L60"/>
    <mergeCell ref="N60:O60"/>
    <mergeCell ref="Q60:R60"/>
    <mergeCell ref="A57:F57"/>
    <mergeCell ref="G57:L57"/>
    <mergeCell ref="M57:R57"/>
    <mergeCell ref="S57:X57"/>
    <mergeCell ref="B58:F58"/>
    <mergeCell ref="H58:L58"/>
    <mergeCell ref="N58:R58"/>
    <mergeCell ref="T58:X58"/>
    <mergeCell ref="C55:F55"/>
    <mergeCell ref="I55:L55"/>
    <mergeCell ref="O55:R55"/>
    <mergeCell ref="U55:X55"/>
    <mergeCell ref="B56:F56"/>
    <mergeCell ref="H56:L56"/>
    <mergeCell ref="N56:R56"/>
    <mergeCell ref="T56:X56"/>
    <mergeCell ref="T53:U53"/>
    <mergeCell ref="W53:X53"/>
    <mergeCell ref="B54:C54"/>
    <mergeCell ref="H54:I54"/>
    <mergeCell ref="N54:O54"/>
    <mergeCell ref="T54:U54"/>
    <mergeCell ref="C52:F52"/>
    <mergeCell ref="I52:L52"/>
    <mergeCell ref="O52:R52"/>
    <mergeCell ref="U52:X52"/>
    <mergeCell ref="B53:C53"/>
    <mergeCell ref="E53:F53"/>
    <mergeCell ref="H53:I53"/>
    <mergeCell ref="K53:L53"/>
    <mergeCell ref="N53:O53"/>
    <mergeCell ref="Q53:R53"/>
    <mergeCell ref="A50:F50"/>
    <mergeCell ref="G50:L50"/>
    <mergeCell ref="M50:R50"/>
    <mergeCell ref="S50:X50"/>
    <mergeCell ref="B51:F51"/>
    <mergeCell ref="H51:L51"/>
    <mergeCell ref="N51:R51"/>
    <mergeCell ref="T51:X51"/>
    <mergeCell ref="C48:F48"/>
    <mergeCell ref="I48:L48"/>
    <mergeCell ref="O48:R48"/>
    <mergeCell ref="U48:X48"/>
    <mergeCell ref="B49:F49"/>
    <mergeCell ref="H49:L49"/>
    <mergeCell ref="N49:R49"/>
    <mergeCell ref="T49:X49"/>
    <mergeCell ref="T46:U46"/>
    <mergeCell ref="W46:X46"/>
    <mergeCell ref="B47:C47"/>
    <mergeCell ref="H47:I47"/>
    <mergeCell ref="N47:O47"/>
    <mergeCell ref="T47:U47"/>
    <mergeCell ref="C45:F45"/>
    <mergeCell ref="I45:L45"/>
    <mergeCell ref="O45:R45"/>
    <mergeCell ref="U45:X45"/>
    <mergeCell ref="B46:C46"/>
    <mergeCell ref="E46:F46"/>
    <mergeCell ref="H46:I46"/>
    <mergeCell ref="K46:L46"/>
    <mergeCell ref="N46:O46"/>
    <mergeCell ref="Q46:R46"/>
    <mergeCell ref="A43:F43"/>
    <mergeCell ref="G43:L43"/>
    <mergeCell ref="M43:R43"/>
    <mergeCell ref="S43:X43"/>
    <mergeCell ref="B44:F44"/>
    <mergeCell ref="H44:L44"/>
    <mergeCell ref="N44:R44"/>
    <mergeCell ref="T44:X44"/>
    <mergeCell ref="C41:F41"/>
    <mergeCell ref="I41:L41"/>
    <mergeCell ref="O41:R41"/>
    <mergeCell ref="U41:X41"/>
    <mergeCell ref="B42:F42"/>
    <mergeCell ref="H42:L42"/>
    <mergeCell ref="N42:R42"/>
    <mergeCell ref="T42:X42"/>
    <mergeCell ref="T39:U39"/>
    <mergeCell ref="W39:X39"/>
    <mergeCell ref="B40:C40"/>
    <mergeCell ref="H40:I40"/>
    <mergeCell ref="N40:O40"/>
    <mergeCell ref="T40:U40"/>
    <mergeCell ref="C38:F38"/>
    <mergeCell ref="I38:L38"/>
    <mergeCell ref="O38:R38"/>
    <mergeCell ref="U38:X38"/>
    <mergeCell ref="B39:C39"/>
    <mergeCell ref="E39:F39"/>
    <mergeCell ref="H39:I39"/>
    <mergeCell ref="K39:L39"/>
    <mergeCell ref="N39:O39"/>
    <mergeCell ref="Q39:R39"/>
    <mergeCell ref="A36:F36"/>
    <mergeCell ref="G36:L36"/>
    <mergeCell ref="M36:R36"/>
    <mergeCell ref="S36:X36"/>
    <mergeCell ref="B37:F37"/>
    <mergeCell ref="H37:L37"/>
    <mergeCell ref="N37:R37"/>
    <mergeCell ref="T37:X37"/>
    <mergeCell ref="C34:F34"/>
    <mergeCell ref="I34:L34"/>
    <mergeCell ref="O34:R34"/>
    <mergeCell ref="U34:X34"/>
    <mergeCell ref="B35:F35"/>
    <mergeCell ref="H35:L35"/>
    <mergeCell ref="N35:R35"/>
    <mergeCell ref="T35:X35"/>
    <mergeCell ref="T32:U32"/>
    <mergeCell ref="W32:X32"/>
    <mergeCell ref="B33:C33"/>
    <mergeCell ref="H33:I33"/>
    <mergeCell ref="N33:O33"/>
    <mergeCell ref="T33:U33"/>
    <mergeCell ref="C31:F31"/>
    <mergeCell ref="I31:L31"/>
    <mergeCell ref="O31:R31"/>
    <mergeCell ref="U31:X31"/>
    <mergeCell ref="B32:C32"/>
    <mergeCell ref="E32:F32"/>
    <mergeCell ref="H32:I32"/>
    <mergeCell ref="K32:L32"/>
    <mergeCell ref="N32:O32"/>
    <mergeCell ref="Q32:R32"/>
    <mergeCell ref="A29:F29"/>
    <mergeCell ref="G29:L29"/>
    <mergeCell ref="M29:R29"/>
    <mergeCell ref="S29:X29"/>
    <mergeCell ref="B30:F30"/>
    <mergeCell ref="H30:L30"/>
    <mergeCell ref="N30:R30"/>
    <mergeCell ref="T30:X30"/>
    <mergeCell ref="C27:F27"/>
    <mergeCell ref="I27:L27"/>
    <mergeCell ref="O27:R27"/>
    <mergeCell ref="U27:X27"/>
    <mergeCell ref="B28:F28"/>
    <mergeCell ref="H28:L28"/>
    <mergeCell ref="N28:R28"/>
    <mergeCell ref="T28:X28"/>
    <mergeCell ref="T25:U25"/>
    <mergeCell ref="W25:X25"/>
    <mergeCell ref="B26:C26"/>
    <mergeCell ref="H26:I26"/>
    <mergeCell ref="N26:O26"/>
    <mergeCell ref="T26:U26"/>
    <mergeCell ref="C24:F24"/>
    <mergeCell ref="I24:L24"/>
    <mergeCell ref="O24:R24"/>
    <mergeCell ref="U24:X24"/>
    <mergeCell ref="B25:C25"/>
    <mergeCell ref="E25:F25"/>
    <mergeCell ref="H25:I25"/>
    <mergeCell ref="K25:L25"/>
    <mergeCell ref="N25:O25"/>
    <mergeCell ref="Q25:R25"/>
    <mergeCell ref="A22:F22"/>
    <mergeCell ref="G22:L22"/>
    <mergeCell ref="M22:R22"/>
    <mergeCell ref="S22:X22"/>
    <mergeCell ref="B23:F23"/>
    <mergeCell ref="H23:L23"/>
    <mergeCell ref="N23:R23"/>
    <mergeCell ref="T23:X23"/>
    <mergeCell ref="C20:F20"/>
    <mergeCell ref="I20:L20"/>
    <mergeCell ref="O20:R20"/>
    <mergeCell ref="U20:X20"/>
    <mergeCell ref="B21:F21"/>
    <mergeCell ref="H21:L21"/>
    <mergeCell ref="N21:R21"/>
    <mergeCell ref="T21:X21"/>
    <mergeCell ref="T18:U18"/>
    <mergeCell ref="W18:X18"/>
    <mergeCell ref="B19:C19"/>
    <mergeCell ref="H19:I19"/>
    <mergeCell ref="N19:O19"/>
    <mergeCell ref="T19:U19"/>
    <mergeCell ref="C17:F17"/>
    <mergeCell ref="I17:L17"/>
    <mergeCell ref="O17:R17"/>
    <mergeCell ref="U17:X17"/>
    <mergeCell ref="B18:C18"/>
    <mergeCell ref="E18:F18"/>
    <mergeCell ref="H18:I18"/>
    <mergeCell ref="K18:L18"/>
    <mergeCell ref="N18:O18"/>
    <mergeCell ref="Q18:R18"/>
    <mergeCell ref="A15:F15"/>
    <mergeCell ref="G15:L15"/>
    <mergeCell ref="M15:R15"/>
    <mergeCell ref="S15:X15"/>
    <mergeCell ref="B16:F16"/>
    <mergeCell ref="H16:L16"/>
    <mergeCell ref="N16:R16"/>
    <mergeCell ref="T16:X16"/>
    <mergeCell ref="C13:F13"/>
    <mergeCell ref="I13:L13"/>
    <mergeCell ref="O13:R13"/>
    <mergeCell ref="U13:X13"/>
    <mergeCell ref="B14:F14"/>
    <mergeCell ref="H14:L14"/>
    <mergeCell ref="N14:R14"/>
    <mergeCell ref="T14:X14"/>
    <mergeCell ref="T11:U11"/>
    <mergeCell ref="W11:X11"/>
    <mergeCell ref="B12:C12"/>
    <mergeCell ref="H12:I12"/>
    <mergeCell ref="N12:O12"/>
    <mergeCell ref="T12:U12"/>
    <mergeCell ref="C10:F10"/>
    <mergeCell ref="I10:L10"/>
    <mergeCell ref="O10:R10"/>
    <mergeCell ref="U10:X10"/>
    <mergeCell ref="B11:C11"/>
    <mergeCell ref="E11:F11"/>
    <mergeCell ref="H11:I11"/>
    <mergeCell ref="K11:L11"/>
    <mergeCell ref="N11:O11"/>
    <mergeCell ref="Q11:R11"/>
    <mergeCell ref="A8:F8"/>
    <mergeCell ref="G8:L8"/>
    <mergeCell ref="M8:R8"/>
    <mergeCell ref="S8:X8"/>
    <mergeCell ref="B9:F9"/>
    <mergeCell ref="H9:L9"/>
    <mergeCell ref="N9:R9"/>
    <mergeCell ref="T9:X9"/>
    <mergeCell ref="C6:F6"/>
    <mergeCell ref="I6:L6"/>
    <mergeCell ref="O6:R6"/>
    <mergeCell ref="U6:X6"/>
    <mergeCell ref="B7:F7"/>
    <mergeCell ref="H7:L7"/>
    <mergeCell ref="N7:R7"/>
    <mergeCell ref="T7:X7"/>
    <mergeCell ref="T4:U4"/>
    <mergeCell ref="W4:X4"/>
    <mergeCell ref="B5:C5"/>
    <mergeCell ref="H5:I5"/>
    <mergeCell ref="N5:O5"/>
    <mergeCell ref="T5:U5"/>
    <mergeCell ref="C3:F3"/>
    <mergeCell ref="I3:L3"/>
    <mergeCell ref="O3:R3"/>
    <mergeCell ref="U3:X3"/>
    <mergeCell ref="B4:C4"/>
    <mergeCell ref="E4:F4"/>
    <mergeCell ref="H4:I4"/>
    <mergeCell ref="K4:L4"/>
    <mergeCell ref="N4:O4"/>
    <mergeCell ref="Q4:R4"/>
    <mergeCell ref="A1:F1"/>
    <mergeCell ref="G1:L1"/>
    <mergeCell ref="M1:R1"/>
    <mergeCell ref="S1:X1"/>
    <mergeCell ref="B2:F2"/>
    <mergeCell ref="H2:L2"/>
    <mergeCell ref="N2:R2"/>
    <mergeCell ref="T2:X2"/>
  </mergeCells>
  <pageMargins left="0.23622047244094491" right="0.23622047244094491" top="0.23622047244094491" bottom="0.23622047244094491" header="0" footer="0"/>
  <pageSetup paperSize="9" orientation="landscape" r:id="rId1"/>
  <rowBreaks count="9" manualBreakCount="9">
    <brk id="42" max="16383" man="1"/>
    <brk id="84" max="16383" man="1"/>
    <brk id="126" max="16383" man="1"/>
    <brk id="168" max="16383" man="1"/>
    <brk id="210" max="16383" man="1"/>
    <brk id="252" max="16383" man="1"/>
    <brk id="294" max="16383" man="1"/>
    <brk id="336" max="16383" man="1"/>
    <brk id="378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25</vt:i4>
      </vt:variant>
      <vt:variant>
        <vt:lpstr>Intervalos Nomeados</vt:lpstr>
      </vt:variant>
      <vt:variant>
        <vt:i4>18</vt:i4>
      </vt:variant>
    </vt:vector>
  </HeadingPairs>
  <TitlesOfParts>
    <vt:vector size="43" baseType="lpstr">
      <vt:lpstr>VALIDACOES</vt:lpstr>
      <vt:lpstr>Sitio</vt:lpstr>
      <vt:lpstr>Preenchimento</vt:lpstr>
      <vt:lpstr>ETIQUETA</vt:lpstr>
      <vt:lpstr>Planilha5</vt:lpstr>
      <vt:lpstr>Inventário</vt:lpstr>
      <vt:lpstr>FICHA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Etq 1</vt:lpstr>
      <vt:lpstr>'1'!Area_de_impressao</vt:lpstr>
      <vt:lpstr>'10'!Area_de_impressao</vt:lpstr>
      <vt:lpstr>'11'!Area_de_impressao</vt:lpstr>
      <vt:lpstr>'12'!Area_de_impressao</vt:lpstr>
      <vt:lpstr>'13'!Area_de_impressao</vt:lpstr>
      <vt:lpstr>'14'!Area_de_impressao</vt:lpstr>
      <vt:lpstr>'15'!Area_de_impressao</vt:lpstr>
      <vt:lpstr>'16'!Area_de_impressao</vt:lpstr>
      <vt:lpstr>'17'!Area_de_impressao</vt:lpstr>
      <vt:lpstr>'2'!Area_de_impressao</vt:lpstr>
      <vt:lpstr>'3'!Area_de_impressao</vt:lpstr>
      <vt:lpstr>'4'!Area_de_impressao</vt:lpstr>
      <vt:lpstr>'5'!Area_de_impressao</vt:lpstr>
      <vt:lpstr>'6'!Area_de_impressao</vt:lpstr>
      <vt:lpstr>'7'!Area_de_impressao</vt:lpstr>
      <vt:lpstr>'8'!Area_de_impressao</vt:lpstr>
      <vt:lpstr>'9'!Area_de_impressao</vt:lpstr>
      <vt:lpstr>FICHA!Area_de_impressao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Aurélia</cp:lastModifiedBy>
  <cp:lastPrinted>2023-06-16T19:49:51Z</cp:lastPrinted>
  <dcterms:created xsi:type="dcterms:W3CDTF">2016-07-08T14:44:13Z</dcterms:created>
  <dcterms:modified xsi:type="dcterms:W3CDTF">2025-03-24T16:13:24Z</dcterms:modified>
</cp:coreProperties>
</file>